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Página5" sheetId="2" r:id="rId6"/>
    <sheet state="visible" name="BulkShopee" sheetId="3" r:id="rId7"/>
    <sheet state="visible" name="CMDAssemble" sheetId="4" r:id="rId8"/>
    <sheet state="visible" name="CMDMagda" sheetId="5" r:id="rId9"/>
  </sheets>
  <definedNames>
    <definedName hidden="1" localSheetId="0" name="_xlnm._FilterDatabase">Avulsas!$A$1:$Y$5027</definedName>
  </definedNames>
  <calcPr/>
</workbook>
</file>

<file path=xl/sharedStrings.xml><?xml version="1.0" encoding="utf-8"?>
<sst xmlns="http://schemas.openxmlformats.org/spreadsheetml/2006/main" count="39388" uniqueCount="10596">
  <si>
    <t>Nome</t>
  </si>
  <si>
    <t>Tipo</t>
  </si>
  <si>
    <t>Raridade</t>
  </si>
  <si>
    <t>Descrição magia</t>
  </si>
  <si>
    <t>Custo mana</t>
  </si>
  <si>
    <t>Cor(cores</t>
  </si>
  <si>
    <t>Preço minimo</t>
  </si>
  <si>
    <t>Coleção</t>
  </si>
  <si>
    <t>É foil?</t>
  </si>
  <si>
    <t>Ano</t>
  </si>
  <si>
    <t>Poder</t>
  </si>
  <si>
    <t>Qtd</t>
  </si>
  <si>
    <t>Total</t>
  </si>
  <si>
    <t>A Canção do Banho / Bath Song</t>
  </si>
  <si>
    <t>Encantamento — Saga</t>
  </si>
  <si>
    <t>Incomum</t>
  </si>
  <si>
    <t>(Conforme esta Saga entra e após sua etapa de compra, adicione um marcador de conhecimento. Sacrifique-a após III.) I, II: Compre dois cards e depois descarte um card. III: Embaralhe qualquer número de cards alvo de seu cemitério em seu grimório. Adicione {U}{U}.</t>
  </si>
  <si>
    <t>3{U}</t>
  </si>
  <si>
    <t>Azul</t>
  </si>
  <si>
    <t>The Lord of the Rings: Tales of Middle-earth (LTR)</t>
  </si>
  <si>
    <t>Não</t>
  </si>
  <si>
    <t>A.I.M. Synthoids / Sintóides da I.E.A.</t>
  </si>
  <si>
    <t>Criatura Artefato — Robô Vilão</t>
  </si>
  <si>
    <t>Comum</t>
  </si>
  <si>
    <t>Quando esta criatura entrar, vigie 2. (Olhe os dois cards do topo de seu grimório, depois coloque qualquer número deles em seu cemitério e o restante no topo de seu grimório em qualquer ordem.)</t>
  </si>
  <si>
    <t>{2}</t>
  </si>
  <si>
    <t>Incolor</t>
  </si>
  <si>
    <t>Marvel</t>
  </si>
  <si>
    <t>Aang, at the Crossroads // Aang, Destined Savior</t>
  </si>
  <si>
    <t>Legendary Creature — Human Avatar Ally // Legendary Creature — Avatar Ally</t>
  </si>
  <si>
    <t>Rare / Rara</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</si>
  <si>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</si>
  <si>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</si>
  <si>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Verde, Azul, Branco</t>
  </si>
  <si>
    <t>Avatar: The Last Airbender (TLA)</t>
  </si>
  <si>
    <t>Aang, the Last Airbender</t>
  </si>
  <si>
    <t>Legendary Creature — Human Avatar Ally</t>
  </si>
  <si>
    <t>Uncommon / Incomum</t>
  </si>
  <si>
    <t>Flying When Aang enters, airbend up to one other target nonland permanent. (Exile it. While it's exiled, its owner may cast it for {2} rather than its mana cost.) Whenever you cast a Lesson spell, Aang gains lifelink until end of turn.</t>
  </si>
  <si>
    <t>{3}{W}</t>
  </si>
  <si>
    <t>Branco</t>
  </si>
  <si>
    <t>Aang's Journey</t>
  </si>
  <si>
    <t>Sorcery — Lesson</t>
  </si>
  <si>
    <t>Common / Comum</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</si>
  <si>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</si>
  <si>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Sim</t>
  </si>
  <si>
    <t>Abandon Attachments</t>
  </si>
  <si>
    <t>Instant — Lesson</t>
  </si>
  <si>
    <t>You may discard a card. If you do, draw two cards.</t>
  </si>
  <si>
    <t>{1}{U/R}</t>
  </si>
  <si>
    <t>Vermelho, Azul</t>
  </si>
  <si>
    <t>Abandoned Air Temple</t>
  </si>
  <si>
    <t>Land</t>
  </si>
  <si>
    <t>This land enters tapped unless you control a basic land. {T}: Add {W}. {3}{W}, {T}: Put a +1/+1 counter on each creature you control.</t>
  </si>
  <si>
    <t>Abbey Matron / Matrona da Abadia</t>
  </si>
  <si>
    <t>Creature — Cleric / Criatura — Clérigo</t>
  </si>
  <si>
    <t>{W}, {T}: +0/+3 until end of turn. / {W}, {T}: +0/+3 até o final do turno.</t>
  </si>
  <si>
    <t>{2}{W}</t>
  </si>
  <si>
    <t>Homelands (HML)</t>
  </si>
  <si>
    <t>Aberração Consumidora / Consuming Aberration</t>
  </si>
  <si>
    <t>Criatura — Horror / Creature — Horror</t>
  </si>
  <si>
    <t>Rara / Rare</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</si>
  <si>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</si>
  <si>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</si>
  <si>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t>
  </si>
  <si>
    <t>Gatecrash (GTC)</t>
  </si>
  <si>
    <t>*/*</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</si>
  <si>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</si>
  <si>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</si>
  <si>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</si>
  <si>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</si>
  <si>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Preto, Branco</t>
  </si>
  <si>
    <t>Secrets of Strixhaven (SOS)</t>
  </si>
  <si>
    <t>Abnormal Endurance / Resistência Anormal</t>
  </si>
  <si>
    <t>Instant / Mágica Instantânea</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</si>
  <si>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</si>
  <si>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{1}{B}</t>
  </si>
  <si>
    <t>Preto</t>
  </si>
  <si>
    <t>Core Set 2019 (M19)</t>
  </si>
  <si>
    <t>Abomination / Abominação</t>
  </si>
  <si>
    <t>Creature — Horror</t>
  </si>
  <si>
    <t>Whenever this creature blocks or becomes blocked by a green or white creature, destroy that creature at end of combat.</t>
  </si>
  <si>
    <t>{3}{B}{B}</t>
  </si>
  <si>
    <t>Quarta Edição</t>
  </si>
  <si>
    <t>Abrade / Abrasão</t>
  </si>
  <si>
    <t>Choose one — • Abrade deals 3 damage to target creature. • Destroy target artifact. / Escolha um — • Abrasão causa 3 pontos de dano à criatura alvo. • Destrua o artefato alvo.</t>
  </si>
  <si>
    <t>{1}{R}</t>
  </si>
  <si>
    <t>Vermelho</t>
  </si>
  <si>
    <t>Foundations (FDN)</t>
  </si>
  <si>
    <t>Innistrad: Crimson Vow (VOW)</t>
  </si>
  <si>
    <t>Abyssal Specter / Espectro Abissal</t>
  </si>
  <si>
    <t>Creature — Specter / Criatura — Espectro</t>
  </si>
  <si>
    <t>Flying Whenever this creature deals damage to a player, that player discards a card. / Voar (Esta criatura só pode ser bloqueada por criaturas com a habilidade de voar.) Toda vez que Espectro Abissal causar dano a algum jogador, aquele jogador descarta um card de sua própria mão.</t>
  </si>
  <si>
    <t>{2}{B}{B}</t>
  </si>
  <si>
    <t>Era Glacial</t>
  </si>
  <si>
    <t>Academy Wall / Muralha da Academia</t>
  </si>
  <si>
    <t>Creature — Wall / Criatura — Barreira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</si>
  <si>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</si>
  <si>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{2}{U}</t>
  </si>
  <si>
    <t>Dominaria United (DMU)</t>
  </si>
  <si>
    <t>0/5</t>
  </si>
  <si>
    <t>Acclaimed Contender / Competidora Aclamada</t>
  </si>
  <si>
    <t>Creature — Human Knight / Criatura — Humano Cavaleiro</t>
  </si>
  <si>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</si>
  <si>
    <t>Throne of Eldraine (ELD)</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</si>
  <si>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</si>
  <si>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</si>
  <si>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{1}{U}</t>
  </si>
  <si>
    <t>Acidic Slime / Limo Ácido</t>
  </si>
  <si>
    <t>Creature — Ooze / Criatura — Lodo</t>
  </si>
  <si>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</si>
  <si>
    <t>{3}{G}{G}</t>
  </si>
  <si>
    <t>Verde</t>
  </si>
  <si>
    <t>Commander Masters (CMM)</t>
  </si>
  <si>
    <t>Açoite do Balrog / Lash of the Balrog</t>
  </si>
  <si>
    <t>Feitiço</t>
  </si>
  <si>
    <t>Como custo adicional para conjurar esta mágica, sacrifique uma criatura ou pague {4}. Destrua a criatura alvo.</t>
  </si>
  <si>
    <t>{B}</t>
  </si>
  <si>
    <t>Acordar para a Vida / Thought Monitor</t>
  </si>
  <si>
    <t>Feitiço / Sorcery</t>
  </si>
  <si>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</si>
  <si>
    <t>Modern Horizons 2 (MH2)</t>
  </si>
  <si>
    <t>Pasta</t>
  </si>
  <si>
    <t>Acrobatic Leap / Salto Acrobático</t>
  </si>
  <si>
    <t>Target creature gets +1/+3 and gains flying until end of turn. Untap it. / A criatura alvo recebe +1/+3 e ganha voar até o final do turno. Desvire-a.</t>
  </si>
  <si>
    <t>{W}</t>
  </si>
  <si>
    <t>Avatar: The Last Airbender Eternal (TLE)</t>
  </si>
  <si>
    <t>Act of Treason / Ato de Traição</t>
  </si>
  <si>
    <t>Ganhe o controle da criatura alvo até o final do turno. Desvire aquela criatura. Ela ganha ímpeto até o final do turno.</t>
  </si>
  <si>
    <t>2R</t>
  </si>
  <si>
    <t>Duel Decks: Speed vs. Cunning</t>
  </si>
  <si>
    <t>Lealdade em Ravnica</t>
  </si>
  <si>
    <t>Action News Crew</t>
  </si>
  <si>
    <t>Creature — Human Citizen</t>
  </si>
  <si>
    <t>Vigilance Channel — {6}, Discard this card: Put a +1/+1 counter on each creature you control. Draw a card.</t>
  </si>
  <si>
    <t>{1}{W}</t>
  </si>
  <si>
    <t>Teenage Mutant Ninja Turtles (TMT)</t>
  </si>
  <si>
    <t>Active Volcano</t>
  </si>
  <si>
    <t>Instant</t>
  </si>
  <si>
    <t>Choose one — • Destroy target blue permanent. • Return target Island to its owner's hand.</t>
  </si>
  <si>
    <t>{R}</t>
  </si>
  <si>
    <t>Chronicles</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</si>
  <si>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</si>
  <si>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</si>
  <si>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Dominaria (DOM)</t>
  </si>
  <si>
    <t>Additive Evolution / Evolução Aditiva</t>
  </si>
  <si>
    <t>Enchantment / Encantamento</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</si>
  <si>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</si>
  <si>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Shadows of Sothia (SOS)</t>
  </si>
  <si>
    <t>Adelbert Steiner / Adelbert Steiner</t>
  </si>
  <si>
    <t>Criatura Lendária — Humano Cavaleiro</t>
  </si>
  <si>
    <t>Vínculo com a vida. Adelbert Steiner recebe +1/+1 para cada Equipamento que você controla.</t>
  </si>
  <si>
    <t>1{W}</t>
  </si>
  <si>
    <t>Final Fantasy</t>
  </si>
  <si>
    <t>Adesão de Vraska / Vraska Joins Up</t>
  </si>
  <si>
    <t>Encantamento Lendário</t>
  </si>
  <si>
    <t>Rara</t>
  </si>
  <si>
    <t>Quando Adesão de Vraska entrar no campo de batalha, coloque um marcador de toque mortífero em cada criatura que você controla. Toda vez que uma criatura lendária que você controla causar dano de combate a um jogador, compre um card.</t>
  </si>
  <si>
    <t>{B}{G}</t>
  </si>
  <si>
    <t>Preto, Verde</t>
  </si>
  <si>
    <t>Outlaws of Thunder Junction (OTJ)</t>
  </si>
  <si>
    <t>Adventure Awaits / Aventura à Espera</t>
  </si>
  <si>
    <t>Sorcery / Feitiço</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</si>
  <si>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</si>
  <si>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{1}{G}</t>
  </si>
  <si>
    <t>Zendikar Rising (ZNR)</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</si>
  <si>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</si>
  <si>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</si>
  <si>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</si>
  <si>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Adventurer's Inn / Estalagem do Aventureiro</t>
  </si>
  <si>
    <t>Terreno — Vila</t>
  </si>
  <si>
    <t>Quando este terreno entrar, você ganha 2 de vida. {T}: Adicione {C}.</t>
  </si>
  <si>
    <t>Não encontrado</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</si>
  <si>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</si>
  <si>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</si>
  <si>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</si>
  <si>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{2}{B}</t>
  </si>
  <si>
    <t>Adventurous Impulse / Impulso Aventureiro</t>
  </si>
  <si>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</si>
  <si>
    <t>{G}</t>
  </si>
  <si>
    <t>Foundations Jumpstart (J25)</t>
  </si>
  <si>
    <t>Aegis of the Meek</t>
  </si>
  <si>
    <t>Artefato / Artifact</t>
  </si>
  <si>
    <t>Incomum / Uncommon</t>
  </si>
  <si>
    <t>{1}, {T}: Target 1/1 creature gets +1/+2 until end of turn.</t>
  </si>
  <si>
    <t>{3}</t>
  </si>
  <si>
    <t>Incolor / Colorless</t>
  </si>
  <si>
    <t>Ice Age (ICE)</t>
  </si>
  <si>
    <t>Aegis Turtle / Tartaruga da Égide</t>
  </si>
  <si>
    <t>Creature — Turtle / Criatura — Tartaruga</t>
  </si>
  <si>
    <t>{U}</t>
  </si>
  <si>
    <t>Aeolipile</t>
  </si>
  <si>
    <t>Artifact</t>
  </si>
  <si>
    <t>{1}, {T}, Sacrifice this artifact: It deals 2 damage to any target.</t>
  </si>
  <si>
    <t>Fallen Empires (FEM)</t>
  </si>
  <si>
    <t>Aerial Doombot / Doombot Aéreo</t>
  </si>
  <si>
    <t>Voar. Fortalecer — {5}{U}: Coloque três marcadores +1/+1 nesta criatura. (Ative cada habilidade de fortalecer apenas uma vez. Reduza o custo em seu custo de mana se ela entrou neste turno.)</t>
  </si>
  <si>
    <t>Aerial Maneuver / Manobra Aérea</t>
  </si>
  <si>
    <t>Target creature gets +1/+1 and gains flying and first strike until end of turn. / A criatura alvo recebe +1/+1 e ganha voar e iniciativa até o final do turno.</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</si>
  <si>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</si>
  <si>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</si>
  <si>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3{W}</t>
  </si>
  <si>
    <t>Aesthir Glider</t>
  </si>
  <si>
    <t>Criatura Artefato / Artifact Creature</t>
  </si>
  <si>
    <t>Comum / Common</t>
  </si>
  <si>
    <t>Flying. Cannot be assigned to block.</t>
  </si>
  <si>
    <t>Alliances (ALL)</t>
  </si>
  <si>
    <t>Aether Adept / Adepto do Éter</t>
  </si>
  <si>
    <t>Creature — Human Wizard / Criatura — Humano Mago</t>
  </si>
  <si>
    <t>When this creature enters, return target creature to its owner's hand. / Quando Adepto do Éter entrar no campo de batalha, devolva a criatura alvo para a mão de seu dono.</t>
  </si>
  <si>
    <t>{1}{U}{U}</t>
  </si>
  <si>
    <t>Magic 2011 (M11)</t>
  </si>
  <si>
    <t>Æther Spellbomb / Bomba de Éter</t>
  </si>
  <si>
    <t>Artefato</t>
  </si>
  <si>
    <t>{U}, Sacrifique Æther Spellbomb: Devolva a criatura alvo para a mão de seu dono. {1}, Sacrifique Æther Spellbomb: Compre um card.</t>
  </si>
  <si>
    <t>{1}</t>
  </si>
  <si>
    <t>Magic: The Gathering—Commander (CMD)</t>
  </si>
  <si>
    <t>Mirrodin (MRD)</t>
  </si>
  <si>
    <t>Aether Spellbomb / Magibomba de Éter</t>
  </si>
  <si>
    <t>Artifact / Artefato</t>
  </si>
  <si>
    <t>{U}, Sacrifice this artifact: Return target creature to its owner's hand. {1}, Sacrifice this artifact: Draw a card. / {U}, Sacrifique Magibomba de Éter: Devolve a criatura alvo para a mão de seu dono. {1}, Sacrifique Magibomba de Éter: Compre um card.</t>
  </si>
  <si>
    <t>Modern Masters (MMA)</t>
  </si>
  <si>
    <t>Aetherize / Eterificar</t>
  </si>
  <si>
    <t>Return all attacking creatures to their owner's hand. / Devolva todas as criaturas atacantes para as mãos de seus donos.</t>
  </si>
  <si>
    <t>{3}{U}</t>
  </si>
  <si>
    <t>Aetherjacket</t>
  </si>
  <si>
    <t>Artifact Creature — Thopter</t>
  </si>
  <si>
    <t>Flying, vigilance {2}, {T}, Sacrifice this creature: Destroy another target artifact. Activate only as a sorcery.</t>
  </si>
  <si>
    <t>Aetherdrift (DFT)</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</si>
  <si>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</si>
  <si>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</si>
  <si>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</si>
  <si>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</si>
  <si>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0/2</t>
  </si>
  <si>
    <t>Agency Outfitter / Fornecedor da Agência</t>
  </si>
  <si>
    <t>Creature — Sphinx Detective / Criatura — Esfinge Detetive</t>
  </si>
  <si>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</si>
  <si>
    <t>{4}{U}{U}</t>
  </si>
  <si>
    <t>Murders at Karlov Manor (MKM)</t>
  </si>
  <si>
    <t>Agent Bishop, Man in Black</t>
  </si>
  <si>
    <t>Legendary Creature — Human Soldier</t>
  </si>
  <si>
    <t>At the beginning of combat on your turn, put a +1/+1 counter on each of up to two target creatures.</t>
  </si>
  <si>
    <t>Agent of Atlas / Agente da Atlas</t>
  </si>
  <si>
    <t>Criatura — Humano Espião Herói</t>
  </si>
  <si>
    <t>Destreza (Sempre que você conjurar um feitiço que não seja de criatura, esta criatura receberá +1/+1 até o final do turno.)</t>
  </si>
  <si>
    <t>Agent of Erebos / Agente de Érebo</t>
  </si>
  <si>
    <t>Enchantment Creature — Zombie / Criatura Encantamento — Zumbi</t>
  </si>
  <si>
    <t>Constellation — Whenever this creature or another enchantment you control enters, exile target player's graveyard. / Constelação — Toda vez que Agente de Érebo ou outro encantamento entrar no campo de batalha sob seu controle, exile todos os cards do cemitério do jogador alvo.</t>
  </si>
  <si>
    <t>{3}{B}</t>
  </si>
  <si>
    <t>Journey into Nyx (JOU)</t>
  </si>
  <si>
    <t>Agents of S.H.I.E.L.D. / Agentes da S.H.I.E.L.D.</t>
  </si>
  <si>
    <t>Sempre que uma criatura que você controla atacar sozinha, aquela criatura receberá +1/+1 até o final do turno.</t>
  </si>
  <si>
    <t>2{W}</t>
  </si>
  <si>
    <t>Aggression / Agressão</t>
  </si>
  <si>
    <t>Enchantment — Aura</t>
  </si>
  <si>
    <t>Enchant non-Wall creature Enchanted creature has first strike and trample. At the beginning of the end step of enchanted creature's controller, destroy that creature if it didn't attack this turn.</t>
  </si>
  <si>
    <t>{2}{R}</t>
  </si>
  <si>
    <t>Agility / Agilidade</t>
  </si>
  <si>
    <t>Enchant creature Enchanted creature gets +1/+1 and has flanking. (Whenever a creature without flanking blocks this creature, the blocking creature gets -1/-1 until end of turn.)</t>
  </si>
  <si>
    <t>Mirage (MIR)</t>
  </si>
  <si>
    <t>Ahriman / Ahriman</t>
  </si>
  <si>
    <t>Criatura — Olho Horror</t>
  </si>
  <si>
    <t>Voar, toque mortífero. {3}, Sacrifique outra criatura ou artefato: Compre um card.</t>
  </si>
  <si>
    <t>2{B}</t>
  </si>
  <si>
    <t>Aim High / Mirar Alto</t>
  </si>
  <si>
    <t>Untap target creature. It gets +2/+2 and gains reach until end of turn. / Desvire a criatura alvo. Ela recebe +2/+2 e ganha alcance até o final do turno. (Ela pode bloquear criaturas com voar.)</t>
  </si>
  <si>
    <t>Innistrad Remastered (INR)</t>
  </si>
  <si>
    <t>Ainok Bond-Kin / Ainok Laço-de-honra</t>
  </si>
  <si>
    <t>Creature — Dog Soldier / Criatura — Sabujo Soldado</t>
  </si>
  <si>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</si>
  <si>
    <t>Double Masters 2022 (2X2)</t>
  </si>
  <si>
    <t>Airbender's Reversal</t>
  </si>
  <si>
    <t>Choose one — • Destroy target attacking creature. • Airbend target creature you control. (Exile it. While it's exiled, its owner may cast it for {2} rather than its mana cost.)</t>
  </si>
  <si>
    <t>Airbending Lesson</t>
  </si>
  <si>
    <t>Airbend target nonland permanent. (Exile it. While it's exiled, its owner may cast it for {2} rather than its mana cost.) Draw a card.</t>
  </si>
  <si>
    <t>Airship Crash</t>
  </si>
  <si>
    <t>Destroy target artifact, enchantment, or creature with flying. Cycling 2 (2, Discard this card: Draw a card.)</t>
  </si>
  <si>
    <t>2G</t>
  </si>
  <si>
    <t>Final Fantasy (FFIX)</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</si>
  <si>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</si>
  <si>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</si>
  <si>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</si>
  <si>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{2}{W}{W}</t>
  </si>
  <si>
    <t>Magic 2014 (M14)</t>
  </si>
  <si>
    <t>Ajani's Last Stand / Resistência Final de Ajani</t>
  </si>
  <si>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</si>
  <si>
    <t>Ajani's Presence / Presença de Ajani</t>
  </si>
  <si>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</si>
  <si>
    <t>Ajani's Pridemate / Companheiro de Bando de Ajani</t>
  </si>
  <si>
    <t>Whenever you gain life, put a +1/+1 counter on this creature. / Toda vez que você ganha pontos de vida, você pode colocar um marcador +1/+1 em Companheiro de Bando de Ajani.</t>
  </si>
  <si>
    <t>War of the Spark (WAR)</t>
  </si>
  <si>
    <t>Ajuda Improvável / Unlikely Aid</t>
  </si>
  <si>
    <t>Mágica Instantânea / Instant</t>
  </si>
  <si>
    <t>A criatura alvo recebe +2/+0 e ganha indestrutível até o final do turno. (O dano e os efeitos que dizem "destrua" não a destroem.) / Target creature gets +2/+0 and gains indestructible until end of turn. (Damage and effects that say "destroy" don't destroy it.)</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</si>
  <si>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</si>
  <si>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</si>
  <si>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</si>
  <si>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Kamigawa: Neon Dynasty (NEO)</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</si>
  <si>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</si>
  <si>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</si>
  <si>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</si>
  <si>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0/1</t>
  </si>
  <si>
    <t>Akroan Mastiff / Mastim Acrosano</t>
  </si>
  <si>
    <t>Creature — Dog / Criatura — Sabujo</t>
  </si>
  <si>
    <t>{W}, {T}: Tap target creature. / {W}, {T}: Vire a criatura alvo.</t>
  </si>
  <si>
    <t>Al Bhed Salvagers / Recicladores Al Bhed</t>
  </si>
  <si>
    <t>Criatura — Humano Artífice Guerreiro</t>
  </si>
  <si>
    <t>Sempre que esta criatura ou outra criatura ou artefato que você controla morrer, o oponente alvo perde 1 de vida e você ganha 1 de vida.</t>
  </si>
  <si>
    <t>Aladdin's Lamp</t>
  </si>
  <si>
    <t>Rare</t>
  </si>
  <si>
    <t>{X}, {T}: Instead of drawing a card from the top of your library, draw X cards but choose only one to put into your hand. Shuffle the leftover cards and put them at the bottom of your library. X cannot be 0.</t>
  </si>
  <si>
    <t>{10}</t>
  </si>
  <si>
    <t>Colorless</t>
  </si>
  <si>
    <t>Fourth Edition (4ED)</t>
  </si>
  <si>
    <t>Aladdin's Lamp / Låmpada de Aladin</t>
  </si>
  <si>
    <t>{X}, {T}: The next time you would draw a card this turn, instead look at the top X cards of your library, put all but one of them on the bottom of your library in a random order, then draw a card. X can't be 0.</t>
  </si>
  <si>
    <t>Fourth Edition (BB)</t>
  </si>
  <si>
    <t>Aladdin's Ring / Anel de Aladim</t>
  </si>
  <si>
    <t>{8}, {T}: This artifact deals 4 damage to any target. / {8}, {T}: Anel de Aladim causa 4 pontos de dano à criatura ou ao jogador alvo.</t>
  </si>
  <si>
    <t>{8}</t>
  </si>
  <si>
    <t>Arabian Nights (ARN)</t>
  </si>
  <si>
    <t>Ali Baba</t>
  </si>
  <si>
    <t>Creature — Human Rogue</t>
  </si>
  <si>
    <t>{R}: Tap target Wall.</t>
  </si>
  <si>
    <t>Fourth Edition</t>
  </si>
  <si>
    <t>Aliban's Tower / Torre de Aliban</t>
  </si>
  <si>
    <t>Target blocking creature gets +3/+1 until end of turn.</t>
  </si>
  <si>
    <t>Allies at Last</t>
  </si>
  <si>
    <t>Affinity for Allies (This spell costs {1} less to cast for each Ally you control.) Up to two target creatures you control each deal damage equal to their power to target creature an opponent controls.</t>
  </si>
  <si>
    <t>{2}{G}</t>
  </si>
  <si>
    <t>Alluring Suitor / Pretendente Fascinante</t>
  </si>
  <si>
    <t>Creature — Vampire / Criatura — Vampiro</t>
  </si>
  <si>
    <t>When you attack with exactly two creatures, transform this creature. / Quando você atacar com exatamente duas criaturas, transforme Pretendente Fascinante.</t>
  </si>
  <si>
    <t>Almighty Brushwagg / Tojo Todo-poderoso</t>
  </si>
  <si>
    <t>Creature — Brushwagg / Criatura — Tojo</t>
  </si>
  <si>
    <t>Trample. {3}{G}: Almighty Brushwagg gets +3/+3 until end of turn. / Atropelar. {3}{G}: Tojo Todo-poderoso recebe +3/+3 até o final do turno.</t>
  </si>
  <si>
    <t>Ikoria: Lair of Behemoths (IKO)</t>
  </si>
  <si>
    <t>Aloe Alchemist / Alquimista da Babosa</t>
  </si>
  <si>
    <t>Creature — Plant Warlock / Criatura — Planta Bruxo</t>
  </si>
  <si>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</si>
  <si>
    <t>Alojamento do Desertor</t>
  </si>
  <si>
    <t>Você pode escolher não desvirar Alojamento do Desertor durante sua etapa de desvirar. 6, {T}: Vire a criatura alvo. Ela não será desvirada durante a etapa de desvirar de seu controlador enquanto Alojamento do Desertor permanecer virado.</t>
  </si>
  <si>
    <t>Journey into Nyx</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</si>
  <si>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</si>
  <si>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</si>
  <si>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</si>
  <si>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</si>
  <si>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EOE</t>
  </si>
  <si>
    <t>Ambition's Cost / Custo da Ambição</t>
  </si>
  <si>
    <t>You draw three cards and you lose 3 life. / Você compra três cards e perde 3 pontos de vida.</t>
  </si>
  <si>
    <t>Eighth Edition (8ED)</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</si>
  <si>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</si>
  <si>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</si>
  <si>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</si>
  <si>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Ambush Party / Grupo de Emboscada</t>
  </si>
  <si>
    <t>First strike, haste</t>
  </si>
  <si>
    <t>{4}{R}</t>
  </si>
  <si>
    <t>Ambush Wolf</t>
  </si>
  <si>
    <t>Creature — Wolf</t>
  </si>
  <si>
    <t>Flash (You may cast this spell any time you could cast an instant.) When this creature enters, exile up to one target card from a graveyard.</t>
  </si>
  <si>
    <t>Amped Raptor / Raptor Amplificado</t>
  </si>
  <si>
    <t>Creature — Dinosaur / Criatura — Dinossauro</t>
  </si>
  <si>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</si>
  <si>
    <t>Modern Horizons 3 (MH3)</t>
  </si>
  <si>
    <t>Amplifire / Amplifogo</t>
  </si>
  <si>
    <t>Criatura — Elemental</t>
  </si>
  <si>
    <t>Raro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</si>
  <si>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</si>
  <si>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2{R}{R}</t>
  </si>
  <si>
    <t>Ravnica Allegiance</t>
  </si>
  <si>
    <t>Ampryn Tactician / Estrategista Ampryn</t>
  </si>
  <si>
    <t>Creature — Human Soldier / Criatura — Humano Soldado</t>
  </si>
  <si>
    <t>When this creature enters, creatures you control get +1/+1 until end of turn. / Quando Estrategista Ampryn entra no campo de batalha, as criaturas que você controla recebem +1/+1 até o final do turno.</t>
  </si>
  <si>
    <t>Magic Origins (ORI)</t>
  </si>
  <si>
    <t>Bulk Shopee</t>
  </si>
  <si>
    <t>Amulet of Kroog / Amuleto de Kroog</t>
  </si>
  <si>
    <t>{2}, {T}: Prevent the next 1 damage that would be dealt to any target this turn.</t>
  </si>
  <si>
    <t>Common</t>
  </si>
  <si>
    <t>{2}, {T}: Prevent 1 damage to any creature or player.</t>
  </si>
  <si>
    <t>Weatherlight (WTH)</t>
  </si>
  <si>
    <t>Amuleto do Viajante / Traveler's Amulet</t>
  </si>
  <si>
    <t>{1}, sacrifique Amuleto do Viajante: Procure um card de terreno básico em seu grimório, revele-o, coloque-o em sua mão e, depois, embaralhe seu grimório.</t>
  </si>
  <si>
    <t>Theros Beyond Death (THB)</t>
  </si>
  <si>
    <t>Anaba Ancestor / Ancestral de Anaba</t>
  </si>
  <si>
    <t>Creature — Minotaur Spirit</t>
  </si>
  <si>
    <t>{T}: Another target Minotaur creature gets +1/+1 until end of turn.</t>
  </si>
  <si>
    <t>Anaba Bodyguard / Guarda-Costas de Anaba</t>
  </si>
  <si>
    <t>Creature — Minotaur / Criatura — Minotauro</t>
  </si>
  <si>
    <t>First strike (This creature deals combat damage before creatures without first strike.) / Iniciativa (Esta criatura causa dano de combate antes de criaturas sem a habilidade de iniciativa.)</t>
  </si>
  <si>
    <t>{3}{R}</t>
  </si>
  <si>
    <t>Anaba Shaman / Xamã de Anaba</t>
  </si>
  <si>
    <t>Creature — Minotaur Shaman / Criatura — Xamã Minotauro</t>
  </si>
  <si>
    <t>{R}, {T}: This creature deals 1 damage to any target. / {R}, {T}: Xamã de Anaba causa 1 ponto de dano à criatura ou ao jogador alvo.</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</si>
  <si>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</si>
  <si>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</si>
  <si>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Ancestral Blade / Lâmina Ancestral</t>
  </si>
  <si>
    <t>Artifact — Equipment / Artefato — Equipamento</t>
  </si>
  <si>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</si>
  <si>
    <t>Core Set 2020 (M20)</t>
  </si>
  <si>
    <t>Anchovy &amp; Banana Pizza</t>
  </si>
  <si>
    <t>Artifact — Food</t>
  </si>
  <si>
    <t>When this artifact enters, destroy target creature. {2}, {T}, Sacrifice this artifact: You gain 3 life.</t>
  </si>
  <si>
    <t>Ancient Animus / Animus Ancestral</t>
  </si>
  <si>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</si>
  <si>
    <t>Commander Legends (CMR)</t>
  </si>
  <si>
    <t>Ancient Crab / Caranguejo Ancião</t>
  </si>
  <si>
    <t>Creature — Crab / Criatura — Caranguejo</t>
  </si>
  <si>
    <t>Oath of the Gatewatch (OGW)</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</si>
  <si>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</si>
  <si>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</si>
  <si>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</si>
  <si>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Angel of Deliverance / Anjo do Livramento</t>
  </si>
  <si>
    <t>Creature — Angel / Criatura — Anjo</t>
  </si>
  <si>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</si>
  <si>
    <t>{6}{W}{W}</t>
  </si>
  <si>
    <t>Shadows over Innistrad (SOI)</t>
  </si>
  <si>
    <t>Angel of Mercy / Anjo da Misericórdia</t>
  </si>
  <si>
    <t>Creature — Angel</t>
  </si>
  <si>
    <t>Uncommon</t>
  </si>
  <si>
    <t>Flying. When Angel of Mercy comes into play, you gain 3 life.</t>
  </si>
  <si>
    <t>{4}{W}</t>
  </si>
  <si>
    <t>Invasion (INV)</t>
  </si>
  <si>
    <t>Angel of Mercy / Anjo de Misericórdia</t>
  </si>
  <si>
    <t>Flying When this creature enters, you gain 3 life. / Voar (Esta criatura só pode ser bloqueada por criaturas com a habilidade de voar.) Quando Anjo de Misericórdia entra em jogo, você ganha 3 pontos de vida.</t>
  </si>
  <si>
    <t>Iconic Masters (IMA)</t>
  </si>
  <si>
    <t>Angelic Cub</t>
  </si>
  <si>
    <t>Creature — Cat Angel</t>
  </si>
  <si>
    <t>Whenever this creature becomes the target of a spell or ability for the first time each turn, put a +1/+1 counter on it. As long as this creature has three or more +1/+1 counters on it, it has flying.</t>
  </si>
  <si>
    <t>Jumpstart 2022 (J22)</t>
  </si>
  <si>
    <t>Angelic Exaltation / Exaltação Angelical</t>
  </si>
  <si>
    <t>Whenever a creature you control attacks alone, it gets +X/+X until end of turn, where X is the number of creatures you control. / Toda vez que uma criatura que você controla ataca sozinha, ela recebe +X/+X até o final do turno, sendo X o número de criaturas que você controla.</t>
  </si>
  <si>
    <t>Ravnica Allegiance (RNA)</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</si>
  <si>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</si>
  <si>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</si>
  <si>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Prophecy (PCY)</t>
  </si>
  <si>
    <t>Angelic Protector / Protetor Angelical</t>
  </si>
  <si>
    <t>Flying Whenever this creature becomes the target of a spell or ability, this creature gets +0/+3 until end of turn.</t>
  </si>
  <si>
    <t>Angelic Purge / Purgação Angelical</t>
  </si>
  <si>
    <t>As an additional cost to cast this spell, sacrifice a permanent. Exile target artifact, creature, or enchantment. / Como custo adicional para conjurar Purgação Angelical, sacrifique uma permanente. Exile o artefato, criatura ou encantamento alvo.</t>
  </si>
  <si>
    <t>Angelic Renewal / Renovação Angelical</t>
  </si>
  <si>
    <t>Enchantment</t>
  </si>
  <si>
    <t>Whenever a creature is put into your graveyard from the battlefield, you may sacrifice this enchantment. If you do, return that card to the battlefield.</t>
  </si>
  <si>
    <t>Angelic Wall / Barreira Angelical</t>
  </si>
  <si>
    <t>Defender (This creature can't attack.) Flying / Defensor (Esta criatura não pode atacar.)Voar</t>
  </si>
  <si>
    <t>Avacyn Restored (AVR)</t>
  </si>
  <si>
    <t>0/4</t>
  </si>
  <si>
    <t>Animal Magnetism / Magnetismo Animal</t>
  </si>
  <si>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</si>
  <si>
    <t>{4}{G}</t>
  </si>
  <si>
    <t>Anões Guerreiros / Dwarven Warriors</t>
  </si>
  <si>
    <t>Invocar Anões / Summon Dwarves</t>
  </si>
  <si>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</si>
  <si>
    <t xml:space="preserve">Fourth Edition </t>
  </si>
  <si>
    <t>Revised Edition</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</si>
  <si>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</si>
  <si>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</si>
  <si>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</si>
  <si>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2{G}</t>
  </si>
  <si>
    <t>Anticipate / Antecipar</t>
  </si>
  <si>
    <t>Look at the top three cards of your library. Put one of them into your hand and the rest on the bottom of your library in any order. / Olhe os três cards do topo de seu grimório. Coloque um deles na sua mão e os restantes no fundo do seu grimório em qualquer ordem.</t>
  </si>
  <si>
    <t>Battle for Zendikar (BFZ)</t>
  </si>
  <si>
    <t>Aphetto Dredging</t>
  </si>
  <si>
    <t>Sorcery</t>
  </si>
  <si>
    <t>Return up to three target creature cards of the creature type of your choice from your graveyard to your hand.</t>
  </si>
  <si>
    <t>Onslaught (ONS)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</si>
  <si>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</si>
  <si>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</si>
  <si>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</si>
  <si>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Modern Masters 2015 (MM2)</t>
  </si>
  <si>
    <t>Appeal to Eirdu</t>
  </si>
  <si>
    <t>Convoke (Your creatures can help cast this spell. Each creature you tap while casting this spell pays for {1} or one mana of that creature's color.) One or two target creatures each get +2/+1 until end of turn.</t>
  </si>
  <si>
    <t>Lorwyn Eclipsed (ECL)</t>
  </si>
  <si>
    <t>Appendage Amalgam</t>
  </si>
  <si>
    <t>Enchantment Creature — Horror</t>
  </si>
  <si>
    <t>Flash Whenever this creature attacks, surveil 1. (Look at the top card of your library. You may put it into your graveyard.)</t>
  </si>
  <si>
    <t>Duskmourn: House of Horror (DSK)</t>
  </si>
  <si>
    <t>Apprentice Sharpshooter / Atiradora de Elite Aprendiz</t>
  </si>
  <si>
    <t>Creature — Human Archer / Criatura — Humano Arqueiro</t>
  </si>
  <si>
    <t>Reach Training (Whenever this creature attacks with another creature with greater power, put a +1/+1 counter on this creature.) / Alcance Treinamento (Toda vez que esta criatura atacar com outra criatura de poder superior, coloque um marcador +1/+1 nesta criatura.)</t>
  </si>
  <si>
    <t>April O'Neil, Kunoichi Trainee</t>
  </si>
  <si>
    <t>Legendary Creature — Human Ninja</t>
  </si>
  <si>
    <t>When April O'Neil enters, scry 2. (Look at the top two cards of your library, then put any number of them on the bottom and the rest on top in any order.) April O'Neil can't be blocked by creatures with power 3 or greater.</t>
  </si>
  <si>
    <t>April, Reporter of the Weird</t>
  </si>
  <si>
    <t>Legendary Creature — Human Detective</t>
  </si>
  <si>
    <t>Whenever April deals combat damage to a player, draw that many cards, then discard a card.</t>
  </si>
  <si>
    <t>Aquamoeba / Aquameba</t>
  </si>
  <si>
    <t>Creature — Elemental Beast / Criatura — Elemental Besta</t>
  </si>
  <si>
    <t>Discard a card: Switch this creature's power and toughness until end of turn. / Descarte um card: Permute o poder e a resistência de Aquameba até o final do turno.</t>
  </si>
  <si>
    <t>Dominaria Remastered (DMR)</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</si>
  <si>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</si>
  <si>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</si>
  <si>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</si>
  <si>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2UU</t>
  </si>
  <si>
    <t>Aqueous Form / Forma Aquosa</t>
  </si>
  <si>
    <t>Enchantment — Aura / Encantamento — Aura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</si>
  <si>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</si>
  <si>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Theros (THS)</t>
  </si>
  <si>
    <t>Aquitect's Defenses</t>
  </si>
  <si>
    <t>Flash. Enchant creature you control. When this Aura enters, enchanted creature gains hexproof until end of turn. (It can't be the target of spells or abilities your opponents control.) Enchanted creature gets +1/+2.</t>
  </si>
  <si>
    <t>Arashin Sunshield</t>
  </si>
  <si>
    <t>Creature — Human Warrior</t>
  </si>
  <si>
    <t>When this creature enters, exile up to two target cards from a single graveyard. {W}, {T}: Tap target creature.</t>
  </si>
  <si>
    <t>Tarkir: Dragonstorm (TDM)</t>
  </si>
  <si>
    <t>Arborback Stomper / Pisoteador Dorsoverde</t>
  </si>
  <si>
    <t>Creature — Beast / Criatura — Besta</t>
  </si>
  <si>
    <t>Trample. When Arborback Stomper enters the battlefield, you gain 5 life. / Atropelar. Quando Pisoteador Dorsoverde entra no campo de batalha, você ganha 5 pontos de vida.</t>
  </si>
  <si>
    <t>Kaladesh (KLD)</t>
  </si>
  <si>
    <t>Arc Trail / Trilha de Arco</t>
  </si>
  <si>
    <t>Trilha de Arco causa 2 de dano à criatura ou ao jogador alvo e 1 de dano a outra criatura ou outro jogador alvo.</t>
  </si>
  <si>
    <t>1R</t>
  </si>
  <si>
    <t>Arcanis the Omnipotent / Arcanis, o Onipotente</t>
  </si>
  <si>
    <t>Criatura Lendária — Mago</t>
  </si>
  <si>
    <t>Mítica Rara</t>
  </si>
  <si>
    <t>{T}: Compre três cards. {2}{U}{U}: Devolva Arcanis, o Onipotente para a mão de seu dono.</t>
  </si>
  <si>
    <t>3UUU</t>
  </si>
  <si>
    <t>Arcanist's Owl / Coruja do Arcanista</t>
  </si>
  <si>
    <t>Artifact Creature — Bird / Criatura Artefato — Ave</t>
  </si>
  <si>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</si>
  <si>
    <t>{W/U}{W/U}{W/U}{W/U}</t>
  </si>
  <si>
    <t>Azul, Branco</t>
  </si>
  <si>
    <t>Arcbound Javelineer / Zagaieiro Arconexo</t>
  </si>
  <si>
    <t>Artifact Creature — Soldier / Criatura Artefato — Soldado</t>
  </si>
  <si>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</si>
  <si>
    <t>Arcbound Wanderer / Andarilho Arcbound</t>
  </si>
  <si>
    <t>Artifact Creature — Golem / Criatura Artefato — Golem</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</si>
  <si>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</si>
  <si>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{6}</t>
  </si>
  <si>
    <t>0/0</t>
  </si>
  <si>
    <t>Archfiend of Ifnir / Arquidemônio de Ifnir</t>
  </si>
  <si>
    <t>Creature — Demon / Criatura — Demônio</t>
  </si>
  <si>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</si>
  <si>
    <t>Amonkhet (AKH)</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</si>
  <si>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</si>
  <si>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</si>
  <si>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</si>
  <si>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</si>
  <si>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Preto, Azul</t>
  </si>
  <si>
    <t>Alara Reborn (ARB)</t>
  </si>
  <si>
    <t>Archway Angel / Anjo do Arco</t>
  </si>
  <si>
    <t>Flying When this creature enters, you gain 2 life for each Gate you control. / Voar Quando Anjo do Arco entra no campo de batalha, você ganha 2 pontos de vida para cada Portão que você controla.</t>
  </si>
  <si>
    <t>{5}{W}</t>
  </si>
  <si>
    <t>Ardent Soldier / Soldado Ardente</t>
  </si>
  <si>
    <t>Creature — Soldier / Criatura — Soldado</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</si>
  <si>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</si>
  <si>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Ardent Soldier / Soldado Fervoroso</t>
  </si>
  <si>
    <t>Creature — Human Soldier</t>
  </si>
  <si>
    <t>Kicker {2} (You may pay an additional {2} as you cast this spell.) Vigilance If this creature was kicked, it enters with a +1/+1 counter on it.</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</si>
  <si>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</si>
  <si>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</si>
  <si>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</si>
  <si>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</si>
  <si>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Área Fortificada / Fortified Area</t>
  </si>
  <si>
    <t>Encantamento / Enchantment</t>
  </si>
  <si>
    <t>Todas as barreiras que você controla ganham +1/+0 e a habilidade de formar bando. / All Walls you control get +1/+0 and gain banding.</t>
  </si>
  <si>
    <t>{1}{W}{W}</t>
  </si>
  <si>
    <t>Arena Trickster / Trapaceiro da Arena</t>
  </si>
  <si>
    <t>Creature — Human Shaman / Criatura — Humano Xamã</t>
  </si>
  <si>
    <t>Whenever you cast your first spell during each opponent's turn, put a +1/+1 counter on this creature. / Toda vez que você conjurar sua primeira mágica durante o turno de cada oponente, coloque um marcador +1/+1 em Trapaceiro da Arena.</t>
  </si>
  <si>
    <t>Arenson's Aura</t>
  </si>
  <si>
    <t>{W}: Sacrifice an enchantment to destroy target enchantment. {3}{U}{U}: Counter target enchantment.</t>
  </si>
  <si>
    <t>Aríete / Battering Ram</t>
  </si>
  <si>
    <t>Forma Bando quando ataca. No fim do combate, destrói qualquer barreira que esteja bloqueando um Aríete. / Bands with artifacts when attacking. At end of combat, destroy all Walls blocking Battering Ram.</t>
  </si>
  <si>
    <t>Armadura Divina / Divine Armor</t>
  </si>
  <si>
    <t>Encantar Criatura</t>
  </si>
  <si>
    <t>A criatura-alvo ganha +0/+2. {W}: A criatura-alvo encantada pela Armadura Divina ganha +0/+1 até o final do turno.</t>
  </si>
  <si>
    <t>Armageddon Clock</t>
  </si>
  <si>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</si>
  <si>
    <t>Armaggon, Future Shark</t>
  </si>
  <si>
    <t>Legendary Creature — Shark Horror Mutant</t>
  </si>
  <si>
    <t>Flash When Armaggon enters, destroy up to three target creatures.</t>
  </si>
  <si>
    <t>{6}{B}{B}</t>
  </si>
  <si>
    <t>Armament of Nyx / Armamento de Nyx</t>
  </si>
  <si>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</si>
  <si>
    <t>Armasaur Guide</t>
  </si>
  <si>
    <t>Creature — Dinosaur</t>
  </si>
  <si>
    <t>Vigilance (Attacking doesn't cause this creature to tap.) Whenever you attack with three or more creatures, put a +1/+1 counter on target creature you control.</t>
  </si>
  <si>
    <t>Armorcraft Judge / Jurada de Armoraria</t>
  </si>
  <si>
    <t>Creature — Elf Artificer / Criatura — Elfo Artesão</t>
  </si>
  <si>
    <t>When this creature enters, draw a card for each creature you control with a +1/+1 counter on it. / Quando Jurada de Armoraria entrar no campo de batalha, compre um card para cada criatura que você controla com um marcador +1/+1.</t>
  </si>
  <si>
    <t>{3}{G}</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</si>
  <si>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</si>
  <si>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</si>
  <si>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The Lost Caverns of Ixalan (LCI)</t>
  </si>
  <si>
    <t>Armory Guard / Guarda do Arsenal</t>
  </si>
  <si>
    <t>Creature — Giant Soldier / Criatura — Gigante Soldado</t>
  </si>
  <si>
    <t>This creature has vigilance as long as you control a Gate. / Guarda do Arsenal terá vigilância enquanto você controlar um terreno do tipo Portão.</t>
  </si>
  <si>
    <t>Return to Ravnica (RTR)</t>
  </si>
  <si>
    <t>Arnyn, Deathbloom Botanist</t>
  </si>
  <si>
    <t>Legendary Creature — Vampire Druid</t>
  </si>
  <si>
    <t>Deathtouch. Whenever a creature you control with power or toughness 1 or less dies, target opponent loses 2 life and you gain 2 life.</t>
  </si>
  <si>
    <t>SOS</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</si>
  <si>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</si>
  <si>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</si>
  <si>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</si>
  <si>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</si>
  <si>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Arrester's Zeal / Zelo do Encarcerador</t>
  </si>
  <si>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</si>
  <si>
    <t>Ravnica Remastered (RVR)</t>
  </si>
  <si>
    <t>Arrow Volley Trap / Armadilha de Salva de Flechas</t>
  </si>
  <si>
    <t>Mágica Instantânea — Armadilha</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</si>
  <si>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</si>
  <si>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</si>
  <si>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Artificer's Assistant / Assistente de Artesão</t>
  </si>
  <si>
    <t>Creature — Bird / Criatura — Ave</t>
  </si>
  <si>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</si>
  <si>
    <t>Artimanhas de Saruman / Saruman's Trickery</t>
  </si>
  <si>
    <t>Mágica Instantânea</t>
  </si>
  <si>
    <t>Anule a mágica alvo. Arregimente Orcs 1. (Coloque um marcador +1/+1 em um Exército que você controla. Ele também é um Orc. Se você não controlar um Exército, crie antes uma ficha de criatura Orc Exército preta 0/0.)</t>
  </si>
  <si>
    <t>1{U}{U}</t>
  </si>
  <si>
    <t>Aryel, Knight of Windgrace / Aryel, Cavaleira de Windgrace</t>
  </si>
  <si>
    <t>Legendary Creature — Human Knight / Criatura Lendária — Humano Cavaleiro</t>
  </si>
  <si>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</si>
  <si>
    <t>{2}{W}{B}</t>
  </si>
  <si>
    <t>Ascendant Dustspeaker / Porta-poeira Ascendente</t>
  </si>
  <si>
    <t>Criatura — Orc Clérigo</t>
  </si>
  <si>
    <t>Voar. Quando esta criatura entrar, coloque um marcador +1/+1 em outra criatura alvo que você controla. No início do combate no seu turno, exile até um card alvo de um cemitério.</t>
  </si>
  <si>
    <t>4{W}</t>
  </si>
  <si>
    <t>Strixhaven: School of Mages (SOS)</t>
  </si>
  <si>
    <t>Ascendant Packleader / Líder de Alcateia em Ascensão</t>
  </si>
  <si>
    <t>Creature — Wolf / Criatura — Lobo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</si>
  <si>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</si>
  <si>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</si>
  <si>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</si>
  <si>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</si>
  <si>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Ashen Ghoul / Carniçal Cinéreo</t>
  </si>
  <si>
    <t>Creature — Zombie</t>
  </si>
  <si>
    <t>Haste {B}: Return this card from your graveyard to the battlefield. Activate only during your upkeep and only if three or more creature cards are above this card.</t>
  </si>
  <si>
    <t>Ashnod's Battle Gear / Armadura de Ashnod</t>
  </si>
  <si>
    <t>You may choose not to untap this artifact during your untap step. {2}, {T}: Target creature you control gets +2/-2 for as long as this artifact remains tapped.</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</si>
  <si>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</si>
  <si>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</si>
  <si>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Chronicles (CHR)</t>
  </si>
  <si>
    <t>Ashroot Animist</t>
  </si>
  <si>
    <t>Creature — Lizard Druid</t>
  </si>
  <si>
    <t>Trample Whenever this creature attacks, another target creature you control gains trample and gets +X/+X until end of turn, where X is this creature's power.</t>
  </si>
  <si>
    <t>{2}{R}{G}</t>
  </si>
  <si>
    <t>Verde, Vermelho</t>
  </si>
  <si>
    <t>Aspect of Gorgon / Aspecto de Górgona</t>
  </si>
  <si>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</si>
  <si>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</si>
  <si>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</si>
  <si>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Assembly-Worker / Operário de Linha de Montagem</t>
  </si>
  <si>
    <t>Artifact Creature — Assembly-Worker / Criatura Artefato — Operário de Linha de Montagem</t>
  </si>
  <si>
    <t>{T}: Target Assembly-Worker creature gets +1/+1 until end of turn. / {T}: A criatura Operário de Linha de Montagem alvo recebe +1/+1 até o final do turno.</t>
  </si>
  <si>
    <t>Assert Perfection</t>
  </si>
  <si>
    <t>Target creature you control gets +1/+0 until end of turn. It deals damage equal to its power to up to one target creature an opponent controls.</t>
  </si>
  <si>
    <t>Assistente de Oficina / Workshop Assistant</t>
  </si>
  <si>
    <t>Artifact Creature — Construct / Criatura Artefato — Constructo</t>
  </si>
  <si>
    <t>When Workshop Assistant dies, return another target artifact card from your graveyard to your hand. / Quando Assistente de Oficina morrer, devolva outro card de artefato alvo de seu cemitério para sua mão.</t>
  </si>
  <si>
    <t>Astral Confrontation / Confronto Astral</t>
  </si>
  <si>
    <t>This spell costs {1} less to cast for each opponent you're attacking. Exile target creature. / Esta mágica custa {1} a menos para ser conjurada para cada oponente que você esteja atacando. Exile a criatura alvo.</t>
  </si>
  <si>
    <t>Commander Legends: Battle for Baldur's Gate (CLB)</t>
  </si>
  <si>
    <t>Astral Wingspan / Envergadura Astral</t>
  </si>
  <si>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</si>
  <si>
    <t>{4}{U}</t>
  </si>
  <si>
    <t>March of the Machine (MOM)</t>
  </si>
  <si>
    <t>Astrologian's Planisphere / Planisfério do Astrólogo</t>
  </si>
  <si>
    <t>Artefato — Equipamento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</si>
  <si>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</si>
  <si>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</si>
  <si>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Athreos, God of Passage / Athreos, Deus da Passagem</t>
  </si>
  <si>
    <t>Criatura Encantamento Lendária — Deus</t>
  </si>
  <si>
    <t>Mítica</t>
  </si>
  <si>
    <t>Indestrutível Enquanto sua devoção ao branco e ao preto for menor que sete, Athreos não será uma criatura. Toda vez que outra criatura que você controla morrer, devolva aquele card para sua mão, a menos que o oponente alvo pague 3 vidas.</t>
  </si>
  <si>
    <t>1WB</t>
  </si>
  <si>
    <t>Multicolorido</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</si>
  <si>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</si>
  <si>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</si>
  <si>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5{U}{U}</t>
  </si>
  <si>
    <t>Atog / Atogue</t>
  </si>
  <si>
    <t>Creature — Atog / Criatura — Atogue</t>
  </si>
  <si>
    <t>Sacrifice an artifact: This creature gets +2/+2 until end of turn. / Sacrifique um artefato: Atogue recebe +2/+2 até o final do turno.</t>
  </si>
  <si>
    <t>Augury Raven / Corvo do Augúrio</t>
  </si>
  <si>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</si>
  <si>
    <t>Kaldheim (KHM)</t>
  </si>
  <si>
    <t>Auntie's Sentence</t>
  </si>
  <si>
    <t>Choose one — Target opponent reveals their hand. You choose a nonland permanent card from it. That player discards that card. Target creature gets -2/-2 until end of turn.</t>
  </si>
  <si>
    <t>Auron's Inspiration / Inspiração de Auron</t>
  </si>
  <si>
    <t>As criaturas atacantes recebem +2/+0 até o final do turno. Recapitular {2}{W}{W} (Você pode conjurar este card de seu cemitério pagando seu custo de recapitular. Depois, exile-o.)</t>
  </si>
  <si>
    <t>Automontante / Self-Assembler</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</si>
  <si>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</si>
  <si>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{5}</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</si>
  <si>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</si>
  <si>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</si>
  <si>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Avacynian Priest / Sacerdote Avacyniano</t>
  </si>
  <si>
    <t>Creature — Human Cleric / Criatura — Humano Clérigo</t>
  </si>
  <si>
    <t>{1}, {T}: Tap target non-Human creature. / {1}, {T}: Vire a criatura alvo que não seja do tipo Humano.</t>
  </si>
  <si>
    <t>Innistrad (ISD)</t>
  </si>
  <si>
    <t>Avalanche</t>
  </si>
  <si>
    <t>Destroy X target snow lands.</t>
  </si>
  <si>
    <t>{X}{2}{R}{R}</t>
  </si>
  <si>
    <t>Avatar Enthusiasts</t>
  </si>
  <si>
    <t>Creature — Human Peasant Ally</t>
  </si>
  <si>
    <t>Whenever another Ally you control enters, put a +1/+1 counter on this creature.</t>
  </si>
  <si>
    <t>Avatar of Hope / Avatar da Esperança</t>
  </si>
  <si>
    <t>Creature — Avatar</t>
  </si>
  <si>
    <t>Flying. If you have 3 life or less, Avatar of Hope costs {6} less to play. Avatar of Hope may block any number of creatures.</t>
  </si>
  <si>
    <t>White</t>
  </si>
  <si>
    <t>Aven Tactician / Estrategista Aviano</t>
  </si>
  <si>
    <t>Creature — Bird Soldier / Criatura — Ave Soldado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</si>
  <si>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</si>
  <si>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Dragons of Tarkir (DTK)</t>
  </si>
  <si>
    <t>Avian Changeling / Morfolóide Áleo</t>
  </si>
  <si>
    <t>Creature — Shapeshifter / Criatura — Metamorfo</t>
  </si>
  <si>
    <t>Changeling (This card is every creature type.) Flying / Morfolóide (Este card é de todos os tipos de criatura sempre.) Voar</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</si>
  <si>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</si>
  <si>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</si>
  <si>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</si>
  <si>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</si>
  <si>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Ixalan (XLN)</t>
  </si>
  <si>
    <t>Axgard Cavalry / Cavalaria de Axgard</t>
  </si>
  <si>
    <t>Creature — Dwarf Berserker / Criatura — Anão Amoque</t>
  </si>
  <si>
    <t>{T}: Target creature gains haste until end of turn. (It can attack and {T} this turn.) / {T}: A criatura alvo ganha ímpeto até o final do turno.</t>
  </si>
  <si>
    <t>Ayesha Tanaka</t>
  </si>
  <si>
    <t>Summon Legend</t>
  </si>
  <si>
    <t>Banding. {T}: Counter target artifact effect requiring an activation cost, unless the artifact's controller pays {W}. Play this ability as an interrupt.</t>
  </si>
  <si>
    <t>{W}{W}{U}{U}</t>
  </si>
  <si>
    <t>Branco e Azul</t>
  </si>
  <si>
    <t>Azorius Arrester / Encarceradora Azorius</t>
  </si>
  <si>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</si>
  <si>
    <t>Azorius Guildgate / Portão da Guilda Azorius</t>
  </si>
  <si>
    <t>Land — Gate / Terreno — Portão</t>
  </si>
  <si>
    <t>This land enters tapped. {T}: Add {W} or {U}. / Portão da Guilda Azorius entra no campo de batalha virado. {T}: Adicione {W} ou {U}.</t>
  </si>
  <si>
    <t>Azorius Justiciar / Justiciar Azorius</t>
  </si>
  <si>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</si>
  <si>
    <t>Azula Always Lies</t>
  </si>
  <si>
    <t>Choose one or both — • Target creature gets -1/-1 until end of turn. • Put a +1/+1 counter on target creature.</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</si>
  <si>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</si>
  <si>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</si>
  <si>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</si>
  <si>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</si>
  <si>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Backup Agent / Agente de Reforço</t>
  </si>
  <si>
    <t>Creature — Human Citizen / Criatura — Humano Cidadão</t>
  </si>
  <si>
    <t>When this creature enters, put a +1/+1 counter on target creature. / Quando Agente de Reforço entrar no campo de batalha, coloque um marcador +1/+1 na criatura alvo.</t>
  </si>
  <si>
    <t>Streets of New Capenna (SNC)</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</si>
  <si>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</si>
  <si>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</si>
  <si>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</si>
  <si>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Baird, Steward of Argive / Baird, Guardião do Argivo</t>
  </si>
  <si>
    <t>Legendary Creature — Human Soldier / Criatura Lendária — Humano Soldado</t>
  </si>
  <si>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</si>
  <si>
    <t>Bake into a Pie / Enfornar na Torta</t>
  </si>
  <si>
    <t>Destroy target creature. Create a Food token. (It's an artifact with "{2}, {T}, Sacrifice this token: You gain 3 life.") / Destrua a criatura alvo. Crie uma ficha de Comida. (Ela é um artefato com "{2}, {T}, sacrifique este artefato: Você ganha 3 pontos de vida.")</t>
  </si>
  <si>
    <t>Bakersbane Duo</t>
  </si>
  <si>
    <t>Creature — Squirrel Raccoon</t>
  </si>
  <si>
    <t>When this creature enters, create a Food token. Whenever you expend 4, this creature gets +1/+1 until end of turn. (You expend 4 as you spend your fourth total mana to cast spells during a turn.)</t>
  </si>
  <si>
    <t>Bloomburrow (BLB)</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</si>
  <si>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</si>
  <si>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</si>
  <si>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</si>
  <si>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</si>
  <si>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Balduvian Barbarians / Bárbaros Balduvianos</t>
  </si>
  <si>
    <t>Creature — Human Barbarian / Criatura — Bárbaro Humano</t>
  </si>
  <si>
    <t>{1}{R}{R}</t>
  </si>
  <si>
    <t>Balduvian Horde / Horda Balduviana</t>
  </si>
  <si>
    <t>Creature — Human Barbarian</t>
  </si>
  <si>
    <t>When this creature enters, sacrifice it unless you discard a card at random.</t>
  </si>
  <si>
    <t>{2}{R}{R}</t>
  </si>
  <si>
    <t>Balemurk Leech</t>
  </si>
  <si>
    <t>Creature — Leech</t>
  </si>
  <si>
    <t>Eerie — Whenever an enchantment you control enters and whenever you fully unlock a Room, each opponent loses 1 life.</t>
  </si>
  <si>
    <t>Ballista Squad / Esquadrão de Balista</t>
  </si>
  <si>
    <t>Creature — Rebel / Criatura — Rebelde</t>
  </si>
  <si>
    <t>{X}{W}, {T}: Ballista Squad deals X damage to target attacking or blocking creature. / {X}{W}, {T}: Esquadrão de Balista causa X pontos de dano à criatura atacante ou bloqueadora alvo.</t>
  </si>
  <si>
    <t>Mercadian Masques (MMQ)</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</si>
  <si>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</si>
  <si>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</si>
  <si>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</si>
  <si>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</si>
  <si>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</si>
  <si>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Balustrade Spy / Espião de Balaustrada</t>
  </si>
  <si>
    <t>Creature — Vampire Rogue / Criatura — Vampiro Ladino</t>
  </si>
  <si>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</si>
  <si>
    <t>Banefire / Fogo do Flagelo</t>
  </si>
  <si>
    <t>Fogo do Flagelo causa X de dano à criatura ou ao jogador alvo. Se X for igual ou superior a 5, Fogo do Flagelo não pode ser anulado por mágicas ou habilidades e o dano não pode ser prevenido.</t>
  </si>
  <si>
    <t>XR</t>
  </si>
  <si>
    <t>Banishing Light / Luz Banidora</t>
  </si>
  <si>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</si>
  <si>
    <t>Encantamento</t>
  </si>
  <si>
    <t>Quando este encantamento entrar, exile a permanente não de terreno alvo que um oponente controla até que este encantamento deixe o campo de batalha.</t>
  </si>
  <si>
    <t>Edge of Eternity</t>
  </si>
  <si>
    <t>Bankrupt in Blood / Falir em Sangue</t>
  </si>
  <si>
    <t>As an additional cost to cast this spell, sacrifice two creatures. Draw three cards. / Como custo adicional para conjurar esta mágica, sacrifique duas criaturas. Compre três cards.</t>
  </si>
  <si>
    <t>Barbarian Guides / Guias Bárbaros</t>
  </si>
  <si>
    <t>{2}{R}, {T}: Choose a land type. Target creature you control gains snow landwalk of the chosen type until end of turn. Return that creature to its owner's hand at the beginning of the next end step. (It can't be blocked as long as defending player controls a snow land of that type.)</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</si>
  <si>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</si>
  <si>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</si>
  <si>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</si>
  <si>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Barbed Bloodletter</t>
  </si>
  <si>
    <t>Artifact — Equipment</t>
  </si>
  <si>
    <t>Flash. When this Equipment enters, attach it to target creature you control. That creature gains wither until end of turn. (It deals damage to creatures in the form of -1/-1 counters.) Equipped creature gets +1/+2. Equip {2}</t>
  </si>
  <si>
    <t>Barbed Sextant / Sextante Farpado</t>
  </si>
  <si>
    <t>{1}, {T}, Sacrifice this artifact: Add one mana of any color. Draw a card at the beginning of the next turn's upkeep.</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</si>
  <si>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</si>
  <si>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</si>
  <si>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</si>
  <si>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</si>
  <si>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Bark of Doran</t>
  </si>
  <si>
    <t>Equipped creature gets +0/+1. As long as equipped creature's toughness is greater than its power, it assigns combat damage equal to its toughness rather than its power. Equip {1} ({1}: Attach to target creature you control. Equip only as a sorcery.)</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</si>
  <si>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</si>
  <si>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</si>
  <si>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</si>
  <si>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Baron, Airship Kingdom / Baron, Reino dos Navios Voladores</t>
  </si>
  <si>
    <t>Este terreno entra virado. {T}: Adicione {U} ou {R}.</t>
  </si>
  <si>
    <t>Barreira de Espadas / Wall of Swords</t>
  </si>
  <si>
    <t>Invocação de Barreira / Summon Wall</t>
  </si>
  <si>
    <t>Voador / Flying</t>
  </si>
  <si>
    <t>Barren Moor</t>
  </si>
  <si>
    <t>Terreno / Land</t>
  </si>
  <si>
    <t>Barren Moor comes into play tapped. {T}: Add {B} to your mana pool. Cycling {B} ({B}, Discard this card from your hand: Draw a card.)</t>
  </si>
  <si>
    <t>N/A</t>
  </si>
  <si>
    <t>Barret Wallace / Barret Wallace</t>
  </si>
  <si>
    <t>Criatura Lendária — Humano Rebelde</t>
  </si>
  <si>
    <t>Alcance. Sempre que Barret Wallace atacar, ele causa dano igual ao número de criaturas equipadas que você controla ao jogador defensor.</t>
  </si>
  <si>
    <t>3R</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</si>
  <si>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</si>
  <si>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</si>
  <si>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</si>
  <si>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</si>
  <si>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Basal Thrull</t>
  </si>
  <si>
    <t>Creature — Thrull</t>
  </si>
  <si>
    <t>{T}, Sacrifice this creature: Add {B}{B}.</t>
  </si>
  <si>
    <t>{B}{B}</t>
  </si>
  <si>
    <t>Bassara Tower Archer / Arqueiro da Torre de Bassara</t>
  </si>
  <si>
    <t>Hexproof, reach / Resistência a magia, alcance</t>
  </si>
  <si>
    <t>{G}{G}</t>
  </si>
  <si>
    <t>Baton of Morale / Bastão de Moral</t>
  </si>
  <si>
    <t>{2}: Target creature gains banding until end of turn.</t>
  </si>
  <si>
    <t>Battering Ram / Aríete</t>
  </si>
  <si>
    <t>Artifact Creature</t>
  </si>
  <si>
    <t>Banding when attacking. At the end of combat, destroy all walls blocking Battering Ram.</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</si>
  <si>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</si>
  <si>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</si>
  <si>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Battle Cry</t>
  </si>
  <si>
    <t>Untap all white creatures you control. Any creature that blocks this turn gets +0/+1 until end of turn.</t>
  </si>
  <si>
    <t>Battle Cry Goblin / Goblin do Grito de Guerra</t>
  </si>
  <si>
    <t>Creature — Goblin / Criatura — Goblin</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</si>
  <si>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</si>
  <si>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Dungeons &amp; Dragons: Adventures in the Forgotten Realms (AFR)</t>
  </si>
  <si>
    <t>Battle Frenzy / Frenesi de Batalha</t>
  </si>
  <si>
    <t>Green creatures you control get +1/+1 until end of turn. Nongreen creatures you control get +1/+0 until end of turn.</t>
  </si>
  <si>
    <t>Battle Menu / Menu de Batalha</t>
  </si>
  <si>
    <t>Escolha um — • Attack — Crie uma ficha de criatura Cavaleiro branca 2/2. • Ability — A criatura alvo recebe +0/+4 até o final do turno. • Magic — Destrua a criatura alvo com poder igual ou superior a 4. • Item — Você ganha 4 de vida.</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</si>
  <si>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</si>
  <si>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</si>
  <si>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Battle-Rage Blessing / Bênção da Fúria de Batalha</t>
  </si>
  <si>
    <t>Target creature gains deathtouch and indestructible until end of turn. (Damage and effects that say "destroy" don't destroy it.) / A criatura alvo ganha toque mortífero e indestrutível até o final do turno. (O dano e os efeitos que dizem "destrua" não a destroem.)</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</si>
  <si>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</si>
  <si>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</si>
  <si>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</si>
  <si>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</si>
  <si>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</si>
  <si>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1U</t>
  </si>
  <si>
    <t>Battleground Geist / Geist do Campo de Batalha</t>
  </si>
  <si>
    <t>Creature — Spirit / Criatura — Espírito</t>
  </si>
  <si>
    <t>Flying Other Spirit creatures you control get +1/+0. / Voar As outras criaturas do tipo Espírito que você controla recebem +1/+0.</t>
  </si>
  <si>
    <t>Baxter Stockman</t>
  </si>
  <si>
    <t>Legendary Creature — Human Scientist</t>
  </si>
  <si>
    <t>When Baxter Stockman enters, create a 1/1 colorless Robot artifact creature token. At the beginning of combat on your turn, target artifact creature you control gets +3/+0 and gains first strike and vigilance until end of turn.</t>
  </si>
  <si>
    <t>{3}{U}{R}</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</si>
  <si>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</si>
  <si>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</si>
  <si>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</si>
  <si>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{6}{G}</t>
  </si>
  <si>
    <t>Bear Trap</t>
  </si>
  <si>
    <t>Flash. {3}, {T}, Sacrifice Bear Trap: It deals 3 damage to target creature.</t>
  </si>
  <si>
    <t>Bearer of Glory</t>
  </si>
  <si>
    <t>During your turn, this creature has first strike. {4}{W}: Creatures you control get +1/+1 until end of turn.</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</si>
  <si>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</si>
  <si>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</si>
  <si>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</si>
  <si>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Bearer of the Heavens / Sustentáculo do Firmamento</t>
  </si>
  <si>
    <t>Criatura — Gigante</t>
  </si>
  <si>
    <t>Quando Sustentáculo do Firmamento morrer, destrua todas as permanentes no início da próxima etapa final.</t>
  </si>
  <si>
    <t>7R</t>
  </si>
  <si>
    <t>Beast-Kin Ranger</t>
  </si>
  <si>
    <t>Creature — Elf Ranger</t>
  </si>
  <si>
    <t>Trample (This creature can deal excess combat damage to the player or planeswalker it's attacking.) Whenever another creature you control enters, this creature gets +1/+0 until end of turn.</t>
  </si>
  <si>
    <t>Beastie Beatdown</t>
  </si>
  <si>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</si>
  <si>
    <t>{R}{G}</t>
  </si>
  <si>
    <t>Beastrider Vanguard</t>
  </si>
  <si>
    <t>Creature — Human Knight</t>
  </si>
  <si>
    <t>{4}{G}: Look at the top three cards of your library. You may reveal a permanent card from among them and put it into your hand. Put the rest on the bottom of your library in any order.</t>
  </si>
  <si>
    <t>Bebop &amp; Rocksteady</t>
  </si>
  <si>
    <t>Legendary Creature — Boar Rhino Mutant</t>
  </si>
  <si>
    <t>Whenever Bebop &amp; Rocksteady attack or block, sacrifice a permanent unless you discard a card.</t>
  </si>
  <si>
    <t>{1}{B/G}{B/G}</t>
  </si>
  <si>
    <t>Bebop, Warthog Warrior</t>
  </si>
  <si>
    <t>Legendary Creature — Boar Mutant Warrior</t>
  </si>
  <si>
    <t>Menace (This creature can't be blocked except by two or more creatures.) Rhinos you control have menace. Swampcycling {2} ({2}, Discard this card: Search your library for a Swamp card, reveal it, put it into your hand, then shuffle.)</t>
  </si>
  <si>
    <t>{4}{B}</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</si>
  <si>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</si>
  <si>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</si>
  <si>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{W/B}</t>
  </si>
  <si>
    <t>Ultimate Masters (UMA)</t>
  </si>
  <si>
    <t>Bedevil / Atormentar</t>
  </si>
  <si>
    <t>Destrua o artefato, a criatura ou o planeswalker alvo.</t>
  </si>
  <si>
    <t>{B}{B}{R}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</si>
  <si>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</si>
  <si>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</si>
  <si>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</si>
  <si>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</si>
  <si>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Eldritch Moon (EMN)</t>
  </si>
  <si>
    <t>Beetle-Headed Merchants</t>
  </si>
  <si>
    <t>Whenever this creature attacks, you may sacrifice another creature or artifact. If you do, draw a card and put a +1/+1 counter on this creature.</t>
  </si>
  <si>
    <t>Beetleback Chief / Chefe de Costas de Besouro</t>
  </si>
  <si>
    <t>Criatura — Goblino Guerreiro</t>
  </si>
  <si>
    <t>Quando Chefe de Costas de Besouro entra no campo de batalha, coloque duas fichas de criatura 1/1 vermelha do tipo Goblino no campo de batalha.</t>
  </si>
  <si>
    <t>2RR</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</si>
  <si>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</si>
  <si>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</si>
  <si>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</si>
  <si>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Belle of the Brawl / Bela da Briga</t>
  </si>
  <si>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</si>
  <si>
    <t>Belligerent of the Ball / Beligerante do Baile</t>
  </si>
  <si>
    <t>Creature — Ogre Warrior / Criatura — Ogro Guerreiro</t>
  </si>
  <si>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</si>
  <si>
    <t>Wilds of Eldraine (WOE)</t>
  </si>
  <si>
    <t>Bellowing Saddlebrute / Ginete Brutal Urrante</t>
  </si>
  <si>
    <t>Creature — Orc Warrior / Criatura — Orc Guerreiro</t>
  </si>
  <si>
    <t>Raid — When this creature enters, you lose 4 life unless you attacked this turn. / Raide — Quando Ginete Brutal Urrante entra no campo de batalha, você perde 4 pontos de vida, a menos que você tenha atacado com uma criatura neste turno.</t>
  </si>
  <si>
    <t>Khans of Tarkir (KTK)</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</si>
  <si>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</si>
  <si>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</si>
  <si>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</si>
  <si>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Benalish Cavalry / Cavalaria de Benália</t>
  </si>
  <si>
    <t>Flanking (Whenever a creature without flanking blocks this creature, the blocking creature gets -1/-1 until end of turn.) / Flanquear (Toda vez que uma criatura sem flanquear bloquear esta criatura, a criatura bloqueadora receberá -1/-1 até o final do turno.)</t>
  </si>
  <si>
    <t>Benalish Faithbonder</t>
  </si>
  <si>
    <t>Creature — Human Cleric</t>
  </si>
  <si>
    <t>Vigilance Enlist (As this creature attacks, you may tap a nonattacking creature you control without summoning sickness. When you do, add its power to this creature's until end of turn.)</t>
  </si>
  <si>
    <t>Benalish Hero</t>
  </si>
  <si>
    <t>Summon Hero</t>
  </si>
  <si>
    <t>Bands</t>
  </si>
  <si>
    <t>Alpha</t>
  </si>
  <si>
    <t>Benalish Hero / Herói Benalish</t>
  </si>
  <si>
    <t>Summon Hero / Invocação (Herói)</t>
  </si>
  <si>
    <t>Banding / Agrupamento</t>
  </si>
  <si>
    <t>Benalish Lancer / Lanceiro Benalita</t>
  </si>
  <si>
    <t>Creature — Knight / Criatura — Cavaleiro</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</si>
  <si>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</si>
  <si>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Benalish Marshal / Marechal de Benália</t>
  </si>
  <si>
    <t>Other creatures you control get +1/+1. / As outras criaturas que você controla recebem +1/+1.</t>
  </si>
  <si>
    <t>{W}{W}{W}</t>
  </si>
  <si>
    <t>Bender's Waterskin</t>
  </si>
  <si>
    <t>Untap this artifact during each other player's untap step. {T}: Add one mana of any color.</t>
  </si>
  <si>
    <t>Benevolent Unicorn / Unicórnio Benevolente</t>
  </si>
  <si>
    <t>Creature — Unicorn</t>
  </si>
  <si>
    <t>If a spell would deal damage to a permanent or player, it deals that much damage minus 1 to that permanent or player instead.</t>
  </si>
  <si>
    <t>Benthic Djinn / Gênio Bêntico</t>
  </si>
  <si>
    <t>Creature — Djinn</t>
  </si>
  <si>
    <t>Islandwalk (This creature can't be blocked as long as defending player controls an Island.) At the beginning of your upkeep, you lose 2 life.</t>
  </si>
  <si>
    <t>Bespoke Battlewagon / Vagão de Batalha Personalizado</t>
  </si>
  <si>
    <t>Artifact — Vehicle / Artefato — Veículo</t>
  </si>
  <si>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</si>
  <si>
    <t>Bespoke Bō</t>
  </si>
  <si>
    <t>When this Equipment enters, return up to one other target nonland permanent to its owner's hand. Equipped creature gets +2/+1 and has vigilance. Equip {3} ({3}: Attach to target creature you control. Equip only as a sorcery.)</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</si>
  <si>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</si>
  <si>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</si>
  <si>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Betrayer's Bargain</t>
  </si>
  <si>
    <t>As an additional cost to cast this spell, sacrifice a creature or enchantment or pay {2}. Betrayer's Bargain deals 5 damage to target creature. If that creature would die this turn, exile it instead.</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</si>
  <si>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</si>
  <si>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</si>
  <si>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</si>
  <si>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</si>
  <si>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Azul e Vermelho</t>
  </si>
  <si>
    <t>Bill Samambaia, Vigarista de Bree / Bill Ferny, Bree Swindler</t>
  </si>
  <si>
    <t>Criatura Lendária — Humano Ladino</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</si>
  <si>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</si>
  <si>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Bill the Pony / Bill, o Pônei</t>
  </si>
  <si>
    <t>Legendary Creature — Horse / Criatura Lendária — Cavalo</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</si>
  <si>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</si>
  <si>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</si>
  <si>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</si>
  <si>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Biomass Mutation / Mutação de Biomassa</t>
  </si>
  <si>
    <t>Creatures you control have base power and toughness X/X until end of turn. / As criaturas que você controla se tornam X/X até o final do turno.</t>
  </si>
  <si>
    <t>{X}{G/U}{G/U}</t>
  </si>
  <si>
    <t>Verde, Azul</t>
  </si>
  <si>
    <t>Biosynthic Burst / Explosão Biossíntese</t>
  </si>
  <si>
    <t>Coloque um marcador +1/+1 na criatura alvo que você controla. Ela ganha alcance, atropelar e indestrutível até o final do turno. Desvire-a. (Dano e efeitos que dizem "destrua" não a destroem.)</t>
  </si>
  <si>
    <t>1{G}</t>
  </si>
  <si>
    <t>Biovisionary / Biovisionário</t>
  </si>
  <si>
    <t>At the beginning of the end step, if you control four or more creatures named Biovisionary, you win the game. / No início da etapa final, se você controlar quatro ou mais criaturas com o nome Biovisionário, você ganha o jogo.</t>
  </si>
  <si>
    <t>{1}{G}{U}</t>
  </si>
  <si>
    <t>Bird Maiden / Donzela Alada</t>
  </si>
  <si>
    <t>Creature — Human Bird</t>
  </si>
  <si>
    <t>Flying</t>
  </si>
  <si>
    <t>Birthing Hulk / Brutamontes Procriador</t>
  </si>
  <si>
    <t>Creature — Eldrazi Drone / Criatura — Eldrazi Zangão</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</si>
  <si>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</si>
  <si>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Bite Down / Abocanhar</t>
  </si>
  <si>
    <t>Target creature you control deals damage equal to its power to target creature or planeswalker you don't control. / A criatura alvo que você controla causa dano igual ao seu poder à criatura ou ao planeswalker alvo que você não controla.</t>
  </si>
  <si>
    <t>Black Mana Battery / Bateria de Mana Preta</t>
  </si>
  <si>
    <t>{2}, {T}: Put a charge counter on this artifact. {T}, Remove any number of charge counters from this artifact: Add {B}, then add an additional {B} for each charge counter removed this way.</t>
  </si>
  <si>
    <t>{4}</t>
  </si>
  <si>
    <t>Black Ward / Defesa Preta</t>
  </si>
  <si>
    <t>Enchant creature Enchanted creature has protection from black. This effect doesn't remove this Aura.</t>
  </si>
  <si>
    <t>Bladehold War-Whip / Chicote de Guerra de Bladehold</t>
  </si>
  <si>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</si>
  <si>
    <t>{1}{R}{W}</t>
  </si>
  <si>
    <t>Vermelho, Branco</t>
  </si>
  <si>
    <t>Blanchwood Prowler / Espreitador de Blanchwood</t>
  </si>
  <si>
    <t>Creature — Elemental / Criatura — Elemental</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</si>
  <si>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</si>
  <si>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The Brothers' War (BRO)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</si>
  <si>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</si>
  <si>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</si>
  <si>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t>
  </si>
  <si>
    <t>Blazing Crescendo / Crescendo Flamejante</t>
  </si>
  <si>
    <t>A criatura alvo recebe +3/+1 até o final do turno. Exile o card do topo de seu grimório. Até o final de seu próximo turno, você poderá jogar aquele card.</t>
  </si>
  <si>
    <t>1{R}</t>
  </si>
  <si>
    <t>Blazing Rootwalla / Rizowalla Inflamado</t>
  </si>
  <si>
    <t>Creature — Lizard / Criatura — Lagarto</t>
  </si>
  <si>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</si>
  <si>
    <t>Blessed Wine / Vinho Abençoado</t>
  </si>
  <si>
    <t>You gain 1 life. Draw a card at the beginning of the next turn's upkeep.</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</si>
  <si>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</si>
  <si>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</si>
  <si>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</si>
  <si>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Blighted Pretothorn</t>
  </si>
  <si>
    <t>Creature — Treefolk Warlock</t>
  </si>
  <si>
    <t>Whenever this creature enters or attacks, you may blight 2. If you do, you draw a card and lose 1 life. (To blight 2, put two -1/-1 counters on a creature you control.)</t>
  </si>
  <si>
    <t>Blind Fury / Fúria Cega</t>
  </si>
  <si>
    <t>All creatures lose trample until end of turn. If a creature would deal combat damage to a creature this turn, it deals double that damage to that creature instead.</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</si>
  <si>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</si>
  <si>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</si>
  <si>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</si>
  <si>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{1}{B}{B}</t>
  </si>
  <si>
    <t>New Phyrexia (NPH)</t>
  </si>
  <si>
    <t>Blindblast / Explosão Cegante</t>
  </si>
  <si>
    <t>Blindblast deals 1 damage to target creature. That creature can't block this turn. Draw a card. / Explosão Cegante causa 1 ponto de dano à criatura alvo. Aquela criatura não pode bloquear neste turno. Compre um card.</t>
  </si>
  <si>
    <t>Blinding Drone / Zangão Cegante</t>
  </si>
  <si>
    <t>Devoid (This card has no color.) {C}, {T}: Tap target creature. ({C} represents colorless mana.) / Desprovido (Este card não tem cor.) {C}, {T}: Vire a criatura alvo. ({C} representa mana incolor.)</t>
  </si>
  <si>
    <t>Blinding Flare / Clarão Cegante</t>
  </si>
  <si>
    <t>Esforço — Clarão Cegante custa R a mais para ser conjurado para cada alvo além do primeiro. Qualquer número de criaturas alvo não pode bloquear neste turno.</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</si>
  <si>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</si>
  <si>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</si>
  <si>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</si>
  <si>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</si>
  <si>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</si>
  <si>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</si>
  <si>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</si>
  <si>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</si>
  <si>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</si>
  <si>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</si>
  <si>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Blistering Dieflyn / Dieflyn Ardente</t>
  </si>
  <si>
    <t>Creature — Imp / Criatura — Diabrete</t>
  </si>
  <si>
    <t>Flying {B/R}: This creature gets +1/+0 until end of turn. / Voar {B/R}: Dieflyn Ardente recebe +1/+0 até o final do turno.</t>
  </si>
  <si>
    <t>Shadowmoor (SHM)</t>
  </si>
  <si>
    <t>Blitzball / Blitzball</t>
  </si>
  <si>
    <t>{T}: Adicione um mana de qualquer cor. GOLOOOOOOO! — {T}, Sacrifique este artefato: Compre dois cards. Ative somente se um oponente tiver sofrido dano de combate por uma criatura lendária neste turno.</t>
  </si>
  <si>
    <t>Blitzball Shot / Chute de Blitzball</t>
  </si>
  <si>
    <t>A criatura alvo recebe +3/+3 e ganha atropelar até o final do turno.</t>
  </si>
  <si>
    <t>Bloated Processor / Processador Inchado</t>
  </si>
  <si>
    <t>Creature — Phyrexian / Criatura — Phyrexiano</t>
  </si>
  <si>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</si>
  <si>
    <t>Blood Aspirant / Aspirante a Sanguinário</t>
  </si>
  <si>
    <t>Creature — Satyr Berserker / Criatura — Sátiro Amoque</t>
  </si>
  <si>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</si>
  <si>
    <t>Blood Hustler / Vigarista do Sangue</t>
  </si>
  <si>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</si>
  <si>
    <t>Blood Lust / Sede de Sangue</t>
  </si>
  <si>
    <t>If target creature has toughness 5 or greater, it gets +4/-4 until end of turn. Otherwise, it gets +4/-X until end of turn, where X is its toughness minus 1.</t>
  </si>
  <si>
    <t xml:space="preserve">Quarta Edição </t>
  </si>
  <si>
    <t>Quarta Edição (BB)</t>
  </si>
  <si>
    <t>Blood of the Martyr</t>
  </si>
  <si>
    <t>Until end of turn, you may redirect to yourself all damage dealt to any number of creatures. The source of the damage does not change.</t>
  </si>
  <si>
    <t>Blood Petal Celebrant / Celebradora das Pétalas de Sangue</t>
  </si>
  <si>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</si>
  <si>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</si>
  <si>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</si>
  <si>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Magic 2013 (M13)</t>
  </si>
  <si>
    <t>Blood Servitor / Serviçal de Sangue</t>
  </si>
  <si>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</si>
  <si>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</si>
  <si>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</si>
  <si>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Rivals of Ixalan (RIX)</t>
  </si>
  <si>
    <t>Blood Tithe / Dízimo de Sangue</t>
  </si>
  <si>
    <t>Each opponent loses 3 life. You gain life equal to the life lost this way. / Cada oponente perde 3 pontos de vida. Você ganha uma quantidade de pontos de vida igual aos pontos de vida perdidos dessa maneira.</t>
  </si>
  <si>
    <t>Bloodcrazed Hoplite / Hoplita Sanguinário</t>
  </si>
  <si>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</si>
  <si>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</si>
  <si>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</si>
  <si>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</si>
  <si>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Bloodflow Connoisseur / Connoisseur do Fluxo Sanguíneo</t>
  </si>
  <si>
    <t>Sacrifice a creature: Put a +1/+1 counter on this creature. / Sacrifique uma criatura: Coloque um marcador +1/+1 sobre Connoisseur do Fluxo Sanguíneo.</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</si>
  <si>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</si>
  <si>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</si>
  <si>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</si>
  <si>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</si>
  <si>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Magic 2012 (M12)</t>
  </si>
  <si>
    <t>Bloodsoaked Altar / Altar Ensanguentado</t>
  </si>
  <si>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</si>
  <si>
    <t>{4}{B}{B}</t>
  </si>
  <si>
    <t>Bloom Hulk / Druida do Pólen Brilhante</t>
  </si>
  <si>
    <t>Creature — Elf Druid / Criatura — Elfo Druida</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</si>
  <si>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</si>
  <si>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Blossombind</t>
  </si>
  <si>
    <t>Enchant creature. When this Aura enters, tap enchanted creature. Enchanted creature can't become untapped and can't have counters put on it.</t>
  </si>
  <si>
    <t>Blue</t>
  </si>
  <si>
    <t>Boar-q-pine</t>
  </si>
  <si>
    <t>Creature — Boar Porcupine</t>
  </si>
  <si>
    <t>Whenever you cast a noncreature spell, put a +1/+1 counter on this creature.</t>
  </si>
  <si>
    <t>Bog Imp / Diabrete do Pântano</t>
  </si>
  <si>
    <t>Flying (This creature can't be blocked except by creatures with flying or reach.) / Voar (Esta criatura só pode ser bloqueada por criaturas com a habilidade de voar.)</t>
  </si>
  <si>
    <t>Bog Rats / Ratos do Pântano</t>
  </si>
  <si>
    <t>Creature — Rat</t>
  </si>
  <si>
    <t>This creature can't be blocked by Walls.</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</si>
  <si>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</si>
  <si>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</si>
  <si>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</si>
  <si>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</si>
  <si>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</si>
  <si>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</si>
  <si>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Boggart Cursecrafter</t>
  </si>
  <si>
    <t>Creature — Goblin Warlock</t>
  </si>
  <si>
    <t>Deathtouch Whenever another Goblin you control dies, this creature deals 1 damage to each opponent.</t>
  </si>
  <si>
    <t>{B}{R}</t>
  </si>
  <si>
    <t>Preto, Vermelho</t>
  </si>
  <si>
    <t>Boggart Prankster</t>
  </si>
  <si>
    <t>Creature — Goblin Warrior</t>
  </si>
  <si>
    <t>Whenever you attack, target attacking Goblin you control gets +1/+0 until end of turn.</t>
  </si>
  <si>
    <t>Bogslither's Embrace</t>
  </si>
  <si>
    <t>As an additional cost to cast this spell, blight 1 or pay {3}. (To blight 1, put a -1/-1 counter on a creature you control.) Exile target creature.</t>
  </si>
  <si>
    <t>Boilerbilges Ripper</t>
  </si>
  <si>
    <t>Creature — Human Assassin</t>
  </si>
  <si>
    <t>When this creature enters, you may sacrifice another creature or enchantment. When you do, this creature deals 2 damage to any target.</t>
  </si>
  <si>
    <t>Boiling Rock Prison</t>
  </si>
  <si>
    <t>This land enters tapped. {T}: Add {B} or {R}. {4}, {T}, Sacrifice this land: Draw a card.</t>
  </si>
  <si>
    <t>Bombard / Bombardear</t>
  </si>
  <si>
    <t>Bombard causa 4 pontos de dano à criatura alvo.</t>
  </si>
  <si>
    <t>2{R}</t>
  </si>
  <si>
    <t xml:space="preserve">Rivais de Ixalan </t>
  </si>
  <si>
    <t>Bone Harvest / Colheita de Ossos</t>
  </si>
  <si>
    <t>Put any number of target creature cards from your graveyard on top of your library. Draw a card at the beginning of the next turn's upkeep.</t>
  </si>
  <si>
    <t>Bone Saw / Serra Óssea</t>
  </si>
  <si>
    <t>Equipped creature gets +1/+0. Equip {1}</t>
  </si>
  <si>
    <t>{0}</t>
  </si>
  <si>
    <t>Bone Shaman / Xamã dos Ossos</t>
  </si>
  <si>
    <t>Creature — Giant Shaman</t>
  </si>
  <si>
    <t>{B}: Until end of turn, this creature gains "Creatures dealt damage by this creature this turn can't be regenerated this turn."</t>
  </si>
  <si>
    <t>Bone Splinters / Estilhaços de Osso</t>
  </si>
  <si>
    <t>Como custo adicional para conjurar Estilhaços de Osso, sacrifique uma criatura. Destrua a criatura alvo.</t>
  </si>
  <si>
    <t>B</t>
  </si>
  <si>
    <t>Core Set 2020</t>
  </si>
  <si>
    <t>Bone to Ash / De Ossos a Cinzas</t>
  </si>
  <si>
    <t>Counter target creature spell. Draw a card. / Anule a mágica de criatura alvo.Compre um card.</t>
  </si>
  <si>
    <t>{2}{U}{U}</t>
  </si>
  <si>
    <t>Dark Ascension (DKA)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</si>
  <si>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</si>
  <si>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</si>
  <si>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Boneclub Berserker</t>
  </si>
  <si>
    <t>Creature — Goblin Berserker</t>
  </si>
  <si>
    <t>This creature gets +2/+0 for each other Goblin you control.</t>
  </si>
  <si>
    <t>Boneco de Justa / Jousting Dummy</t>
  </si>
  <si>
    <t>Criatura Artefato — Espantalho Cavaleiro</t>
  </si>
  <si>
    <t>{3}: Boneco de Justa recebe +1/+0 até o final do turno.</t>
  </si>
  <si>
    <t>Boros Recruit / Recruta Boros</t>
  </si>
  <si>
    <t>Creature — Goblin Soldier / Criatura - Soldado Goblin</t>
  </si>
  <si>
    <t>({R/W} can be paid with either {R} or {W}.) First strike / ({R/W} pode ser pago com {R} ou {W}.) Iniciativa</t>
  </si>
  <si>
    <t>{R/W}</t>
  </si>
  <si>
    <t>Ravnica: City of Guilds (RAV)</t>
  </si>
  <si>
    <t>Borough Backup / Reforço do Bairro</t>
  </si>
  <si>
    <t>Crie duas fichas de criatura Herói brancas 3/2 com vigilância. Reciclar terreno básico {2} ({2}, Descarte este card: Procure em seu grimório por um card de terreno básico, revele-o, coloque-o em sua mão e depois embaralhe.)</t>
  </si>
  <si>
    <t>Bortuk Bonerattle / Bortuk Chocalho de Ossos</t>
  </si>
  <si>
    <t>Legendary Creature — Troll Shaman / Criatura Lendária — Trol Xamã</t>
  </si>
  <si>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</si>
  <si>
    <t>{4}{B}{G}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</si>
  <si>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</si>
  <si>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</si>
  <si>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</si>
  <si>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Bot Bashing Time</t>
  </si>
  <si>
    <t>Bot Bashing Time deals 6 damage to target creature. If that creature would die this turn, exile it instead.</t>
  </si>
  <si>
    <t>Bottomless Pool // Locker Room</t>
  </si>
  <si>
    <t>Enchantment — Room // Enchantment — Room</t>
  </si>
  <si>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</si>
  <si>
    <t>{U} // {4}{U}</t>
  </si>
  <si>
    <t>Boulderfall / Queda-de-pedra</t>
  </si>
  <si>
    <t>Boulderfall deals 5 damage divided as you choose among any number of targets. / Queda-de-pedra causa 5 pontos de dano distribuídos à sua escolha entre qualquer número de criaturas e/ou jogadores alvo.</t>
  </si>
  <si>
    <t>Bound by Moonsilver / Preso com Prata Lunar</t>
  </si>
  <si>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</si>
  <si>
    <t>Innistrad Remastered (INR) RF</t>
  </si>
  <si>
    <t>Bound in Silence / Prisioneiro do Silêncio</t>
  </si>
  <si>
    <t>Kindred Enchantment — Rebel Aura / Encantamento Tribal — Rebelde Aura</t>
  </si>
  <si>
    <t>Enchant creature Enchanted creature can't attack or block. / Encantar criatura A criatura encantada não pode atacar nem bloquear.</t>
  </si>
  <si>
    <t>Future Sight (FUT)</t>
  </si>
  <si>
    <t>Bounding Felidar / Felidar a Galope</t>
  </si>
  <si>
    <t>Creature — Cat Beast Mount / Criatura — Felino Besta Montaria</t>
  </si>
  <si>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</si>
  <si>
    <t>Bouteille de Salomon / Bottle of Solomon</t>
  </si>
  <si>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</si>
  <si>
    <t>Brago's Representative</t>
  </si>
  <si>
    <t>Creature — Human Advisor</t>
  </si>
  <si>
    <t>While voting, you get an additional vote. (The votes can be for different choices or for the same choice.)</t>
  </si>
  <si>
    <t>Conspiracy (CNS)</t>
  </si>
  <si>
    <t>Brain Maggot / Verme Cerebral</t>
  </si>
  <si>
    <t>Enchantment Creature — Insect / Criatura Encantamento — Inseto</t>
  </si>
  <si>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</si>
  <si>
    <t>Bramble Armor / Armadura de Espinheiro</t>
  </si>
  <si>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</si>
  <si>
    <t>Brand of Ill Omen / Estigma do Infortúnio</t>
  </si>
  <si>
    <t>Enchant creature Cumulative upkeep {R} (At the beginning of your upkeep, put an age counter on this permanent, then sacrifice it unless you pay its upkeep cost for each age counter on it.) Enchanted creature's controller can't cast creature spells.</t>
  </si>
  <si>
    <t>Brandywine Farmer / Fazendeira do Brandevin</t>
  </si>
  <si>
    <t>Creature — Halfling Peasant / Criatura — Pequenino Plebeu</t>
  </si>
  <si>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</si>
  <si>
    <t>Brass Man / Homem de Bronze</t>
  </si>
  <si>
    <t>Artifact Creature — Construct</t>
  </si>
  <si>
    <t>This creature doesn't untap during your untap step. At the beginning of your upkeep, you may pay {1}. If you do, untap this creature.</t>
  </si>
  <si>
    <t>Brassclaw Orcs / Orcs da Garra de Bronze</t>
  </si>
  <si>
    <t>Creature — Orc</t>
  </si>
  <si>
    <t>This creature can't block creatures with power 2 or greater.</t>
  </si>
  <si>
    <t>Bravura de Pippin / Pippin's Bravery</t>
  </si>
  <si>
    <t>Você pode sacrificar uma Comida. Se fazer isso, a criatura alvo receberá +4/+4 até o final do turno. Caso contrário, aquela criatura recebe +2/+2 até o final do turno.</t>
  </si>
  <si>
    <t>Brazen Blademaster / Espadachim-mestre Brônzeo</t>
  </si>
  <si>
    <t>Creature — Orc Pirate / Criatura — Orc Pirata</t>
  </si>
  <si>
    <t>Whenever this creature attacks while you control two or more artifacts, it gets +2/+1 until end of turn. / Toda vez que Espadachim-mestre Brônzeo ataca enquanto você controla dois ou mais artefatos, ele recebe +2/+1 até o final do turno.</t>
  </si>
  <si>
    <t>Brazen Freebooter / Filibusteira Brônzea</t>
  </si>
  <si>
    <t>Creature — Human Pirate / Criatura — Humano Pirata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</si>
  <si>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</si>
  <si>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Brazen Scourge / Praga Insolente</t>
  </si>
  <si>
    <t>Creature — Gremlin / Criatura — Gremlin</t>
  </si>
  <si>
    <t>Haste (This creature can attack and {T} as soon as it comes under your control.) / Ímpeto</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</si>
  <si>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</si>
  <si>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</si>
  <si>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</si>
  <si>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</si>
  <si>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</si>
  <si>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Breathe Your Last / Respire pela Última Vez</t>
  </si>
  <si>
    <t>Destroy target creature or planeswalker. You gain 1 life for each of its colors. / Destrua a criatura ou o planeswalker alvo. Você ganha 1 ponto de vida por cada uma de suas cores.</t>
  </si>
  <si>
    <t>Breathstealer / Ladrão de Fôlego</t>
  </si>
  <si>
    <t>Creature — Nightstalker</t>
  </si>
  <si>
    <t>{B}: This creature gets +1/-1 until end of turn.</t>
  </si>
  <si>
    <t>Briarpack Alpha / Alfa da Alcateia dos Espinhos</t>
  </si>
  <si>
    <t>Flash. When Briarpack Alpha enters the battlefield, target creature gets +2/+2 until end of turn. / Lampejo. Quando Alfa da Alcateia dos Espinhos entra no campo de batalha, a criatura alvo recebe +2/+2 até o final do turno.</t>
  </si>
  <si>
    <t>Brightblade Stoat</t>
  </si>
  <si>
    <t>Creature — Weasel Soldier</t>
  </si>
  <si>
    <t>First strike, lifelink</t>
  </si>
  <si>
    <t>Brightfield Mustang</t>
  </si>
  <si>
    <t>Creature — Horse Mount</t>
  </si>
  <si>
    <t>Whenever this creature attacks while saddled, untap it and put a +1/+1 counter on it. Saddle 1 (Tap any number of other creatures you control with total power 1 or more: This Mount becomes saddled until end of turn. Saddle only as a sorcery.)</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</si>
  <si>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</si>
  <si>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</si>
  <si>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</si>
  <si>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{1}{G}{W}</t>
  </si>
  <si>
    <t>Verde, Branco</t>
  </si>
  <si>
    <t>Brilliance Unleashed</t>
  </si>
  <si>
    <t>Choose one or both — • Brilliance Unleashed deals 5 damage to target creature. • Choose target artifact card in your graveyard. Return it to the battlefield if it's an artifact creature card. Otherwise, return it to the battlefield and it's a 3/3 Robot artifact creature with flying.</t>
  </si>
  <si>
    <t>{4}{U}{R}</t>
  </si>
  <si>
    <t>Brine Shaman / Xamã do Oceano</t>
  </si>
  <si>
    <t>Creature — Human Cleric Shaman</t>
  </si>
  <si>
    <t>{T}, Sacrifice a creature: Target creature gets +2/+2 until end of turn. {1}{U}{U}, Sacrifice a creature: Counter target creature spell.</t>
  </si>
  <si>
    <t>Brinelin, the Moon Kraken / Salmouríneo, o Kraken Lunar</t>
  </si>
  <si>
    <t>Legendary Creature — Kraken / Criatura Lendária — Kraken</t>
  </si>
  <si>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</si>
  <si>
    <t>{6}{U}{U}</t>
  </si>
  <si>
    <t>Broken Visage / Imagem Estilhaçada</t>
  </si>
  <si>
    <t>Destroy target nonartifact attacking creature. It can't be regenerated. Create a black Spirit creature token. Its power is equal to that creature's power and its toughness is equal to that creature's toughness. Sacrifice the token at the beginning of the next end step.</t>
  </si>
  <si>
    <t>Broken Wings / Asas Quebradas</t>
  </si>
  <si>
    <t>Destroy target artifact, enchantment, or creature with flying. / Destrua o artefato, o encantamento ou a criatura com voar alvo.</t>
  </si>
  <si>
    <t>Bronze Tablet</t>
  </si>
  <si>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</si>
  <si>
    <t>Antiquities (ATQ)</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</si>
  <si>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</si>
  <si>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</si>
  <si>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</si>
  <si>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</si>
  <si>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Broodheart Engine</t>
  </si>
  <si>
    <t>At the beginning of your upkeep, surveil 1. {2}{B}{G}, {T}, Sacrifice this artifact: Return target creature or Vehicle card from your graveyard to the battlefield. Activate only as a sorcery.</t>
  </si>
  <si>
    <t>Broodrage Mycoid / Micoide da Prole Furiosa</t>
  </si>
  <si>
    <t>Creature — Fungus / Criatura — Fungo</t>
  </si>
  <si>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</si>
  <si>
    <t>Brothers of Fire / Irmãos do Fogo</t>
  </si>
  <si>
    <t>Creature — Human Shaman</t>
  </si>
  <si>
    <t>{1}{R}{R}: This creature deals 1 damage to any target and 1 damage to you.</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</si>
  <si>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</si>
  <si>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</si>
  <si>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</si>
  <si>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Champions of Kamigawa (CHK)</t>
  </si>
  <si>
    <t>Virado para a direita</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</si>
  <si>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</si>
  <si>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</si>
  <si>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</si>
  <si>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Builder's Bane / Maldição do Construtor</t>
  </si>
  <si>
    <t>Destroy X target artifacts. Builder's Bane deals damage to each player equal to the number of artifacts they controlled that were put into a graveyard this way.</t>
  </si>
  <si>
    <t>{X}{X}{R}</t>
  </si>
  <si>
    <t>Bulette / Bulete</t>
  </si>
  <si>
    <t>At the beginning of your end step, if a creature died this turn, put a +1/+1 counter on Bulette. / No início de sua etapa final, se uma criatura tiver morrido neste turno, coloque um marcador +1/+1 em Bulete.</t>
  </si>
  <si>
    <t>Adventures in the Forgotten Realms (AFR)</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</si>
  <si>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</si>
  <si>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</si>
  <si>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</si>
  <si>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</si>
  <si>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Bumi Bash</t>
  </si>
  <si>
    <t>Choose one — • Bumi Bash deals damage equal to the number of lands you control to target creature. • Destroy target land creature or nonbasic land.</t>
  </si>
  <si>
    <t>Bumi, King of Three Trials</t>
  </si>
  <si>
    <t>Legendary Creature — Human Noble Ally</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</si>
  <si>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</si>
  <si>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</si>
  <si>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</si>
  <si>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</si>
  <si>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Innistrad: Midnight Hunt (MID)</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</si>
  <si>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</si>
  <si>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</si>
  <si>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</si>
  <si>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Burrog Banemaker / Criador de Maldições Burrog</t>
  </si>
  <si>
    <t>Creature — Frog Warlock / Criatura — Sapo Bruxo</t>
  </si>
  <si>
    <t>Deathtouch. {1}{B}: This creature gets +1/+1 until end of turn. / Toque mortífero. {1}{B}: Esta criatura recebe +1/+1 até o final do turno.</t>
  </si>
  <si>
    <t>Burrowing / Escavar</t>
  </si>
  <si>
    <t>Enchant creature Enchanted creature has mountainwalk. (It can't be blocked as long as defending player controls a Mountain.)</t>
  </si>
  <si>
    <t>Burst Lightning / Explodir em Raios</t>
  </si>
  <si>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</si>
  <si>
    <t>Buzz Bots</t>
  </si>
  <si>
    <t>Artifact Creature — Robot Insect</t>
  </si>
  <si>
    <t>Flying, vigilance When this creature dies, draw a card.</t>
  </si>
  <si>
    <t>Buzzard-Wasp Colony</t>
  </si>
  <si>
    <t>Creature — Bird Insect</t>
  </si>
  <si>
    <t>Flying When this creature enters, you may sacrifice an artifact or creature. If you do, draw a card. Whenever another creature you control dies, if it had counters on it, put its counters on this creature.</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</si>
  <si>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</si>
  <si>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</si>
  <si>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</si>
  <si>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</si>
  <si>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</si>
  <si>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</si>
  <si>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Cactuar / Cactuar</t>
  </si>
  <si>
    <t>Criatura — Planta</t>
  </si>
  <si>
    <t>Atropelar. No início de sua etapa final, se esta criatura não tiver entrado no campo de batalha neste turno, devolva-a para a mão de seu dono.</t>
  </si>
  <si>
    <t>Cactusfolk Sureshot / Tiro-certo Cactoide</t>
  </si>
  <si>
    <t>Creature — Plant Mercenary / Criatura — Planta Mercenário</t>
  </si>
  <si>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</si>
  <si>
    <t>Cadaver Imp / Diabrete dos Cadáveres</t>
  </si>
  <si>
    <t>Flying When this creature enters, you may return target creature card from your graveyard to your hand. / Voar Quando Diabrete dos Cadáveres entra no campo de batalha, você pode devolver o card de criatura alvo de seu cemitério para a sua mão.</t>
  </si>
  <si>
    <t>Cage of Hands / Jaula de Mãos</t>
  </si>
  <si>
    <t>Enchant creature Enchanted creature can't attack or block. {1}{W}: Return this Aura to its owner's hand. / Encantar criatura A criatura encantada não pode atacar nem bloquear. {1}{W}: Devolva Jaula de Mãos para a mão de seu dono.</t>
  </si>
  <si>
    <t>Call the Mountain Chocobo</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</si>
  <si>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</si>
  <si>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Vermelha</t>
  </si>
  <si>
    <t>Final Fantasy (FFVII)</t>
  </si>
  <si>
    <t>Call to the Feast / Chamado ao Banquete</t>
  </si>
  <si>
    <t>Create three 1/1 white Vampire creature tokens with lifelink. / Crie três fichas de criatura branca 1/1 do tipo Vampiro com vínculo com a vida.</t>
  </si>
  <si>
    <t>Callous Inspector</t>
  </si>
  <si>
    <t>Menace (This creature can't be blocked except by two or more creatures.) When this creature dies, it deals 1 damage to you. Create a Clue token. (It's an artifact with "{2}, Sacrifice this token: Draw a card.")</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</si>
  <si>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</si>
  <si>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</si>
  <si>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</si>
  <si>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Guilds of Ravnica (GRN)</t>
  </si>
  <si>
    <t>Campfire / Fogueira</t>
  </si>
  <si>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</si>
  <si>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</si>
  <si>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</si>
  <si>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</si>
  <si>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Canyon Crab / Caranguejo do Cânion</t>
  </si>
  <si>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</si>
  <si>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</si>
  <si>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</si>
  <si>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</si>
  <si>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Canyon Wildcat / Lince do Desfiladeiro</t>
  </si>
  <si>
    <t>Creature — Cat / Criatura — Gato</t>
  </si>
  <si>
    <t>Mountainwalk (This creature can't be blocked as long as defending player controls a Mountain.) / Travessia de Montanha (Esta criatura não pode ser bloqueada desde que o jogador defensor controle uma Montanha.)</t>
  </si>
  <si>
    <t>Capashen Unicorn / Unicórnio de Capashen</t>
  </si>
  <si>
    <t>Creature — Unicorn / Criatura — Unicórnio</t>
  </si>
  <si>
    <t>{1}{W}, {T}, Sacrifice Capashen Unicorn: Destroy target artifact or enchantment. / {1}{W}, {T}, Sacrifique Unicórnio de Capashen: Destrua o artefato ou encantamento alvo.</t>
  </si>
  <si>
    <t>Capitã de Umbar / Captain of Umbar</t>
  </si>
  <si>
    <t>Criatura — Humano Pirata</t>
  </si>
  <si>
    <t>{1}, {T}: Compre um card e depois descarte um card.</t>
  </si>
  <si>
    <t>2{U}</t>
  </si>
  <si>
    <t>Captain Ripley Vance / Capitã Ripley Vance</t>
  </si>
  <si>
    <t>Legendary Creature — Human Pirate / Criatura Lendária — Humano Pirata</t>
  </si>
  <si>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</si>
  <si>
    <t>Careful Cultivation / Cultivo Cuidadoso</t>
  </si>
  <si>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</si>
  <si>
    <t>Carniçal Pardo / Grizzly Ghoul</t>
  </si>
  <si>
    <t>Criatura — Zumbi Urso</t>
  </si>
  <si>
    <t>Atropelar Carniçal Pardo entra no campo de batalha com um marcador +1/+1 para cada criatura que morreu neste turno.</t>
  </si>
  <si>
    <t>2{B}{G}</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</si>
  <si>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</si>
  <si>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</si>
  <si>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</si>
  <si>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</si>
  <si>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</si>
  <si>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</si>
  <si>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</si>
  <si>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</si>
  <si>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Verde e Branco</t>
  </si>
  <si>
    <t>Carrion Ants / Formigas Carrieiras</t>
  </si>
  <si>
    <t>Creature — Insect</t>
  </si>
  <si>
    <t>{1}: This creature gets +1/+1 until end of turn.</t>
  </si>
  <si>
    <t>Carrion Beetles / Besouros Carrieiros</t>
  </si>
  <si>
    <t>{2}{B}, {T}: Exile up to three target cards from a single graveyard.</t>
  </si>
  <si>
    <t>Urza's Saga (USG)</t>
  </si>
  <si>
    <t>Carrion Crow / Corvo Carniceiro</t>
  </si>
  <si>
    <t>Creature — Zombie Bird / Criatura — Zumbi Ave</t>
  </si>
  <si>
    <t>Flying (This creature can't be blocked except by creatures with flying or reach.) This creature enters tapped. / Voar (Esta criatura só pode ser bloqueada por criaturas com voar ou alcance.) Corvo Carniceiro entra no campo de batalha virado.</t>
  </si>
  <si>
    <t>Magic 2015 (M15)</t>
  </si>
  <si>
    <t>Carrion Grub / Larva Necrófaga</t>
  </si>
  <si>
    <t>Creature — Insect / Criatura — Inseto</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</si>
  <si>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</si>
  <si>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Core Set 2021 (M21)</t>
  </si>
  <si>
    <t>Carrot Cake / Bolo de Cenoura</t>
  </si>
  <si>
    <t>Artifact — Food / Artefato — Comida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</si>
  <si>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</si>
  <si>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Case File Auditor / Auditora de Arquivos de Caso</t>
  </si>
  <si>
    <t>Creature — Human Detective / Criatura — Humano Detetive</t>
  </si>
  <si>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</si>
  <si>
    <t>Case of the Gateway Express / Caso do Expresso do Portão</t>
  </si>
  <si>
    <t>Enchantment — Case / Encantamento — Caso</t>
  </si>
  <si>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</si>
  <si>
    <t>Casey Jones, Jury-Rig Justiciar</t>
  </si>
  <si>
    <t>Legendary Creature — Human Berserker</t>
  </si>
  <si>
    <t>Haste When Casey Jones enters, look at the top four cards of your library. You may reveal an artifact card from among them and put it into your hand. Put the rest on the bottom of your library in a random order.</t>
  </si>
  <si>
    <t>Cast into Darkness / Lançar na Escuridão</t>
  </si>
  <si>
    <t>Enchant creature Enchanted creature gets -2/-0 and can't block. / Encantar criatura A criatura encantada recebe -2/-0 e não pode bloquear.</t>
  </si>
  <si>
    <t>Cast Out / Degredar</t>
  </si>
  <si>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</si>
  <si>
    <t>Castelo / Castle</t>
  </si>
  <si>
    <t>As criaturas desviradas sob seu controle ganham +0/+2 quando não estiverem atacando.</t>
  </si>
  <si>
    <t>Castigate / Castigar</t>
  </si>
  <si>
    <t>Target opponent reveals their hand. You choose a nonland card from it and exile that card. / O oponente alvo revela sua própria mão. Escolha um card que não seja um terreno. Remova de jogo aquele card.</t>
  </si>
  <si>
    <t>{W}{B}</t>
  </si>
  <si>
    <t>Arena League 2006 (PAL06)</t>
  </si>
  <si>
    <t>Casting of Bones / Osteomancia</t>
  </si>
  <si>
    <t>Enchant creature When enchanted creature dies, draw three cards, then discard one of them.</t>
  </si>
  <si>
    <t>Cat-Owl</t>
  </si>
  <si>
    <t>Creature — Cat Bird</t>
  </si>
  <si>
    <t>Flying Whenever this creature attacks, untap target artifact or creature.</t>
  </si>
  <si>
    <t>{3}{W/U}</t>
  </si>
  <si>
    <t>Catacomb Slug / Lesma de Catacumba</t>
  </si>
  <si>
    <t>Creature — Slug / Criatura — Lesma</t>
  </si>
  <si>
    <t>Cautious Survivor</t>
  </si>
  <si>
    <t>Creature — Elf Survivor</t>
  </si>
  <si>
    <t>Survival — At the beginning of your second main phase, if this creature is tapped, you gain 2 life.</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</si>
  <si>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</si>
  <si>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</si>
  <si>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Cavaleiros de Dol Amroth / Knights of Dol Amroth</t>
  </si>
  <si>
    <t>Criatura — Humano Cavaleiro</t>
  </si>
  <si>
    <t>Toda vez que você comprar seu segundo card a cada turno, coloque um marcador +1/+1 em Cavaleiros de Dol Amroth.</t>
  </si>
  <si>
    <t>Cavalry Drillmaster / Mestre de Exercícios da Cavalaria</t>
  </si>
  <si>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</si>
  <si>
    <t>Cave People / Povo da Caverna</t>
  </si>
  <si>
    <t>Creature — Human</t>
  </si>
  <si>
    <t>Whenever this creature attacks, it gets +1/-2 until end of turn. {1}{R}{R}, {T}: Target creature gains mountainwalk until end of turn. (It can't be blocked as long as defending player controls a Mountain.)</t>
  </si>
  <si>
    <t>Cease-Fire / Cessar-Fogo</t>
  </si>
  <si>
    <t>Target player can't cast creature spells this turn. Draw a card. / O jogador alvo não pode baixar mágicas de criatura neste turno. Compre um card.</t>
  </si>
  <si>
    <t>Odyssey (ODY)</t>
  </si>
  <si>
    <t>Celeborn, o Sábio / Celeborn the Wise</t>
  </si>
  <si>
    <t>Criatura Lendária — Elfo Nobre</t>
  </si>
  <si>
    <t>Toda vez que você atacar com um ou mais Elfos, use vidência 1. Toda vez que você usa vidência, Celeborn, o Sábio, recebe +1Normally I can help with things like this, but I don't seem to have access to that content. You can try again or ask me for something else.</t>
  </si>
  <si>
    <t>Celestial Flare / Clarão Celestial</t>
  </si>
  <si>
    <t>Target player sacrifices an attacking or blocking creature of their choice. / O jogador alvo sacrifica uma criatura atacante ou bloqueadora.</t>
  </si>
  <si>
    <t>{W}{W}</t>
  </si>
  <si>
    <t>Celestial Prism / Prisma Celestial</t>
  </si>
  <si>
    <t>{2}, {T}: Add one mana of any color.</t>
  </si>
  <si>
    <t>Cemetery Gate / Portão do Cemitério</t>
  </si>
  <si>
    <t>Creature — Wall</t>
  </si>
  <si>
    <t>Defender (This creature can't attack.) Protection from black</t>
  </si>
  <si>
    <t>Centaur Battlemaster / Centauro Mestre da Espada</t>
  </si>
  <si>
    <t>Creature — Centaur Warrior / Criatura — Centauro Guerreiro</t>
  </si>
  <si>
    <t>Centaur Courser / Centaura-caçadora</t>
  </si>
  <si>
    <t>Cephalid Inkmage</t>
  </si>
  <si>
    <t>Creature — Octopus Wizard</t>
  </si>
  <si>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</si>
  <si>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</si>
  <si>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</si>
  <si>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Ceremonious Rejection / Rejeição Cerimoniosa</t>
  </si>
  <si>
    <t>Counter target colorless spell. / Anule a mágica incolor alvo.</t>
  </si>
  <si>
    <t>Cerulean Sphinx / Esfinge Celeste</t>
  </si>
  <si>
    <t>Creature — Sphinx / Criatura - Esfinge</t>
  </si>
  <si>
    <t>Flying {U}: This creature's owner shuffles it into their library. / Voar {U}: O dono de Esfinge Celeste a embaralha em seu grimório.</t>
  </si>
  <si>
    <t>Cesto Remendado / Patchwork Gnomes</t>
  </si>
  <si>
    <t>Artifact Creature — Scarecrow / Criatura Artefato — Espantalho</t>
  </si>
  <si>
    <t>{1}: Cesto Remendado torna-se de todas as cores até o final do turno. / {1}: Patchwork Gnomes becomes all colors until end of turn.</t>
  </si>
  <si>
    <t>Chain Devil / Diabo das Correntes</t>
  </si>
  <si>
    <t>Creature — Devil / Criatura — Diabo</t>
  </si>
  <si>
    <t>Animate Chains — When this creature enters, each player sacrifices a nontoken creature of their choice. / Animar correntes — Quando Diabo das Correntes entra no campo de batalha, cada jogador sacrifica uma criatura não ficha.</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</si>
  <si>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</si>
  <si>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</si>
  <si>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Jumpstart (JMP)</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</si>
  <si>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</si>
  <si>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</si>
  <si>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</si>
  <si>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Champion of the Weird</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</si>
  <si>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</si>
  <si>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Chandler</t>
  </si>
  <si>
    <t>Legendary Creature — Human Rogue</t>
  </si>
  <si>
    <t>{R}{R}{R}, {T}: Destroy target artifact creature.</t>
  </si>
  <si>
    <t>Chandra's Incinerator / Incinerador de Chandra</t>
  </si>
  <si>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</si>
  <si>
    <t>{5}{R}</t>
  </si>
  <si>
    <t>Channel / Canal</t>
  </si>
  <si>
    <t>Mythic / Mítica</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</si>
  <si>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</si>
  <si>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</si>
  <si>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</si>
  <si>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</si>
  <si>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Fate Reforged (FRF)</t>
  </si>
  <si>
    <t>Chant of the Skifsang / Cântico dos Skifsang</t>
  </si>
  <si>
    <t>Enchant creature Enchanted creature gets -13/-0. / Encantar criatura A criatura encantada recebe -13/-0.</t>
  </si>
  <si>
    <t>Chaos Spewer</t>
  </si>
  <si>
    <t>When this creature enters, you may pay {2}. If you don't, blight 2. (To blight 2, put two -1/-1 counters on a creature you control.)</t>
  </si>
  <si>
    <t>{2}{B/R}</t>
  </si>
  <si>
    <t>Chapel Geist / Geist da Capela</t>
  </si>
  <si>
    <t>Flying / Voar</t>
  </si>
  <si>
    <t>Chaplain's Blessing / Bênção da Capelã</t>
  </si>
  <si>
    <t>You gain 5 life. / Você ganha 5 pontos de vida.</t>
  </si>
  <si>
    <t>Charcoal Diamond / Diamante de Carvão</t>
  </si>
  <si>
    <t>This artifact enters tapped. {T}: Add {B}. / Diamante de Carvão entra no campo de batalha virado. {T}: Adicione {B}.</t>
  </si>
  <si>
    <t>Midnight Hunt Commander (MIC)</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</si>
  <si>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</si>
  <si>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</si>
  <si>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Charging Badger / Texugo Atacante</t>
  </si>
  <si>
    <t>Creature — Badger / Criatura — Texugo</t>
  </si>
  <si>
    <t>Trample / Atropelar</t>
  </si>
  <si>
    <t>Born of the Gods (BNG)</t>
  </si>
  <si>
    <t>Chariot of the Sun / Carruagem do Sol</t>
  </si>
  <si>
    <t>{2}, {T}: Until end of turn, target creature you control gains flying and has base toughness 1.</t>
  </si>
  <si>
    <t>Charmbreaker Devils / Demônios Quebradores de Encanto</t>
  </si>
  <si>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</si>
  <si>
    <t>Charmed Stray / Vira-lata Encantado</t>
  </si>
  <si>
    <t>Creature — Cat / Criatura — Felino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</si>
  <si>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</si>
  <si>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Chase Inspiration / Perseguir a Inspiração</t>
  </si>
  <si>
    <t>Instant / Instantânea</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</si>
  <si>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</si>
  <si>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Chemister's Insight / Visão da Quimiomante</t>
  </si>
  <si>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</si>
  <si>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</si>
  <si>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</si>
  <si>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</si>
  <si>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Coldsnap (CSP)</t>
  </si>
  <si>
    <t>Chisei, Heart of Oceans / Chisei, Coração dos Oceanos</t>
  </si>
  <si>
    <t>Legendary Creature — Spirit / Criatura Lendária - Espírito</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</si>
  <si>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</si>
  <si>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Betrayers of Kamigawa (BOK)</t>
  </si>
  <si>
    <t>Chitinous Graspling</t>
  </si>
  <si>
    <t>Creature — Shapeshifter</t>
  </si>
  <si>
    <t>Changeling (This card is every creature type.) Reach.</t>
  </si>
  <si>
    <t>{3}{G/U}</t>
  </si>
  <si>
    <t>Green/Blue</t>
  </si>
  <si>
    <t>Changeling (This card is every creature type.) Reach</t>
  </si>
  <si>
    <t>Choco-Comet / Choco-Cometa</t>
  </si>
  <si>
    <t>Choco-Cometa causa X de dano a qualquer alvo. Crie uma ficha de criatura Ave verde 2/2 com "Sempre que um terreno que você controla entrar, esta ficha recebe +1/+0 até o final do turno."</t>
  </si>
  <si>
    <t>{X}{R}{R}</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</si>
  <si>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</si>
  <si>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</si>
  <si>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Chocobo Racetrack / Hipódromo de Chocobos</t>
  </si>
  <si>
    <t>Aterragem — Sempre que um terreno que você controla entrar, crie uma ficha de criatura Ave verde 2/2 com "Sempre que um terreno que você controla entrar, esta ficha receberá +1/+0 até o final do turno."</t>
  </si>
  <si>
    <t>Chomping Changeling</t>
  </si>
  <si>
    <t>Changeling (This card is every creature type.) When this creature enters, destroy up to one target artifact or enchantment.</t>
  </si>
  <si>
    <t>Chorale of the Void / Coral do Vazio</t>
  </si>
  <si>
    <t>Encantamento — Aura</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</si>
  <si>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</si>
  <si>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3{B}</t>
  </si>
  <si>
    <t>Chorus of Woe</t>
  </si>
  <si>
    <t>Creatures you control get +1/+0 until end of turn.</t>
  </si>
  <si>
    <t>Portal Second Age (P02)</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</si>
  <si>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</si>
  <si>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</si>
  <si>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</si>
  <si>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Chromatic Armor / Armadura Cromática</t>
  </si>
  <si>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</si>
  <si>
    <t>{1}{W}{U}</t>
  </si>
  <si>
    <t>Chrome Companion</t>
  </si>
  <si>
    <t>Artifact Creature — Dog</t>
  </si>
  <si>
    <t>Whenever this creature becomes tapped, you gain 1 life. {2}, {T}: Put target card from a graveyard on the bottom of its owner's library.</t>
  </si>
  <si>
    <t>Edge of Eternity (EOE)</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</si>
  <si>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</si>
  <si>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</si>
  <si>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Chuva de Estrelas</t>
  </si>
  <si>
    <t>Chuva de Estrelas causa 3 pontos de dano à criatura alvo. Se aquela criatura for um encantamento, Chuva de Estrelas causará 3 pontos de dano ao controlador daquela criatura.</t>
  </si>
  <si>
    <t>4R</t>
  </si>
  <si>
    <t>Ciclope do Chicote-corrente / Chainwhip Cyclops</t>
  </si>
  <si>
    <t>Criatura — Ciclope Guerreiro / Creature — Cyclops Warrior</t>
  </si>
  <si>
    <t>{3}{R}: A criatura alvo não pode bloquear neste turno. / {3}{R}: Target creature can't block this turn.</t>
  </si>
  <si>
    <t>Ciclope Glutão</t>
  </si>
  <si>
    <t>Criatura — Ciclope</t>
  </si>
  <si>
    <t>5RR: Monstruosidade 3. (Se esta criatura não for monstruosa, coloque três marcadores +1/+1 nela e ela se tornará monstruosa.)</t>
  </si>
  <si>
    <t>5R</t>
  </si>
  <si>
    <t>Cinder Barrens / Desolação de Cinzas</t>
  </si>
  <si>
    <t>Land / Terreno</t>
  </si>
  <si>
    <t>This land enters tapped. {T}: Add {B} or {R}. / Desolação de Cinzas entra no campo de batalha virada. {T}: Adicione {B} ou {R}.</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</si>
  <si>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</si>
  <si>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</si>
  <si>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</si>
  <si>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Cinder Marsh / Pântano de Cinzas</t>
  </si>
  <si>
    <t>{T}: Add one colorless mana to your mana pool. {T}: Add {B} or {R} to your mana pool. Cinder Marsh does not untap during your next untap phase.</t>
  </si>
  <si>
    <t>Tempest (TMP)</t>
  </si>
  <si>
    <t>Cinderheart Giant / Gigante do Coração Ardente</t>
  </si>
  <si>
    <t>Creature — Giant Berserker / Criatura — Gigante Amoque</t>
  </si>
  <si>
    <t>Trample When this creature dies, it deals 7 damage to a creature an opponent controls chosen at random. / Atropelar Quando Gigante do Coração Ardente morre, ele causa 7 pontos de dano a uma criatura que um oponente controla escolhida aleatoriamente.</t>
  </si>
  <si>
    <t>{5}{R}{R}</t>
  </si>
  <si>
    <t>Cinderslash Ravager / Devastador da Brasa Fendente</t>
  </si>
  <si>
    <t>Creature — Phyrexian Warrior / Criatura — Phyrexiano Guerreiro</t>
  </si>
  <si>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</si>
  <si>
    <t>{4}{R}{G}</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</si>
  <si>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</si>
  <si>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</si>
  <si>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Circle of Protection: Artifacts</t>
  </si>
  <si>
    <t>{2}: Prevent all damage against you from one artifact source. If a source deals damage to you more than once in a turn, you may pay {2} each time to prevent the damage.</t>
  </si>
  <si>
    <t>Circle of Protection: Artifacts / Círculo de Proteção: Artefatos</t>
  </si>
  <si>
    <t>{2}: Prevent all damage that would be dealt to you by an artifact source of your choice.</t>
  </si>
  <si>
    <t>Circle of Protection: Green</t>
  </si>
  <si>
    <t>{1}: Prevent all damage against you from one green source. If a source deals damage to you more than once in a turn, you may pay {1} each time to prevent the damage.</t>
  </si>
  <si>
    <t>Circle of Protection: Green / Círculo de Proteção: Verde</t>
  </si>
  <si>
    <t>Fourth Edition (4ED) Reprint</t>
  </si>
  <si>
    <t>Circle of Protection: Preto / Círculo de Proteção: Preto</t>
  </si>
  <si>
    <t>{1}: Prevent all damage against you from one Preto source. If a source deals damage to you more than once in a turn, you may pay {1} each time to prevent the damage.</t>
  </si>
  <si>
    <t>Circle of Protection: Red / Círculo de Proteção: Vermelho</t>
  </si>
  <si>
    <t>{1}: Prevent all damage against you from one red source. If a source deals damage to you more than once in a turn, you may pay {1} each time to prevent the damage.</t>
  </si>
  <si>
    <t>Circle of Protection: White / Círculo de Proteção: Branco</t>
  </si>
  <si>
    <t>{1}: Prevent all damage that would be dealt to you by a source of your choice.</t>
  </si>
  <si>
    <t>Circolo di Protezione: Rosso / Circle of Protection: Red</t>
  </si>
  <si>
    <t>Incantesimo / Enchantment</t>
  </si>
  <si>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</si>
  <si>
    <t>Círculo de Proteção: Azul / Circle of Protection: Blue</t>
  </si>
  <si>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</si>
  <si>
    <t>Círculo de Proteção: Preto / Circle of Protection: Black</t>
  </si>
  <si>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</si>
  <si>
    <t>Círculo de Proteção: Verde / Circle of Protection: Green</t>
  </si>
  <si>
    <t>{1}: Evita qualquer dano de uma única origem verde contra você. Se esta fonte lhe causar dano mais de uma vez num mesmo turno, você poderá pagar 1 em cada uma das vezes para evitar o dano.</t>
  </si>
  <si>
    <t>City Pigeon / Pombo da Cidade</t>
  </si>
  <si>
    <t>Criatura — Ave</t>
  </si>
  <si>
    <t>Voar. Quando esta criatura deixar o campo de batalha, crie uma ficha de Comida. (Ela é um artefato com "{2}, {T}, Sacrifique esta ficha: Você ganha 3 pontos de vida.")</t>
  </si>
  <si>
    <t>Marvel: Spider-Man (SPM)</t>
  </si>
  <si>
    <t>Claim the Kingdom / Reivindicar o Reino</t>
  </si>
  <si>
    <t>Encantamento — Plano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</si>
  <si>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</si>
  <si>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</si>
  <si>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</si>
  <si>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</si>
  <si>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</si>
  <si>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</si>
  <si>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G</t>
  </si>
  <si>
    <t>Final Fantasy (FFXVI)</t>
  </si>
  <si>
    <t>Clash of Titans / Batalha dos Titãs</t>
  </si>
  <si>
    <t>Target creature fights another target creature. (Each deals damage equal to its power to the other.) / A criatura alvo luta com outra criatura alvo. (Cada uma causa dano igual ao seu poder à outra.)</t>
  </si>
  <si>
    <t>{3}{R}{R}</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</si>
  <si>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</si>
  <si>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</si>
  <si>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Clay Statue / Ídolo de Barro</t>
  </si>
  <si>
    <t>Artifact Creature — Golem</t>
  </si>
  <si>
    <t>{2}: Regenerate this creature.</t>
  </si>
  <si>
    <t>Clay-Fired Bricks / Tijolos Refratários</t>
  </si>
  <si>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</si>
  <si>
    <t>Clear the Mind / Limpar a Mente</t>
  </si>
  <si>
    <t>Target player shuffles their graveyard into their library. Draw a card. / O jogador alvo embaralha o próprio cemitério no próprio grimório. Compre um card.</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</si>
  <si>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</si>
  <si>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</si>
  <si>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Cloaked Siren / Sirena Camuflada</t>
  </si>
  <si>
    <t>Criatura — Sirena</t>
  </si>
  <si>
    <t>Lampejo (Você poderá conjurar esta mágica a qualquer momento em que puder conjurar uma mágica instantânea.) Voar</t>
  </si>
  <si>
    <t>3U</t>
  </si>
  <si>
    <t>Cloakwood Hermit / Eremita de Floresta do Manto</t>
  </si>
  <si>
    <t>Legendary Enchantment — Background / Encantamento Lendário — Antecedente</t>
  </si>
  <si>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</si>
  <si>
    <t>Commander Legends: Battle for Baldur's Gate (CLB) FE</t>
  </si>
  <si>
    <t>Clockwork Beast / Besta Mecânica</t>
  </si>
  <si>
    <t>Artifact Creature — Beast</t>
  </si>
  <si>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</si>
  <si>
    <t>Clockwork Gnomes / Gnomos Mecânicos</t>
  </si>
  <si>
    <t>Artifact Creature — Gnome</t>
  </si>
  <si>
    <t>{3}, {T}: Regenerate target artifact creature.</t>
  </si>
  <si>
    <t>Clockwork Hydra / Hidra Mecânica</t>
  </si>
  <si>
    <t>Artifact Creature — Hydra / Criatura Artefato — Hidra</t>
  </si>
  <si>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</si>
  <si>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</si>
  <si>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</si>
  <si>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Cloudbound Moogle / Moogle das Nuvens</t>
  </si>
  <si>
    <t>Criatura — Moogle</t>
  </si>
  <si>
    <t>Voar. Quando esta criatura entrar, coloque um marcador +1/+1 na criatura alvo. Reciclar Planície {2} ({2}, Descarte este card: Procure em seu grimório por um card de Planície, revele-o, coloque-o em sua mão e depois embaralhe.)</t>
  </si>
  <si>
    <t>3{W}{W}</t>
  </si>
  <si>
    <t>Cloudchaser Eagle / Águia Perseguidora de Nuvens</t>
  </si>
  <si>
    <t>Flying. When Cloudchaser Eagle comes into play, destroy target enchantment. / Voar. Quando Águia Perseguidora de Nuvens entra em jogo, destrua o encantamento alvo.</t>
  </si>
  <si>
    <t>Cloudkin Seer / Vidente Nubígena</t>
  </si>
  <si>
    <t>Creature — Elemental Wizard / Criatura — Elemental Mago</t>
  </si>
  <si>
    <t>Flying When this creature enters, draw a card. / Voar Quando Vidente Nubígena entrar no campo de batalha, compre um card.</t>
  </si>
  <si>
    <t>Cloudshift / Desvio Nebular</t>
  </si>
  <si>
    <t>Exile target creature you control, then return that card to the battlefield under your control. / Exile uma criatura alvo que você controla e depois devolva aquele card ao campo de batalha sob seu controle.</t>
  </si>
  <si>
    <t>Cloudspire Skycycle</t>
  </si>
  <si>
    <t>Artifact — Vehicle</t>
  </si>
  <si>
    <t>Flying When this Vehicle enters, distribute two +1/+1 counters among one or two other target Vehicles and/or creatures you control. Crew 1</t>
  </si>
  <si>
    <t>{2}{R}{W}</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</si>
  <si>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</si>
  <si>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</si>
  <si>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2013 (M13)</t>
  </si>
  <si>
    <t>Core Set 2014 (M14)</t>
  </si>
  <si>
    <t>Coalition Honor Guard</t>
  </si>
  <si>
    <t>Criatura — Porta-estandarte / Creature — Flagbearer</t>
  </si>
  <si>
    <t>If an opponent plays a spell or ability that could target a Flagbearer in play, that player chooses at least one Flagbearer as a target.</t>
  </si>
  <si>
    <t>Apocalypse (APC)</t>
  </si>
  <si>
    <t>Coalition Skyknight / Cavaleiro Celeste da Coalizão</t>
  </si>
  <si>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</si>
  <si>
    <t>Coeurl / Coeurl</t>
  </si>
  <si>
    <t>Criatura — Gato Besta</t>
  </si>
  <si>
    <t>{1}{W}, {T}: Vire a criatura alvo que não seja um encantamento.</t>
  </si>
  <si>
    <t>Cogwork Wrestler / Lutador Mecânico</t>
  </si>
  <si>
    <t>Artifact Creature — Gnome / Criatura Artefato — Gnomo</t>
  </si>
  <si>
    <t>Flash When this creature enters, target creature an opponent controls gets -2/-0 until end of turn. / Lampejo Quando Lutador Mecânico entra no campo de batalha, a criatura alvo que um oponente controla recebe -2/-0 até o final do turno.</t>
  </si>
  <si>
    <t>Coliseum Behemoth / Behemoth do Coliseu</t>
  </si>
  <si>
    <t>Criatura — Besta</t>
  </si>
  <si>
    <t>Atropelar. Quando esta criatura entrar, escolha um — • Destrua o artefato ou encantamento alvo. • Compre um card.</t>
  </si>
  <si>
    <t>5{G}{G}</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</si>
  <si>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</si>
  <si>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</si>
  <si>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{4}{G}{G}</t>
  </si>
  <si>
    <t>Colossal Dreadmaw / Bocarra Sinistra Colossal</t>
  </si>
  <si>
    <t>Trample. / Atropelar.</t>
  </si>
  <si>
    <t>Trample (This creature can deal excess combat damage to the player or planeswalker it's attacking.) / Atropelar</t>
  </si>
  <si>
    <t>Colossapede / Colossópode</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</si>
  <si>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</si>
  <si>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</si>
  <si>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</si>
  <si>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t>
  </si>
  <si>
    <t>Colosso Trovão de Aço / Thundersteel Colossus</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</si>
  <si>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</si>
  <si>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{7}</t>
  </si>
  <si>
    <t>Colossus of Sardia / Colosso de Sardia</t>
  </si>
  <si>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</si>
  <si>
    <t>{9}</t>
  </si>
  <si>
    <t>Combat Medic / Médico de Combate</t>
  </si>
  <si>
    <t>Summon Soldier</t>
  </si>
  <si>
    <t>{1}{W}: Prevent 1 damage to any player or creature.</t>
  </si>
  <si>
    <t>Combat Professor / Professor de Combate</t>
  </si>
  <si>
    <t>Creature — Bird Cleric / Criatura — Ave Clérigo</t>
  </si>
  <si>
    <t>Flying At the beginning of combat on your turn, target creature you control gets +1/+0 and gains vigilance until end of turn. / Voar No início do combate no seu turno, a criatura alvo que você controla recebe +1/+0 e ganha vigilância até o final do turno.</t>
  </si>
  <si>
    <t>Combat Research / Pesquisa de Combate</t>
  </si>
  <si>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</si>
  <si>
    <t>Combat Tutorial / Tutorial de Combate</t>
  </si>
  <si>
    <t>O jogador alvo compra dois cards. Coloque um marcador +1/+1 em até uma criatura alvo que você controla.</t>
  </si>
  <si>
    <t>Comet Crawler / Rastejador de Cometa</t>
  </si>
  <si>
    <t>Criatura — Inseto Horror</t>
  </si>
  <si>
    <t>Vínculo com a vida. Sempre que esta criatura atacar, você pode sacrificar outra criatura ou artefato. Se fizer isso, esta criatura receberá +2/+0 até o final do turno.</t>
  </si>
  <si>
    <t>Command Bridge / Ponte de Comando</t>
  </si>
  <si>
    <t>Terreno</t>
  </si>
  <si>
    <t>Este terreno entra virado. Quando este terreno entrar, sacrifique-o a menos que você vire uma permanente desvirada que você controla. {T}: Adicione um mana de qualquer cor.</t>
  </si>
  <si>
    <t>Commander's Sphere / Esfera do Comandante</t>
  </si>
  <si>
    <t>{T}: Add one mana of any color in your commander's color identity. Sacrifice this artifact: Draw a card. / {T}: Adicione um mana de qualquer cor da identidade de cor de seu comandante. Sacrifique Esfera do Comandante: Compre um card.</t>
  </si>
  <si>
    <t>Commander 2019 (C19)</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</si>
  <si>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</si>
  <si>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</si>
  <si>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Common Cause</t>
  </si>
  <si>
    <t>Nonartifact creatures get +2/+2 as long as they all share a color.</t>
  </si>
  <si>
    <t>Commune with Beavers / Comungar com Castores</t>
  </si>
  <si>
    <t>Olhe os três cards do topo de seu grimório. Você pode revelar um card de artefato, criatura ou terreno dentre eles e colocá-lo em sua mão. Coloque o restante no fundo de seu grimório em qualquer ordem.</t>
  </si>
  <si>
    <t>Comoção de Chifres</t>
  </si>
  <si>
    <t>Coloque no campo de batalha duas fichas de criatura vermelhas 2/3 do tipo Minotauro com ímpeto.</t>
  </si>
  <si>
    <t>Companheiro do Cartógrafo / Cartographer's Companion</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</si>
  <si>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</si>
  <si>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Compassionate Healer</t>
  </si>
  <si>
    <t>Creature — Human Cleric Ally</t>
  </si>
  <si>
    <t>Whenever this creature becomes tapped, you gain 1 life and scry 1. (Look at the top card of your library. You may put it on the bottom.)</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</si>
  <si>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</si>
  <si>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</si>
  <si>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</si>
  <si>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{4}{W}{W}</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</si>
  <si>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</si>
  <si>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</si>
  <si>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</si>
  <si>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Confounding Riddle / Charada Confusa</t>
  </si>
  <si>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</si>
  <si>
    <t>Congregation Gryff / Grifino da Congregação</t>
  </si>
  <si>
    <t>Creature — Hippogriff Mount / Criatura — Hipogrifo Montaria</t>
  </si>
  <si>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</si>
  <si>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</si>
  <si>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</si>
  <si>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</si>
  <si>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</si>
  <si>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</si>
  <si>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</si>
  <si>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</si>
  <si>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</si>
  <si>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Conservator / Protetor</t>
  </si>
  <si>
    <t>{3}, {T}: Prevent the next 2 damage that would be dealt to you this turn.</t>
  </si>
  <si>
    <t>Consider / Considerar</t>
  </si>
  <si>
    <t>Surveil 1. (Look at the top card of your library. You may put it into your graveyard.) Draw a card. / Olhe o card do topo de seu grimório. Você pode colocar aquele card em seu cemitério. Compre um card.</t>
  </si>
  <si>
    <t>Secret Lair Drop (SLD)</t>
  </si>
  <si>
    <t>Consulate Turret / Torreão do Consulado</t>
  </si>
  <si>
    <t>{T}: You get {E} (an energy counter). {T}, Pay {E}{E}{E}: This artifact deals 2 damage to target player or planeswalker. / {T}: Você recebe {E} (um marcador de energia). {T}, Pague {E}{E}{E}: Torreão do Consulado causa 2 pontos de dano ao jogador alvo.</t>
  </si>
  <si>
    <t>Aether Revolt (AER)</t>
  </si>
  <si>
    <t>Consumed by Greed</t>
  </si>
  <si>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</si>
  <si>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</si>
  <si>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</si>
  <si>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</si>
  <si>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Containment Protocol / Protocolo de Contenção</t>
  </si>
  <si>
    <t>Encantar criatura. Quando esta Aura entrar, vire a criatura encantada. A criatura encantada não desvira durante a etapa de desvirar de seu controlador.</t>
  </si>
  <si>
    <t>Teenage Mutant Ninja Turtles</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</si>
  <si>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</si>
  <si>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</si>
  <si>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Conversion</t>
  </si>
  <si>
    <t>All mountains become basic plains. During your upkeep, pay {W}{W} or destroy Conversion.</t>
  </si>
  <si>
    <t>Conversion / Conversion</t>
  </si>
  <si>
    <t>All mountains are considered basic plains while Conversion is in play. Pay {W}{W} during upkeep or Conversion is discarded.</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</si>
  <si>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</si>
  <si>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</si>
  <si>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Cooperation</t>
  </si>
  <si>
    <t>Encantar Criatura / Enchant Creature</t>
  </si>
  <si>
    <t>Target creature gains banding.</t>
  </si>
  <si>
    <t>Coordinated Clobbering</t>
  </si>
  <si>
    <t>Tap one or two target untapped creatures you control. They each deal damage equal to their power to target creature an opponent controls.</t>
  </si>
  <si>
    <t>Coral Helm / Elmo de Coral</t>
  </si>
  <si>
    <t>{3}, Discard a card at random: Target creature gets +2/+2 until end of turn.</t>
  </si>
  <si>
    <t>Coral Sword / Espada de Coral</t>
  </si>
  <si>
    <t>Lampejo. Quando este Equipamento entrar, anexe-o à criatura alvo que você controla. Aquela criatura ganha iniciativa até o final do turno. A criatura equipada recebe +1/+0. Equipar {1}</t>
  </si>
  <si>
    <t>Coral Trickster / Trapaceira dos Corais</t>
  </si>
  <si>
    <t>Creature — Merfolk Rogue / Criatura — Tritão Ladino</t>
  </si>
  <si>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</si>
  <si>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</si>
  <si>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</si>
  <si>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</si>
  <si>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Cornered by Preto Mages</t>
  </si>
  <si>
    <t>Target opponent sacrifices a creature of their choice. Create a 0/1 Preto Wizard creature token with "Whenever you cast a noncreature spell, this token deals 1 damage to each opponent."</t>
  </si>
  <si>
    <t>1BB</t>
  </si>
  <si>
    <t>Preta</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</si>
  <si>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</si>
  <si>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</si>
  <si>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</si>
  <si>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Corrupt Court Official / Magistrado Corrupto</t>
  </si>
  <si>
    <t>Creature — Human Advisor / Criatura — Humano Conselheiro</t>
  </si>
  <si>
    <t>When this creature enters, target opponent discards a card. / Quando Magistrado Corrupto entra no campo de batalha, o oponente alvo descarta um card.</t>
  </si>
  <si>
    <t>Cosmic Horror / Horror Cósmico</t>
  </si>
  <si>
    <t>First strike At the beginning of your upkeep, destroy this creature unless you pay {3}{B}{B}{B}. If this creature is destroyed this way, it deals 7 damage to you.</t>
  </si>
  <si>
    <t>{3}{B}{B}{B}</t>
  </si>
  <si>
    <t>Cosmogoyf / Cosmogoyf</t>
  </si>
  <si>
    <t>Criatura — Elemental Lhurgoyf</t>
  </si>
  <si>
    <t>O poder desta criatura é igual ao número de cards que você possui no exílio e sua resistência é igual a esse número mais 1.</t>
  </si>
  <si>
    <t>*/1+*</t>
  </si>
  <si>
    <t>Countermand / Contra-ordem</t>
  </si>
  <si>
    <t>Anule a mágica alvo. Seu controlador coloca os quatro cards do topo do grimório dele no próprio cemitério.</t>
  </si>
  <si>
    <t>Courier of Comestibles</t>
  </si>
  <si>
    <t>When this creature enters, you may search your library for a Food card, reveal it, put it into your hand, then shuffle. If you don't put a card into your hand this way, create a Food token. (It's an artifact with "{2}, {T}, Sacrifice this token: You gain 3 life.")</t>
  </si>
  <si>
    <t xml:space="preserve">Teenage Mutant Ninja Turtles (Promos) </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</si>
  <si>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</si>
  <si>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</si>
  <si>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</si>
  <si>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Masters 25 (A25)</t>
  </si>
  <si>
    <t>Coveiro / Gravedigger</t>
  </si>
  <si>
    <t>Criatura — Zumbi / Creature — Zombie</t>
  </si>
  <si>
    <t>Quando Coveiro entra no campo de batalha, você pode devolver o card de criatura alvo de seu cemitério para sua mão. / When Gravedigger enters the battlefield, you may return target creature card from your graveyard to your hand.</t>
  </si>
  <si>
    <t>Core Set 2015 (M15)</t>
  </si>
  <si>
    <t>Coveted Peacock / Pavão Cobiçado</t>
  </si>
  <si>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</si>
  <si>
    <t>{3}{U}{U}</t>
  </si>
  <si>
    <t>Cowabunga!</t>
  </si>
  <si>
    <t>Look at the top four cards of your library. You may reveal a Mutant, Ninja, Turtle, or land card from among them and put it into your hand. Put the rest on the bottom of your library in a random order.</t>
  </si>
  <si>
    <t>Crackling Drake / Dragonete Fagulhante</t>
  </si>
  <si>
    <t>Creature — Drake / Criatura — Dragonete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</si>
  <si>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</si>
  <si>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</si>
  <si>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</si>
  <si>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</si>
  <si>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</si>
  <si>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Crackling Perimeter / Perímetro de Crepitação</t>
  </si>
  <si>
    <t>Tap an untapped Gate you control: This enchantment deals 1 damage to each opponent. / Vire um Portão desvirado que você controla: Perímetro de Crepitação causa 1 ponto de dano a cada oponente.</t>
  </si>
  <si>
    <t>Crash of Rhino Beetles / Manada de Besourocerontes</t>
  </si>
  <si>
    <t>Trample This creature gets +10/+10 as long as you control ten or more lands. / Atropelar Manada de Besourocerontes receberá +10/+10 enquanto você controlar dez ou mais terrenos.</t>
  </si>
  <si>
    <t>Crash Through / Irromper</t>
  </si>
  <si>
    <t>Creatures you control gain trample until end of turn. Draw a card. / As criaturas que você controla ganham atropelar até o final do turno. Compre um card.</t>
  </si>
  <si>
    <t>Hour of Devastation (HOU)</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</si>
  <si>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</si>
  <si>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</si>
  <si>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{U}{U}</t>
  </si>
  <si>
    <t>Craterize / Craterizar</t>
  </si>
  <si>
    <t>Destroy target land. / Destrua o terreno alvo.</t>
  </si>
  <si>
    <t>Cravar na Terra</t>
  </si>
  <si>
    <t>Encantar criatura A criatura encantada recebe -6/-0.</t>
  </si>
  <si>
    <t>Crazed Goblin / Goblin Enlouquecido</t>
  </si>
  <si>
    <t>Creature — Goblin Warrior / Criatura — Guerreiro Goblin</t>
  </si>
  <si>
    <t>This creature attacks each combat if able. / Goblin Enlouquecido ataca a cada turno se estiver apto.</t>
  </si>
  <si>
    <t>Darksteel (DST)</t>
  </si>
  <si>
    <t>Crebain da Terra Parda / Dunland Crebain</t>
  </si>
  <si>
    <t>Criatura — Ave Horror</t>
  </si>
  <si>
    <t>Voar. Quando Crebain da Terra Parda entrar no campo de batalha, arregimente Orcs 2.</t>
  </si>
  <si>
    <t>Creeping Peeper</t>
  </si>
  <si>
    <t>Creature — Eye</t>
  </si>
  <si>
    <t>{T}: Add {U}. Spend this mana only to cast an enchantment spell, unlock a door, or turn a permanent face up.</t>
  </si>
  <si>
    <t>Creepy Puppeteer / Titereira Sinistra</t>
  </si>
  <si>
    <t>Creature — Human Rogue / Criatura — Humano Ladino</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</si>
  <si>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</si>
  <si>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</si>
  <si>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</si>
  <si>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</si>
  <si>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Crimson Acolyte</t>
  </si>
  <si>
    <t>Creature — Cleric</t>
  </si>
  <si>
    <t>Protection from red. {W}: Target creature gains protection from red until end of turn.</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</si>
  <si>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</si>
  <si>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</si>
  <si>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</si>
  <si>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Crimson Hellkite / Dragão Avérneo Escarlate</t>
  </si>
  <si>
    <t>Creature — Dragon</t>
  </si>
  <si>
    <t>Flying {X}, {T}: This creature deals X damage to target creature. Spend only red mana on X.</t>
  </si>
  <si>
    <t>{6}{R}{R}{R}</t>
  </si>
  <si>
    <t>Crimson Manticore / Mantícora Escarlate</t>
  </si>
  <si>
    <t>Creature — Manticore</t>
  </si>
  <si>
    <t>Flying {R}, {T}: This creature deals 1 damage to target attacking or blocking creature.</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</si>
  <si>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</si>
  <si>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</si>
  <si>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</si>
  <si>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3{R}</t>
  </si>
  <si>
    <t>Crossbow Infantry / Infantaria de Besteiros</t>
  </si>
  <si>
    <t>{T}: Crossbow Infantry deals 1 damage to target attacking or blocking creature. / {T}: Infantaria de Besteiros causa 1 ponto de dano à criatura atacante ou bloqueadora alvo.</t>
  </si>
  <si>
    <t>Crossroads Village / Vilarejo da Encruzilhada</t>
  </si>
  <si>
    <t>Este terreno entra virado. Conforme entra, escolha uma cor. {T}: Adicione um mana da cor escolhida.</t>
  </si>
  <si>
    <t>Crow of Dark Tidings / Corvo das Notícias Sombrias</t>
  </si>
  <si>
    <t>Flying When this creature enters or dies, mill two cards. (Put the top two cards of your library into your graveyard.) / Voar Quando Corvo das Notícias Sombrias entrar no campo de batalha ou morrer, coloque os dois cards do topo de seu grimório em seu cemitério.</t>
  </si>
  <si>
    <t>Crowd of True Believers / Multidão de Espectadores Féis</t>
  </si>
  <si>
    <t>Criatura — Humano Cidadão</t>
  </si>
  <si>
    <t>{T}: A criatura alvo que você controla que estiver atacando sozinha recebe +1/+0 até o final do turno. Você ganha 1 de vida.</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</si>
  <si>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</si>
  <si>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</si>
  <si>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</si>
  <si>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</si>
  <si>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Cruel Deceiver / Impostor Cruel</t>
  </si>
  <si>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</si>
  <si>
    <t>Cruel Feeding / Alimentação Cruel</t>
  </si>
  <si>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</si>
  <si>
    <t>Cruel Grimnarch / Sombrarca Cruel</t>
  </si>
  <si>
    <t>Creature — Phyrexian Cleric / Criatura — Phyrexiano Clérigo</t>
  </si>
  <si>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</si>
  <si>
    <t>{5}{B}</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</si>
  <si>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</si>
  <si>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</si>
  <si>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</si>
  <si>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Crustacean Commando</t>
  </si>
  <si>
    <t>Creature — Crab Mutant Soldier</t>
  </si>
  <si>
    <t>When this creature enters, create a Mutagen token. (It's an artifact with "{1}, {T}, Sacrifice this token: Put a +1/+1 counter on target creature. Activate only as a sorcery.")</t>
  </si>
  <si>
    <t>0/3</t>
  </si>
  <si>
    <t>Cryoshatter</t>
  </si>
  <si>
    <t>Enchant creature Enchanted creature gets -5/-0. When enchanted creature becomes tapped or is dealt damage, destroy it.</t>
  </si>
  <si>
    <t>Edge of Eternities (EOE)</t>
  </si>
  <si>
    <t>Cryptid Inspector</t>
  </si>
  <si>
    <t>Creature — Elf Warrior</t>
  </si>
  <si>
    <t>Vigilance Whenever a face-down permanent you control enters and whenever this creature or another permanent you control is turned face up, put a +1/+1 counter on this creature.</t>
  </si>
  <si>
    <t>Crystal Rod / Bastão de Cristal</t>
  </si>
  <si>
    <t>Whenever a player casts a blue spell, you may pay {1}. If you do, you gain 1 life. / Toda vez que um jogador jogar uma mágica azul, você pode pagar {1}. Se o fizer, você ganha 1 ponto de vida.</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</si>
  <si>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</si>
  <si>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</si>
  <si>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</si>
  <si>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2U</t>
  </si>
  <si>
    <t>Cuboid Colony / Colônia Cuboide</t>
  </si>
  <si>
    <t>Lampejo. Voar, atropelar. Incrementar (Sempre que você conjurar uma mágica, se a quantidade de mana que você gastou for maior que o poder ou a resistência desta criatura, coloque um marcador +1/+1 nesta criatura.)</t>
  </si>
  <si>
    <t>{G}{U}</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</si>
  <si>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</si>
  <si>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</si>
  <si>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</si>
  <si>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</si>
  <si>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</si>
  <si>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</si>
  <si>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Cunning Breezedancer / Dançarina da Brisa Astuta</t>
  </si>
  <si>
    <t>Creature — Dragon / Criatura — Dragão</t>
  </si>
  <si>
    <t>Flying Whenever you cast a noncreature spell, this creature gets +2/+2 until end of turn. / Voar Toda vez que você conjura uma mágica que não seja de criatura, Dançarina da Brisa Astuta recebe +2/+2 até o final do turno.</t>
  </si>
  <si>
    <t>{4}{W}{U}</t>
  </si>
  <si>
    <t>Cunning Maneuver</t>
  </si>
  <si>
    <t>Target creature gets +3/+1 until end of turn. Create a Clue token. (It's an artifact with "{2}, Sacrifice this token: Draw a card.")</t>
  </si>
  <si>
    <t>Cuombajj Witches / Bruxas Cuombajj</t>
  </si>
  <si>
    <t>{T}: This creature deals 1 damage to any target and 1 damage to any target of an opponent's choice. / {T}: Bruxas Cuombajj causa 1 ponto de dano a qualquer alvo e 1 ponto de dano a qualquer alvo à escolha de um oponente.</t>
  </si>
  <si>
    <t>Cura de Fárica / Pharika's Cure</t>
  </si>
  <si>
    <t>Cura de Fárica causa 2 pontos de dano à criatura alvo e você ganha 2 pontos de vida. / Pharika's Cure deals 2 damage to target creature and you gain 2 life.</t>
  </si>
  <si>
    <t>Curio Vendor / Vendedora de Raridades</t>
  </si>
  <si>
    <t>Creature — Vedalken / Criatura — Vedalkeano</t>
  </si>
  <si>
    <t>Curious Farm Animals</t>
  </si>
  <si>
    <t>Creature — Boar Elk Bird Ox</t>
  </si>
  <si>
    <t>When this creature dies, you gain 3 life. {2}, Sacrifice this creature: Destroy up to one target artifact or enchantment.</t>
  </si>
  <si>
    <t>Curse of Marit Lage / Maldição de Marit Lage</t>
  </si>
  <si>
    <t>When this enchantment enters, tap all Islands. Islands don't untap during their controllers' untap steps.</t>
  </si>
  <si>
    <t>Cursed Land / Terreno Amaldiçoado</t>
  </si>
  <si>
    <t>Enchant land At the beginning of the upkeep of enchanted land's controller, this Aura deals 1 damage to that player.</t>
  </si>
  <si>
    <t>Cursed Rack / Ecúleo Amaldiçoado</t>
  </si>
  <si>
    <t>As this artifact enters, choose an opponent. The chosen player's maximum hand size is four.</t>
  </si>
  <si>
    <t>Cut Short / Encurtar</t>
  </si>
  <si>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</si>
  <si>
    <t>Cycle of Renewal</t>
  </si>
  <si>
    <t>Sacrifice a land. Search your library for up to two basic land cards, put them onto the battlefield tapped, then shuffle.</t>
  </si>
  <si>
    <t>Cyclopean Mummy / Múmia Ciclópica</t>
  </si>
  <si>
    <t>When this creature dies, exile it.</t>
  </si>
  <si>
    <t>Cyclops Electromancer / Eletromante Ciclope</t>
  </si>
  <si>
    <t>Creature — Cyclops Wizard / Criatura — Ciclope Mago</t>
  </si>
  <si>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</si>
  <si>
    <t>Cyclops of One-Eyed Pass / Ciclope da Passagem Caolha</t>
  </si>
  <si>
    <t>Creature — Cyclops / Criatura — Ciclope</t>
  </si>
  <si>
    <t>Cyclops Superconductor / Ciclope Supercondutor</t>
  </si>
  <si>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</si>
  <si>
    <t>Dádiva de Arwen / Arwen's Gift</t>
  </si>
  <si>
    <t>Esta mágica custa {1} a menos para ser conjurada se você controla duas ou mais criaturas lendárias. Use vidência 2 e depois compre dois cards.</t>
  </si>
  <si>
    <t>Dagger Caster / Lançadora de Adagas</t>
  </si>
  <si>
    <t>Creature — Lizard Rogue / Criatura — Viashino Ladino</t>
  </si>
  <si>
    <t>When this creature enters, it deals 1 damage to each opponent and 1 damage to each creature your opponents control. / Quando Lançadora de Adagas entra no campo de batalha, ela causa 1 ponto de dano a cada oponente e 1 ponto de dano a cada criatura que seus oponentes controlam.</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</si>
  <si>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</si>
  <si>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</si>
  <si>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</si>
  <si>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Dancing Scimitar / Cimitarra Dançante</t>
  </si>
  <si>
    <t>Artifact Creature — Spirit / Criatura Artefato — Espírito</t>
  </si>
  <si>
    <t>Dangerous Wager / Aposta Arriscada</t>
  </si>
  <si>
    <t>Discard your hand, then draw two cards. / Descarte sua mão e depois compre dois cards.</t>
  </si>
  <si>
    <t>Daring Demolition / Demolição Ousada</t>
  </si>
  <si>
    <t>Destroy target creature or Vehicle. / Destrua a criatura ou o Veículo alvo.</t>
  </si>
  <si>
    <t>Dark Banishing / Banimento Sombrio</t>
  </si>
  <si>
    <t>Destroy target nonblack creature. It can't be regenerated. / Destrói a criatura alvo que não seja preta. Ela não pode ser regenerada.</t>
  </si>
  <si>
    <t>Dark Endurance / Resistência Sombria</t>
  </si>
  <si>
    <t>Esta mágica custa {1} a menos para ser conjurada se tiver como alvo uma criatura bloqueadora. A criatura alvo recebe +2/+0 e ganha indestrutível até o final do turno. (O dano e os efeitos que dizem "destrua" não a destroem.)</t>
  </si>
  <si>
    <t>1{B}</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</si>
  <si>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</si>
  <si>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</si>
  <si>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</si>
  <si>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</si>
  <si>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</si>
  <si>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Darling of the Masses / Queridinha das Massas</t>
  </si>
  <si>
    <t>Creature — Elf Citizen / Criatura — Elfo Cidadão</t>
  </si>
  <si>
    <t>Other Citizens you control get +1/+0. Whenever this creature attacks, create a 1/1 green and white Citizen creature token. / Os outros Cidadãos que você controla recebem +1/+0. Toda vez que Queridinha das Massas atacar, crie uma ficha de criatura Cidadão verde e branca 1/1.</t>
  </si>
  <si>
    <t>{2}{G}{W}</t>
  </si>
  <si>
    <t>Dauntless Onslaught / Embestida Intrépida</t>
  </si>
  <si>
    <t>Até duas criaturas alvo recebem +2/+2 até o final do turno.</t>
  </si>
  <si>
    <t>2W</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</si>
  <si>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</si>
  <si>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</si>
  <si>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Planar Chaos (PLC)</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</si>
  <si>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</si>
  <si>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</si>
  <si>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Dawn's Light Archer</t>
  </si>
  <si>
    <t>Creature — Elf Archer</t>
  </si>
  <si>
    <t>Flash. Reach.</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</si>
  <si>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</si>
  <si>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</si>
  <si>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Dawnhand Eulogist</t>
  </si>
  <si>
    <t>Creature — Elf Warlock</t>
  </si>
  <si>
    <t>Menace. When this creature enters, mill three cards. Then if there is an Elf card in your graveyard, each opponent loses 2 life and you gain 2 life.</t>
  </si>
  <si>
    <t>Dawnhart Disciple / Discípula Cervo da Aurora</t>
  </si>
  <si>
    <t>Whenever another Human you control enters, this creature gets +1/+1 until end of turn. / Toda vez que outro Humano entra no campo de batalha sob seu controle, Discípula Cervo da Aurora recebe +1/+1 até o final do turno.</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</si>
  <si>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</si>
  <si>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</si>
  <si>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</si>
  <si>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</si>
  <si>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{3}{W}{W}</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</si>
  <si>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</si>
  <si>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</si>
  <si>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Modern Horizons (MH1)</t>
  </si>
  <si>
    <t>Dead Weight / Peso Morto</t>
  </si>
  <si>
    <t>Enchant creature Enchanted creature gets -2/-2. / Encantar criatura A criatura encantada recebe -2/-2.</t>
  </si>
  <si>
    <t>Deadeye Duelist / Duelista Tirocerto</t>
  </si>
  <si>
    <t>Reach {1}, {T}: This creature deals 1 damage to target opponent. / Alcance {1}, {T}: Duelista Tirocerto causa 1 ponto de dano ao oponente alvo.</t>
  </si>
  <si>
    <t>Deadhead</t>
  </si>
  <si>
    <t>Summon Zombie</t>
  </si>
  <si>
    <t>Put Deadhead into play. Use this ability only if any opponent loses contact with his or her hand of cards and only if Deadhead is in your graveyard.</t>
  </si>
  <si>
    <t>Unglued (UGL)</t>
  </si>
  <si>
    <t>Deadly Precision</t>
  </si>
  <si>
    <t>As an additional cost to cast this spell, pay {4} or sacrifice an artifact or creature. Destroy target creature.</t>
  </si>
  <si>
    <t>Death Grasp / Garras da Morte</t>
  </si>
  <si>
    <t>Death Grasp deals X damage to any target. You gain X life.</t>
  </si>
  <si>
    <t>{X}{W}{B}</t>
  </si>
  <si>
    <t>Death in the Family</t>
  </si>
  <si>
    <t>Exile target creature with mana value 3 or less.</t>
  </si>
  <si>
    <t>Death-Rattle Oni / Oni dos Estertores</t>
  </si>
  <si>
    <t>Creature — Demon Spirit / Criatura — Demônio Espírito</t>
  </si>
  <si>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</si>
  <si>
    <t>{6}{B}</t>
  </si>
  <si>
    <t>March of the Machine: The Aftermath (MAT)</t>
  </si>
  <si>
    <t>Death's Caress / Carícia da Morte</t>
  </si>
  <si>
    <t>Destroy target creature. If that creature was a Human, you gain life equal to its toughness. / Destrua a criatura alvo. Se aquela criatura era um Humano, você ganha uma quantidade de pontos de vida igual a sua resistência.</t>
  </si>
  <si>
    <t>Deathlace / Enlace Mortal</t>
  </si>
  <si>
    <t>Target spell or permanent becomes black. (Mana symbols on that permanent remain unchanged.)</t>
  </si>
  <si>
    <t>Debris Beetle</t>
  </si>
  <si>
    <t>Trample When this Vehicle enters, each opponent loses 3 life and you gain 3 life. Crew 2</t>
  </si>
  <si>
    <t>{2}{B}{G}</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</si>
  <si>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</si>
  <si>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</si>
  <si>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Deduce / Deduzir</t>
  </si>
  <si>
    <t>Draw a card. Investigate. (Create a Clue token. It's an artifact with "{2}, Sacrifice this token: Draw a card.") / Compre um card. Investigue. (Crie uma ficha de Pista. Ela é um artefato com "{2}, sacrifique este artefato: Compre um card".)</t>
  </si>
  <si>
    <t>Deem Inferior / Julgar Inferior</t>
  </si>
  <si>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</si>
  <si>
    <t>Deep Analysis / Análise Profunda</t>
  </si>
  <si>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</si>
  <si>
    <t>Deep-Sea Terror / Terror das Profundezas</t>
  </si>
  <si>
    <t>Creature — Serpent / Criatura — Serpente</t>
  </si>
  <si>
    <t>This creature can't attack unless there are seven or more cards in your graveyard. / Terror das Profundezas não pode atacar a menos que haja sete cards ou mais em seu cemitério.</t>
  </si>
  <si>
    <t>Deepcavern Imp / Diabrete de Gruta Profunda</t>
  </si>
  <si>
    <t>Creature — Imp Rebel / Criatura — Diabrete Rebelde</t>
  </si>
  <si>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</si>
  <si>
    <t>Deepmuck Desperado / Desperado de Lamafunda</t>
  </si>
  <si>
    <t>Creature — Homarid Mercenary / Criatura — Homárida Mercenário</t>
  </si>
  <si>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</si>
  <si>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</si>
  <si>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</si>
  <si>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</si>
  <si>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Defenestrated Phantom / Fantasma Defenestrado</t>
  </si>
  <si>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</si>
  <si>
    <t>Defiant Khenra / Khenra Audaz</t>
  </si>
  <si>
    <t>Creature — Jackal Warrior / Criatura — Chacal Guerreiro</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</si>
  <si>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</si>
  <si>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</si>
  <si>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Nemesis (NMS)</t>
  </si>
  <si>
    <t>Defiled Crypt // Cadaver Lab</t>
  </si>
  <si>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</si>
  <si>
    <t>{3}{B} // {B}</t>
  </si>
  <si>
    <t>Deliberação do Conselho / Council's Deliberation</t>
  </si>
  <si>
    <t>Comre um card. Toda vez que usa vidência, se você controla uma Ilha, você pode exilar Deliberação do Conselho de seu cemitério. Se fizer isso, compre um card.</t>
  </si>
  <si>
    <t>Deliberate / Deliberar</t>
  </si>
  <si>
    <t>Scry 2, then draw a card. / Use vidência 2, depois compre um card.</t>
  </si>
  <si>
    <t>Delivery Moogle / Moogle das Entregas</t>
  </si>
  <si>
    <t>Voar. Quando esta criatura entrar, procure em seu grimório e/ou cemitério por um card de artefato com valor de mana igual ou inferior a 2, revele-o e coloque-o em sua mão. Se procurar em seu grimório deste modo, embaralhe.</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</si>
  <si>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</si>
  <si>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</si>
  <si>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</si>
  <si>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</si>
  <si>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</si>
  <si>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Demonic Junker</t>
  </si>
  <si>
    <t>Affinity for artifacts (This spell costs {1} less to cast for each artifact you control.) When this Vehicle enters, for each player, destroy up to one target creature that player controls. If a creature you controlled was destroyed this way, put two +1/+1 counters on this Vehicle. Crew 2</t>
  </si>
  <si>
    <t>Demonic Ruckus / Tumulto Demoníaco</t>
  </si>
  <si>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</si>
  <si>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</si>
  <si>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</si>
  <si>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</si>
  <si>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Denethor, Regente Governante / Denethor, Ruling Steward</t>
  </si>
  <si>
    <t>Criatura Lendária — Humano Nobre</t>
  </si>
  <si>
    <t>No início de sua etapa final, se uma criatura tiver morrido sob seu controle neste turno, crie uma ficha de criatura Humano Soldado branca 1/1. {2}, sacrifique outra criatura: Cada oponente perde 1 ponto de vida e você ganha 1 ponto de vida.</t>
  </si>
  <si>
    <t>1{W}{B}</t>
  </si>
  <si>
    <t>Branco e Preto</t>
  </si>
  <si>
    <t>Dependable Quinjet / Quinjet Confiável</t>
  </si>
  <si>
    <t>Voar. {T}: Adicione um mana de qualquer cor. Tripular 4 (Vire qualquer número de criaturas que você controla com poder total igual ou superior a 4: Este Veículo torna-se uma criatura artefato até o final do turno.)</t>
  </si>
  <si>
    <t>Depressurize / Despressurizar</t>
  </si>
  <si>
    <t>A criatura alvo recebe -3/-0 até o final do turno. Depois, se o poder daquela criatura for 0 ou menos, destrua-a.</t>
  </si>
  <si>
    <t>Deranged Assistant / Assistente Insano</t>
  </si>
  <si>
    <t>{T}, Mill a card: Add {C}. (To mill a card, put the top card of your library into your graveyard.) / {T}, Coloque o card do topo de seu grimório no seu cemitério: Adicione {1} à sua reserva de mana.</t>
  </si>
  <si>
    <t>Derelict Attic // Widow's Walk</t>
  </si>
  <si>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</si>
  <si>
    <t>{2}{B} // {3}{B}</t>
  </si>
  <si>
    <t>Desarticulação / Connive // Descoberta / Discovery</t>
  </si>
  <si>
    <t>Mágica Instantânea / Instant // Feitiço / Sorcery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</si>
  <si>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</si>
  <si>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</si>
  <si>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Desculpting Blast / Explosão Desescultora</t>
  </si>
  <si>
    <t>Devolva a permanente não de terreno alvo para a mão de seu dono. Se ela estava atacando, crie uma ficha de criatura artefato Drone incolor 1/1 com voar e "Esta ficha só pode bloquear criaturas com voar."</t>
  </si>
  <si>
    <t>Desecration Plague / Praga da Profanação</t>
  </si>
  <si>
    <t>Destroy target enchantment or land. / Destrua o encantamento ou terreno alvo.</t>
  </si>
  <si>
    <t>Deserter's Disciple</t>
  </si>
  <si>
    <t>Creature — Human Rebel Ally</t>
  </si>
  <si>
    <t>{T}: Another target creature you control with power 2 or less can't be blocked this turn.</t>
  </si>
  <si>
    <t>Desperate Stand / Resistência Desesperada</t>
  </si>
  <si>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</si>
  <si>
    <t>{R}{W}</t>
  </si>
  <si>
    <t>Despojar Alma / Ultimate Price</t>
  </si>
  <si>
    <t>Destrua a criatura alvo com poder igual ou inferior a 3. / Destroy target creature with power 3 or less.</t>
  </si>
  <si>
    <t>Destroy Evil / Destruir o Mal</t>
  </si>
  <si>
    <t>Choose one — • Destroy target creature with toughness 4 or greater. • Destroy target enchantment. / Escolha um — • Destrua a criatura alvo com resistência igual ou superior a 4. • Destrua o encantamento alvo.</t>
  </si>
  <si>
    <t>Destructive Tampering / Modificação Destrutiva</t>
  </si>
  <si>
    <t>Choose one — • Destroy target artifact. • Creatures without flying can't block this turn. / Escolha um — • Destrua o artefato alvo. • As criaturas sem voar não podem bloquear neste turno.</t>
  </si>
  <si>
    <t>Detonate / Explodir</t>
  </si>
  <si>
    <t>Destroy target artifact with mana value X. It can't be regenerated. Detonate deals X damage to that artifact's controller. / Destrói o artefato alvo com custo de mana convertido igual a X. Ela não pode ser regenerada. Explodir causa X pontos de dano ao controlador daquele artefato.</t>
  </si>
  <si>
    <t>{X}{R}</t>
  </si>
  <si>
    <t>Devastador de Lambholt / Lambholt Ravager</t>
  </si>
  <si>
    <t>Criatura — Lobo / Creature — Wolf</t>
  </si>
  <si>
    <t>Devilthorn Fox / Raposa de Espinho do Diabo</t>
  </si>
  <si>
    <t>Creature — Fox / Criatura — Raposa</t>
  </si>
  <si>
    <t>Devoradora de Tassa</t>
  </si>
  <si>
    <t>Criatura Encantamento — Elemental</t>
  </si>
  <si>
    <t>Constelação — Toda vez que Devoradora de Tassa ou outro encantamento entra no campo de batalha sob o seu controle, o jogador alvo coloca os dois cards do topo do grimório dele no próprio cemitério.</t>
  </si>
  <si>
    <t>4U</t>
  </si>
  <si>
    <t>Dewdrop Spy / Espiã da Gota de Orvalho</t>
  </si>
  <si>
    <t>Creature — Faerie Rogue / Criatura — Fada Ladino</t>
  </si>
  <si>
    <t>Flash Flying When this creature enters, look at the top card of target player's library. / Lampejo Voar Quando Espiã da Gota de Orvalho entrar em jogo, olhe o card do topo do grimório do jogador alvo.</t>
  </si>
  <si>
    <t>Morningtide (MOR)</t>
  </si>
  <si>
    <t>Diabolic Machine / Máquina Diabólica</t>
  </si>
  <si>
    <t>{3}: Regenerate this creature.</t>
  </si>
  <si>
    <t>Diadema de Raios</t>
  </si>
  <si>
    <t>Encantar criatura Quando Diadema de Raios entra no campo de batalha, ele causa 2 pontos de dano à criatura ou jogador alvo. A criatura encantada recebe +2/+2.</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</si>
  <si>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</si>
  <si>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</si>
  <si>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</si>
  <si>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</si>
  <si>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Dictate of Heliod / Decreto de Heliode</t>
  </si>
  <si>
    <t>Flash Creatures you control get +2/+2. / Lampejo As criaturas que você controla recebem +2/+2.</t>
  </si>
  <si>
    <t>The List (PLST)</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</si>
  <si>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</si>
  <si>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</si>
  <si>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Journey into Nyx Promos (PJOU)</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</si>
  <si>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</si>
  <si>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</si>
  <si>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Diligent Zookeeper</t>
  </si>
  <si>
    <t>Creature — Human Citizen Ally</t>
  </si>
  <si>
    <t>Each non-Human creature you control gets +1/+1 for each of its creature types, to a maximum of 10.</t>
  </si>
  <si>
    <t>Dimensional Exile</t>
  </si>
  <si>
    <t>Enchant basic land you control When this Aura enters, exile target creature an opponent controls until this Aura leaves the battlefield.</t>
  </si>
  <si>
    <t>Dimir Keyrune / Chave Rúnica Dimir</t>
  </si>
  <si>
    <t>{T}: Add {U} or {B}. {U}{B}: Dimir Keyrune becomes a 2/2 blue and Preto Horror artifact creature until end of turn and can't be blocked this turn.</t>
  </si>
  <si>
    <t>Diplomacia ao Fio da Espada / Razaketh's Rite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</si>
  <si>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</si>
  <si>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</si>
  <si>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</si>
  <si>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Diplomacy of the Wastes / Diplomacia dos Ermos</t>
  </si>
  <si>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</si>
  <si>
    <t>Diplomatic Relations / Relações Diplomáticas</t>
  </si>
  <si>
    <t>A criatura alvo recebe +1/+0 e ganha vigilância até o final do turno. Ela causa dano igual ao seu poder à criatura alvo que um oponente controla.</t>
  </si>
  <si>
    <t>Dire Downdraft</t>
  </si>
  <si>
    <t>This spell costs {1} less to cast if it targets an attacking or tapped creature. Target creature's owner puts it on their choice of the top or bottom of their library.</t>
  </si>
  <si>
    <t>Diregraf Ghoul / Carniçal do Cemitério do Terror</t>
  </si>
  <si>
    <t>Creature — Zombie / Criatura — Zumbi</t>
  </si>
  <si>
    <t>This creature enters tapped. / Carniçal do Cemitério do Terror entra no campo de batalha virado.</t>
  </si>
  <si>
    <t>Diresight</t>
  </si>
  <si>
    <t>Surveil 2, then draw two cards. You lose 2 life. (To surveil 2, look at the top two cards of your library, then put any number of them into your graveyard and the rest on top of your library in any order.)</t>
  </si>
  <si>
    <t>Dirtwater Wraith / Aparição do Palude</t>
  </si>
  <si>
    <t>Creature — Wraith</t>
  </si>
  <si>
    <t>Swampwalk (This creature can't be blocked as long as defending player controls a Swamp.) {B}: This creature gets +1/+0 until end of turn.</t>
  </si>
  <si>
    <t>Disciple of Deceit / Discípulo da Enganação</t>
  </si>
  <si>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</si>
  <si>
    <t>{U}{B}</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</si>
  <si>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</si>
  <si>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</si>
  <si>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Disempower</t>
  </si>
  <si>
    <t>Put target artifact or enchantment on top of owner's library.</t>
  </si>
  <si>
    <t>Disenchant / Desencantar</t>
  </si>
  <si>
    <t>Instant / Instântanea</t>
  </si>
  <si>
    <t>Target enchantment or artifact is destroyed. / Destrua o encantamento ou artefato alvo.</t>
  </si>
  <si>
    <t>Alpha (LEA)</t>
  </si>
  <si>
    <t>Destroy target artifact or enchantment.</t>
  </si>
  <si>
    <t>Classic Sixth Edition (6ED)</t>
  </si>
  <si>
    <t>Disfigure / Desfigurar</t>
  </si>
  <si>
    <t>Target creature gets -2/-2 until end of turn.</t>
  </si>
  <si>
    <t>Disintegrate / Desintegrar</t>
  </si>
  <si>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</si>
  <si>
    <t>Dismantling Blow / Golpe Desmantelador</t>
  </si>
  <si>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</si>
  <si>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</si>
  <si>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</si>
  <si>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</si>
  <si>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Disrupting Scepter / Cetro Desintegrador</t>
  </si>
  <si>
    <t>{3}, {T}: Target player chooses and discards one card from his or her hand. Use this ability only during your turn.</t>
  </si>
  <si>
    <t>Disruptor of Currents</t>
  </si>
  <si>
    <t>Creature — Merfolk Wizard</t>
  </si>
  <si>
    <t>Flash. Convoke (Your creatures can help cast this spell. Each creature you tap while casting this spell pays for {1} or one mana of that creature's color.) When this creature enters, return up to one other target nonland permanent to its owner's hand.</t>
  </si>
  <si>
    <t>Distração Efêmera / Fleeting Distraction</t>
  </si>
  <si>
    <t>A criatura alvo recebe -1/-0 até o final do turno. Compre um card. / Target creature gets -1/-0 until end of turn. Draw a card.</t>
  </si>
  <si>
    <t>Distracting Geist / Geist da Distração</t>
  </si>
  <si>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</si>
  <si>
    <t>Distress</t>
  </si>
  <si>
    <t>Target player reveals his or her hand. You choose a nonland card from it. That player discards that card.</t>
  </si>
  <si>
    <t>Black</t>
  </si>
  <si>
    <t>District Guide / Guia do Distrito</t>
  </si>
  <si>
    <t>Creature — Elf Scout / Criatura — Elfo Batedor</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</si>
  <si>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</si>
  <si>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</si>
  <si>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</si>
  <si>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</si>
  <si>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</si>
  <si>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Divination / Divinação</t>
  </si>
  <si>
    <t>Draw two cards. / Compre dois cards.</t>
  </si>
  <si>
    <t>Divine Arrow / Flecha Divina</t>
  </si>
  <si>
    <t>Divine Arrow deals 4 damage to target attacking or blocking creature. / Flecha Divina causa 4 pontos de dano à criatura alvo atacante ou bloqueadora.</t>
  </si>
  <si>
    <t>Divine Favor / Proteção Divina</t>
  </si>
  <si>
    <t>Enchant creature When this Aura enters, you gain 3 life. Enchanted creature gets +1/+3. / Encantar criatura Quando Proteção Divina entra no campo de batalha, você ganha 3 pontos de vida. A criatura encantada recebe +1/+3.</t>
  </si>
  <si>
    <t>Divine Offering</t>
  </si>
  <si>
    <t>Destroy target artifact. Gain life equal to the artifact's casting cost.</t>
  </si>
  <si>
    <t>Destroy target artifact. Gain an amount of life equal to that artifact's casting cost.</t>
  </si>
  <si>
    <t>Diving Griffin / Grifo Mergulhador</t>
  </si>
  <si>
    <t>Creature — Griffin / Criatura — Grifo</t>
  </si>
  <si>
    <t>Flying. Attacking doesn't cause Diving Griffin to tap. / Voar. Atacar não faz com que Grifo Mergulhador vire.</t>
  </si>
  <si>
    <t>Dizimador das Províncias / Decimator of the Provinces</t>
  </si>
  <si>
    <t>Creature — Eldrazi Boar / Criatura — Eldrazi Javali</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</si>
  <si>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</si>
  <si>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Dockworker Drone / Drone Estivador</t>
  </si>
  <si>
    <t>Criatura Artefato — Robô</t>
  </si>
  <si>
    <t>Esta criatura entra com um marcador +1/+1 nela. Quando esta criatura morrer, coloque os marcadores dela na criatura alvo que você controla.</t>
  </si>
  <si>
    <t>Dokuchi Shadow-Walker / Trilha-sombras Dokuchi</t>
  </si>
  <si>
    <t>Creature — Ogre Ninja / Criatura — Ogro Ninja</t>
  </si>
  <si>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</si>
  <si>
    <t>Dokuchi Silencer / Silenciador Dokuchi</t>
  </si>
  <si>
    <t>Creature — Human Ninja / Criatura — Humano Ninja</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</si>
  <si>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</si>
  <si>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Domesticated Hydra</t>
  </si>
  <si>
    <t>Creature — Hydra</t>
  </si>
  <si>
    <t>{X}{G}{G}{G}: Monstrosity X. (If this creature isn't monstrous, put X +1/+1 counters on it and it becomes monstrous.) As long as this creature is monstrous, it has trample.</t>
  </si>
  <si>
    <t>Domestication / Domesticação</t>
  </si>
  <si>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</si>
  <si>
    <t>Donatello, Turtle Techie</t>
  </si>
  <si>
    <t>Legendary Creature — Mutant Ninja Turtle</t>
  </si>
  <si>
    <t>When Donatello enters, if you control an artifact, draw a card.</t>
  </si>
  <si>
    <t>Donatello, Way with Machines</t>
  </si>
  <si>
    <t>Flying Whenever an artifact you control enters, put a +1/+1 counter on Donatello.</t>
  </si>
  <si>
    <t>Donatello's Science Lesson / Lição de Ciência de Donatello</t>
  </si>
  <si>
    <t>Vire até duas criaturas alvo. Até dois jogadores alvo compram, cada um, um card.</t>
  </si>
  <si>
    <t>Doomwake Giant / Gigante do Rastro Funesto</t>
  </si>
  <si>
    <t>Enchantment Creature — Giant / Criatura Encantamento — Gigante</t>
  </si>
  <si>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</si>
  <si>
    <t>Commander 2015 (C15)</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</si>
  <si>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</si>
  <si>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</si>
  <si>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</si>
  <si>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</si>
  <si>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</si>
  <si>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Dosan's Oldest Chant / O Canto Mais Antigo de Dosan</t>
  </si>
  <si>
    <t>You gain 6 life. Draw a card. / Você ganha 6 pontos de vida. Compre um card.</t>
  </si>
  <si>
    <t>Saviors of Kamigawa (SOK)</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</si>
  <si>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</si>
  <si>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</si>
  <si>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{1}{R/W}</t>
  </si>
  <si>
    <t>Eventide (EVE)</t>
  </si>
  <si>
    <t>Double Dip</t>
  </si>
  <si>
    <t>Choose another player. Gain 5 life now and an additional 5 life at the beginning of the next game with that player. / Escolha outro jogador. Ganhe 5 pontos de vida agora e 5 pontos de vida adicionais no início do próximo jogo com aquele jogador.</t>
  </si>
  <si>
    <t>Downwind Ambusher</t>
  </si>
  <si>
    <t>Creature — Skunk Assassin</t>
  </si>
  <si>
    <t>Flash When this creature enters, choose one — • Target creature an opponent controls gets -1/-1 until end of turn. • Destroy target creature an opponent controls that was dealt damage this turn.</t>
  </si>
  <si>
    <t>Dragon Cultist / Cultista do Dragão</t>
  </si>
  <si>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</si>
  <si>
    <t>Dragon Engine / Dragão Mecânico</t>
  </si>
  <si>
    <t>{2}: This creature gets +1/+0 until end of turn. / {2}: Dragão Mecânico recebe +1/+0 até o final do turno.</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</si>
  <si>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</si>
  <si>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</si>
  <si>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Dragon Whelp / Filhote de Dragão</t>
  </si>
  <si>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</si>
  <si>
    <t>Dragonfly Suit / Traje de Libélula</t>
  </si>
  <si>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</si>
  <si>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</si>
  <si>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</si>
  <si>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</si>
  <si>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*/3</t>
  </si>
  <si>
    <t>Dragonspark Reactor / Reator de Centelha Dracônica</t>
  </si>
  <si>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</si>
  <si>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</si>
  <si>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</si>
  <si>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Dragoon's Wyvern</t>
  </si>
  <si>
    <t>Creature — Drake</t>
  </si>
  <si>
    <t>Flying When this creature enters, create a 1/1 colorless Hero creature token.</t>
  </si>
  <si>
    <t>Final Fantasy (FFXI)</t>
  </si>
  <si>
    <t>Drain Life / Drenar Vida</t>
  </si>
  <si>
    <t>Spend only black mana on X. Drain Life deals X damage to any target. You gain life equal to the damage dealt, but not more life than the player's life total before the damage was dealt, the planeswalker's loyalty before the damage was dealt, or the creature's toughness.</t>
  </si>
  <si>
    <t>{X}{1}{B}</t>
  </si>
  <si>
    <t>Drake Haven / Refúgio dos Dragonetes</t>
  </si>
  <si>
    <t>Whenever you cycle or discard a card, you may pay {1}. If you do, create a 2/2 blue Drake creature token with flying. / Toda vez que recicla ou descarta um card, você pode pagar {1}. Se fizer isso, crie uma ficha de criatura azul 2/2 do tipo Dragonete com voar.</t>
  </si>
  <si>
    <t>Dramatic Accusation / Acusação Dramática</t>
  </si>
  <si>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</si>
  <si>
    <t>Drana's Silencer / Silenciador de Drana</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</si>
  <si>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</si>
  <si>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Dread Shade / Sombra Aterrorizante</t>
  </si>
  <si>
    <t>Creature — Shade / Criatura — Sombra</t>
  </si>
  <si>
    <t>{B}: This creature gets +1/+1 until end of turn. / {B}: Sombra Aterrorizante recebe +1/+1 até o final do turno.</t>
  </si>
  <si>
    <t>{B}{B}{B}</t>
  </si>
  <si>
    <t>Dreadbringer Lampads / Lâmpades Medonhas</t>
  </si>
  <si>
    <t>Enchantment Creature — Nymph / Criatura Encantamento — Ninfa</t>
  </si>
  <si>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</si>
  <si>
    <t>Dream Beavers</t>
  </si>
  <si>
    <t>Creature — Beaver Nightmare</t>
  </si>
  <si>
    <t>Flying When this creature enters, each opponent loses 1 life and you gain 1 life. Scry 1. (Look at the top card of your library. You may put that card on the bottom.)</t>
  </si>
  <si>
    <t>Dream Seizer</t>
  </si>
  <si>
    <t>Creature — Faerie Rogue</t>
  </si>
  <si>
    <t>Flying. When this creature enters, you may blight 1. If you do, each opponent discards a card. (To blight 1, put a -1/-1 counter on a creature you control.)</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</si>
  <si>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</si>
  <si>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</si>
  <si>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</si>
  <si>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</si>
  <si>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Dredging Claw / Garra Dragadora</t>
  </si>
  <si>
    <t>Equipped creature gets +1/+0 and has menace. Whenever a creature enters the battlefield from your graveyard, you may attach Dredging Claw to it. Equip {1}{B}</t>
  </si>
  <si>
    <t>Dregscape Sliver / Fractius do Vale das Escórias</t>
  </si>
  <si>
    <t>Creature — Sliver / Criatura — Fractius</t>
  </si>
  <si>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</si>
  <si>
    <t>Drider / Draider</t>
  </si>
  <si>
    <t>Creature — Elf Spider / Criatura — Elfo Aranha</t>
  </si>
  <si>
    <t>Reach Whenever this creature deals combat damage to a player, create a 2/1 black Spider creature token with menace and reach. / Alcance Toda vez que Draider causar dano de combate a um jogador, crie uma ficha de criatura Aranha preta 2/1 com ameaçar e alcance.</t>
  </si>
  <si>
    <t>Dromoka Dunecaster / Conjurador de Dunas de Dromoka</t>
  </si>
  <si>
    <t>{1}{W}, {T}: Tap target creature without flying. / {1}{W}, {T}: Vire a criatura alvo sem voar.</t>
  </si>
  <si>
    <t>Dromoka Warrior / Guerreiro de Dromoka</t>
  </si>
  <si>
    <t>Creature — Human Warrior / Criatura — Humano Guerreiro</t>
  </si>
  <si>
    <t>Dross Skullbomb / Bombacrânio de Dross</t>
  </si>
  <si>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</si>
  <si>
    <t>Drought</t>
  </si>
  <si>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</si>
  <si>
    <t>Drown in Sorrow / Afogar em Mágoas</t>
  </si>
  <si>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</si>
  <si>
    <t>Drowner of Hope / Afogador da Esperança</t>
  </si>
  <si>
    <t>Creature — Eldrazi / Criatura — Eldrazi</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</si>
  <si>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</si>
  <si>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{5}{U}</t>
  </si>
  <si>
    <t>Drudge Skeletons / Esqueletos de Carga</t>
  </si>
  <si>
    <t>Creature — Skeleton / Criatura — Esqueleto</t>
  </si>
  <si>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</si>
  <si>
    <t>Drudge Spell / Mágica de Carga</t>
  </si>
  <si>
    <t>{B}, Exile two creature cards from your graveyard: Create a 1/1 black Skeleton creature token. It has "{B}: Regenerate this token." When this enchantment leaves the battlefield, destroy all Skeleton tokens. They can't be regenerated.</t>
  </si>
  <si>
    <t>Dry Spell / Seca</t>
  </si>
  <si>
    <t>Dry Spell deals 1 damage to each creature and each player.</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</si>
  <si>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</si>
  <si>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</si>
  <si>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Dusk Legion Zealot</t>
  </si>
  <si>
    <t>Creature — Vampire Soldier</t>
  </si>
  <si>
    <t>When Dusk Legion Zealot enters the battlefield, you draw a card and you lose 1 life.</t>
  </si>
  <si>
    <t>Dusk Mangler / Desmembrador do Ocaso</t>
  </si>
  <si>
    <t>Creature — Horror / Criatura — Horror</t>
  </si>
  <si>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</si>
  <si>
    <t>{5}{B}{B}</t>
  </si>
  <si>
    <t>Dutiful Servants / Servos Obedientes</t>
  </si>
  <si>
    <t>Dwarven Blastminer / Anão Detonador</t>
  </si>
  <si>
    <t>Criatura — Anão / Creature — Dwarf</t>
  </si>
  <si>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</si>
  <si>
    <t>Dwarven Castle Guard</t>
  </si>
  <si>
    <t>Creature — Dwarf Soldier</t>
  </si>
  <si>
    <t>When this creature dies, create a 1/1 colorless Hero creature token.</t>
  </si>
  <si>
    <t>1W</t>
  </si>
  <si>
    <t>Final Fantasy (FFIV)</t>
  </si>
  <si>
    <t>Dwarven Hold / Forte dos Anões</t>
  </si>
  <si>
    <t>This land enters tapped. You may choose not to untap this land during your untap step. At the beginning of your upkeep, if this land is tapped, put a storage counter on it. {T}, Remove any number of storage counters from this land: Add {R} for each storage counter removed this way.</t>
  </si>
  <si>
    <t>Fifth Edition (5ED)</t>
  </si>
  <si>
    <t>Dwarven Lieutenant</t>
  </si>
  <si>
    <t>{1}{R}: Target Dwarf creature gets +1/+0 until end of turn.</t>
  </si>
  <si>
    <t>{R}{R}</t>
  </si>
  <si>
    <t>Dwarven Soldier / Anão Soldado</t>
  </si>
  <si>
    <t>Whenever this creature blocks or becomes blocked by one or more Orcs, this creature gets +0/+2 until end of turn.</t>
  </si>
  <si>
    <t>Dwarven Trader / Comerciante Anão</t>
  </si>
  <si>
    <t>Creature — Dwarf</t>
  </si>
  <si>
    <t>Dwynen's Elite</t>
  </si>
  <si>
    <t>When this creature enters, if you control another Elf, create a 1/1 green Elf Warrior creature token.</t>
  </si>
  <si>
    <t>Dwynen's Elite / Elite de Dwynen</t>
  </si>
  <si>
    <t>Creature — Elf Warrior / Criatura — Elfo Guerreiro</t>
  </si>
  <si>
    <t>When this creature enters, if you control another Elf, create a 1/1 green Elf Warrior creature token. / Quando Elite de Dwynen entrar no campo de batalha, se você controlar outro Elfo, coloque no campo de batalha uma ficha de criatura verde 1/1 do tipo Elfo Guerreiro.</t>
  </si>
  <si>
    <t>Dynamite Diver</t>
  </si>
  <si>
    <t>Creature — Goblin Pilot</t>
  </si>
  <si>
    <t>This creature saddles Mounts and crews Vehicles as though its power were 2 greater. When this creature dies, it deals 1 damage to any target.</t>
  </si>
  <si>
    <t>Eager Glyphmage / Mago de Glifos Ansioso</t>
  </si>
  <si>
    <t>Criatura — Gato Clérigo</t>
  </si>
  <si>
    <t>Quando esta criatura entrar, crie uma ficha de criatura Tinteiro 1/1 branca e preta com voar.</t>
  </si>
  <si>
    <t>Eagle of the Watch / Águia da Vigia</t>
  </si>
  <si>
    <t>Flying, vigilance / Voar, vigilância</t>
  </si>
  <si>
    <t>Eagles of the North / Águias do Norte</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</si>
  <si>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</si>
  <si>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Earth Elemental / Elemental da Terra</t>
  </si>
  <si>
    <t>Décima edição</t>
  </si>
  <si>
    <t>Earth Kingdom General</t>
  </si>
  <si>
    <t>Creature — Human Soldier Ally</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</si>
  <si>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</si>
  <si>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Earth Kingdom Soldier</t>
  </si>
  <si>
    <t>Vigilance When this creature enters, put a +1/+1 counter on each of up to two target creatures you control.</t>
  </si>
  <si>
    <t>{4}{G/W}</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</si>
  <si>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</si>
  <si>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</si>
  <si>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Earth Rumble Wrestlers</t>
  </si>
  <si>
    <t>Criatura — Humano Guerreiro Artista / Creature — Human Warrior Performer</t>
  </si>
  <si>
    <t>Reach. This creature gets +1/+0 and has trample as long as you control a land creature or a land entered the battlefield under your control this turn.</t>
  </si>
  <si>
    <t>{3}{R/G}</t>
  </si>
  <si>
    <t>Vermelho e Verde</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</si>
  <si>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</si>
  <si>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</si>
  <si>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</si>
  <si>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</si>
  <si>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</si>
  <si>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</si>
  <si>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East Wind Avatar</t>
  </si>
  <si>
    <t>Creature — Bird Spirit Avatar</t>
  </si>
  <si>
    <t>Flying, vigilance Alliance — Whenever another creature you control enters, this creature gets +1/+0 until end of turn.</t>
  </si>
  <si>
    <t>Eaten Alive / Comido Vivo</t>
  </si>
  <si>
    <t>As an additional cost to cast this spell, sacrifice a creature or pay {3}{B}. Exile target creature or planeswalker. / Como custo adicional para conjurar esta mágica, sacrifique uma criatura ou pague {3}{B}. Exile a criatura ou o planeswalker alvo.</t>
  </si>
  <si>
    <t>Eaten by Piranhas / Devorado por Piranhas</t>
  </si>
  <si>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</si>
  <si>
    <t>Ebony Charm / Medalhão de Ébano</t>
  </si>
  <si>
    <t>Choose one — • Target opponent loses 1 life and you gain 1 life. • Exile up to three target cards from a single graveyard. • Target creature gains fear until end of turn. (It can't be blocked except by artifact creatures and/or black creatures.)</t>
  </si>
  <si>
    <t>Ebony Horse / Cavalo de Ébano</t>
  </si>
  <si>
    <t>{2}, {T}: Untap target attacking creature you control. Prevent all combat damage that would be dealt to and dealt by that creature this turn.</t>
  </si>
  <si>
    <t>Ebony Rhino / Rinoceronte de ébano</t>
  </si>
  <si>
    <t>Artifact Creature — Rhino</t>
  </si>
  <si>
    <t>Trample</t>
  </si>
  <si>
    <t>Echo Chamber / Câmara de Ecos</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</si>
  <si>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</si>
  <si>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</si>
  <si>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</si>
  <si>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Eden, Seat of the Sanctum / Éden, Sede do Sanctum</t>
  </si>
  <si>
    <t>{T}: Adicione {C}. {5}, {T}: Triture dois cards. Depois, você pode sacrificar este terreno. Quando fizer isso, devolva outro card de permanente alvo de seu cemitério para sua mão.</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</si>
  <si>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</si>
  <si>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</si>
  <si>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</si>
  <si>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4{U}{U}</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</si>
  <si>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</si>
  <si>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</si>
  <si>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</si>
  <si>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</si>
  <si>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Eidolon of Rhetoric / Eidolon da Retórica</t>
  </si>
  <si>
    <t>Enchantment Creature — Spirit / Criatura Encantamento — Espírito</t>
  </si>
  <si>
    <t>Each player can't cast more than one spell each turn. / Cada jogador não pode conjurar mais de uma mágica a cada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</si>
  <si>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</si>
  <si>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</si>
  <si>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</si>
  <si>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Eject / Ejetar</t>
  </si>
  <si>
    <t>Esta mágica não pode ser anulada. Devolva a permanente alvo não de terreno para a mão de seu dono. Compre um card.</t>
  </si>
  <si>
    <t>Elder Auntie</t>
  </si>
  <si>
    <t>When this creature enters, create a 1/1 black and red Goblin creature token.</t>
  </si>
  <si>
    <t>Eldrazi Aggressor / Agressor Eldrazi</t>
  </si>
  <si>
    <t>Devoid (This card has no color.) This creature has haste as long as you control another colorless creature. / Desprovido (Este card não tem cor.) Agressor Eldrazi terá ímpeto enquanto você controlar outra criatura incolor.</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</si>
  <si>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</si>
  <si>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</si>
  <si>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Electrify / Eletrificar</t>
  </si>
  <si>
    <t>Electrify deals 4 damage to target creature. / Eletrificar causa 4 pontos de dano à criatura alvo.</t>
  </si>
  <si>
    <t>Electrolyze / Eletrolisar</t>
  </si>
  <si>
    <t>Electrolyze deals 2 damage divided as you choose among one or two targets. Draw a card. / Eletrolisar causa 2 pontos de dano distribuídos a sua escolha entre um ou dois alvos. Compre um card.</t>
  </si>
  <si>
    <t>Elegant Rotunda / Grand Entryway</t>
  </si>
  <si>
    <t>Encantamento - Sala / Enchantment - Room</t>
  </si>
  <si>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</si>
  <si>
    <t>{2}{W} / {1}{W}</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</si>
  <si>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</si>
  <si>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</si>
  <si>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</si>
  <si>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</si>
  <si>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Eliminate / Sumir</t>
  </si>
  <si>
    <t>Destroy target creature or planeswalker with mana value 3 or less. / Destrua a criatura ou o planeswalker alvo com custo de mana convertido igual ou inferior a 3.</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</si>
  <si>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</si>
  <si>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</si>
  <si>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</si>
  <si>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</si>
  <si>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Elixir</t>
  </si>
  <si>
    <t>This artifact enters tapped. 5, T, Exile this artifact: Shuffle all nonland cards from your graveyard into your library. You gain life equal to the number of cards shuffled into your library this way.</t>
  </si>
  <si>
    <t>Elrond, Senhor de Valfenda / Elrond, Lord of Rivendell</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</si>
  <si>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</si>
  <si>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</si>
  <si>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</si>
  <si>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</si>
  <si>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Elvish Hydromancer / Hidromante Élfica</t>
  </si>
  <si>
    <t>Creature — Elf Wizard / Criatura — Elfo Mago</t>
  </si>
  <si>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</si>
  <si>
    <t>Elvish Pioneer / Pioneiro Élfico</t>
  </si>
  <si>
    <t>Creature — Elf Druid / Criatura — Druida Elfo</t>
  </si>
  <si>
    <t>When this creature enters, you may put a basic land card from your hand onto the battlefield tapped. / Quando Pioneiro Élfico entra em jogo, você pode colocar em jogo, virado, um card de terreno básico de sua mão.</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</si>
  <si>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</si>
  <si>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</si>
  <si>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</si>
  <si>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</si>
  <si>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Embermage Goblin / Mago Ígneo Goblin</t>
  </si>
  <si>
    <t>Creature — Goblin Wizard / Criatura — Mago Goblin</t>
  </si>
  <si>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</si>
  <si>
    <t>Emboscador Mukotai / Mukotai Ambush</t>
  </si>
  <si>
    <t>Creature — Rat Ninja / Criatura Artefato — Rato Ninja</t>
  </si>
  <si>
    <t>Ninjutsu {1}{B}, Lifelink / Ninjutsu {1}{B}, Vínculo com a vida</t>
  </si>
  <si>
    <t>Embrace Oblivion / Abraçar o Esquecimento</t>
  </si>
  <si>
    <t>Como um custo adicional para conjurar esta mágica, sacrifique um artefato ou criatura. Destrua a criatura ou Nave Espacial alvo.</t>
  </si>
  <si>
    <t>Embrace the Paradox</t>
  </si>
  <si>
    <t>Draw three cards. You may put a land card from your hand onto the battlefield tapped.</t>
  </si>
  <si>
    <t>{3}{G}{U}</t>
  </si>
  <si>
    <t>Empty the Warrens / Esvaziar os Viveiros</t>
  </si>
  <si>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</si>
  <si>
    <t>Empyrean Eagle / Águia Empírea</t>
  </si>
  <si>
    <t>Creature — Bird Spirit / Criatura — Ave Espírito</t>
  </si>
  <si>
    <t>Flying Other creatures you control with flying get +1/+1. / Voar As outras criaturas que você controla com voar recebem +1/+1.</t>
  </si>
  <si>
    <t>Encouraging Aviator / Aviador Encorajador</t>
  </si>
  <si>
    <t>Creature — Bird Wizard / Criatura — Ave Mago</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</si>
  <si>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</si>
  <si>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Encroaching Dragonstorm</t>
  </si>
  <si>
    <t>When this enchantment enters, search your library for up to two basic land cards, put them onto the battlefield tapped, then shuffle. When a Dragon you control enters, return this enchantment to its owner's hand.</t>
  </si>
  <si>
    <t>Encumbered Reejerey</t>
  </si>
  <si>
    <t>Creature — Merfolk Soldier</t>
  </si>
  <si>
    <t>This creature enters with three -1/-1 counters on it. Whenever this creature becomes tapped while it has a -1/-1 counter on it, remove a -1/-1 counter from it.</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</si>
  <si>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</si>
  <si>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</si>
  <si>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Energybending</t>
  </si>
  <si>
    <t>Lands you control gain all basic land types until end of turn. Draw a card.</t>
  </si>
  <si>
    <t>Enhanced Surveillance / Vigilância Reforçada</t>
  </si>
  <si>
    <t>You may look at an additional two cards each time you surveil. Exile this enchantment: Shuffle your graveyard into your library. / Você pode olhar dois cards adicionais a cada vez que usar vigiar. Exile Vigilância Reforçada: Embaralhe seu cemitério em seu grimório.</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</si>
  <si>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</si>
  <si>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</si>
  <si>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</si>
  <si>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Enigma Drake / Dragonete dos Enigmas</t>
  </si>
  <si>
    <t>Flying Enigma Drake's power is equal to the number of instant and sorcery cards in your graveyard. / Voar O poder de Dragonete dos Enigmas é igual ao número de cards de mágica instantânea e feitiço em seu cemitério.</t>
  </si>
  <si>
    <t>Enslaved Scout / Batedor Escravizado</t>
  </si>
  <si>
    <t>Creature — Goblin Scout</t>
  </si>
  <si>
    <t>{2}: This creature gains mountainwalk until end of turn. (It can't be blocked as long as defending player controls a Mountain.)</t>
  </si>
  <si>
    <t>Ensopar os Coelhos / Stew the Cones</t>
  </si>
  <si>
    <t>A criatura alvo que você controla causa dano igual ao seu poder à criatura alvo que você não controla. Crie uma ficha de Comida.</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</si>
  <si>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</si>
  <si>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</si>
  <si>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Enter the Enigma</t>
  </si>
  <si>
    <t>Target creature can't be blocked this turn. Draw a card.</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</si>
  <si>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</si>
  <si>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</si>
  <si>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</si>
  <si>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Entregar ao Pó</t>
  </si>
  <si>
    <t>Esforço — Entregar ao Pó custa 2G a mais para ser conjurado para cada alvo além do primeiro. Destrua qualquer número de artefatos e/ou encantamentos alvo.</t>
  </si>
  <si>
    <t>Entropic Battlecruiser / Cruzador de Batalha Entrópico</t>
  </si>
  <si>
    <t>Artefato — Nave Espacial</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</si>
  <si>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</si>
  <si>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Environmental Scientist / Cientista Ambiental</t>
  </si>
  <si>
    <t>Creature — Human Druid / Criatura — Humano Druida</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</si>
  <si>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</si>
  <si>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</si>
  <si>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</si>
  <si>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4{R}</t>
  </si>
  <si>
    <t>Éowyn, Lady of Rohan / Éowyn, Senhora de Rohan</t>
  </si>
  <si>
    <t>Legendary Creature — Human Noble / Criatura Lendária — Humano Nobre</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</si>
  <si>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</si>
  <si>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EPF Point Squad</t>
  </si>
  <si>
    <t>Alliance — Whenever another creature you control enters, put a +1/+1 counter on this creature.</t>
  </si>
  <si>
    <t>{1}{R/W}{R/W}</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</si>
  <si>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</si>
  <si>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</si>
  <si>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</si>
  <si>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Erg Raiders / Salteadores do Deserto</t>
  </si>
  <si>
    <t>At the beginning of your end step, if this creature didn't attack this turn, it deals 2 damage to you unless it came under your control this turn.</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</si>
  <si>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</si>
  <si>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</si>
  <si>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Errant Doomsayers / Áugure do Infortúnio Errante</t>
  </si>
  <si>
    <t>Creature — Human Rebel / Criatura — Humano Rebelde</t>
  </si>
  <si>
    <t>{T}: Tap target creature with toughness 2 or less. / {T}: Vire a criatura alvo com resistência igual ou inferior a 2.</t>
  </si>
  <si>
    <t>Errantry / Peregrinação</t>
  </si>
  <si>
    <t>Enchant creature Enchanted creature gets +3/+0 and can only attack alone.</t>
  </si>
  <si>
    <t>Erratic Apparition</t>
  </si>
  <si>
    <t>Creature — Spirit</t>
  </si>
  <si>
    <t>Flying, vigilance Eerie — Whenever an enchantment you control enters and whenever you fully unlock a Room, this creature gets +1/+1 until end of turn.</t>
  </si>
  <si>
    <t>Ertai's Scorn / Escárnio de Ertai</t>
  </si>
  <si>
    <t>This spell costs {U} less to cast if an opponent cast two or more spells this turn. Counter target spell. / Esta mágica custa {U} a menos para ser conjurada se um oponente conjurou duas ou mais mágicas neste turno. Anule a mágica alvo.</t>
  </si>
  <si>
    <t>Escape from Orthanc / Fuga de Orthanc</t>
  </si>
  <si>
    <t>Escape Tunnel / Túnel de Fuga</t>
  </si>
  <si>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</si>
  <si>
    <t>Escudo Urrador / Screaming Shield</t>
  </si>
  <si>
    <t>A criatura equipada recebe +0/+3 e tem "{2}, {T}: O jogador alvo coloca os três cards do topo do próprio grimório no próprio cemitério." Equipar {3} ({3}: Anexe-o à criatura alvo que você controla. Equipe somente como um feitiço.)</t>
  </si>
  <si>
    <t>Esfera Mnemônica / Mnemonics Sphere</t>
  </si>
  <si>
    <t>{1}{U}, sacrifique Esfera Mnemônica: Compre dois cards. Canalizar — {U}, descarte Esfera Mnemônica: Compre um card. / {1}{U}, Sacrifice Mnemonics Sphere: Draw two cards. Channel — {U}, Discard Mnemonics Sphere: Draw a card.</t>
  </si>
  <si>
    <t>Esguicho de Magma</t>
  </si>
  <si>
    <t>Esguicho de Magma causa 2 pontos de dano à criatura alvo. Se aquela criatura for morrer neste turno, em vez disso, exile-a.</t>
  </si>
  <si>
    <t>Esguicho de Magma / Magma Spray</t>
  </si>
  <si>
    <t>Esguicho de Magma causa 2 pontos de dano à criatura alvo. Se aquela criatura for morrer neste turno, em vez disso, exile-a. / Magma Spray deals 2 damage to target creature. If that creature would die this turn, exile it instead.</t>
  </si>
  <si>
    <t>Espantalho da Sucata Alada / Wingrattle Scarecrow</t>
  </si>
  <si>
    <t>Criatura Artefato — Espantalho</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</si>
  <si>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</si>
  <si>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Espantalho do Condado / Shire Scarecrow</t>
  </si>
  <si>
    <t>Defensor. {1}: Adicione um mana de qualquer cor. Ative apenas uma vez a cada turno.</t>
  </si>
  <si>
    <t>Espantalho Sinalizador / Heraldic Banner</t>
  </si>
  <si>
    <t>Vigilância, {2}: Adicione um mana de qualquer cor.</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</si>
  <si>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</si>
  <si>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</si>
  <si>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</si>
  <si>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Esqueleto do Casarão / Manor Skeleton</t>
  </si>
  <si>
    <t>Criatura — Esqueleto / Creature — Skeleton</t>
  </si>
  <si>
    <t>Ímpeto {1}{B}: Regenere Esqueleto do Casarão. / Haste {1}{B}: Regenerate Manor Skeleton.</t>
  </si>
  <si>
    <t>Essence Capture / Captura de Essência</t>
  </si>
  <si>
    <t>Counter target creature spell. Put a +1/+1 counter on up to one target creature you control. / Anule a mágica de criatura alvo. Coloque um marcador +1/+1 em até uma criatura alvo que você controla.</t>
  </si>
  <si>
    <t>Essence Vortex</t>
  </si>
  <si>
    <t>Bury target creature. That creature's controller may counter this spell by paying the creature's toughness in life. Effects that prevent or redirect damage cannot be used to counter this loss of life.</t>
  </si>
  <si>
    <t>{1}{U}{B}</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</si>
  <si>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</si>
  <si>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</si>
  <si>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</si>
  <si>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</si>
  <si>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Estandarte Sultai / Sultai Banner</t>
  </si>
  <si>
    <t>{T}: Add {B}, {G}, or {U}. {B}{G}{U}, {T}, Sacrifice Sultai Banner: Draw a card. / {T}: Adicione {B}, {G} ou {U} à sua reserva de mana. {B}{G}{U}, {T}, Sacrifique Estandarte Sultai: Compre um card.</t>
  </si>
  <si>
    <t>Estante Suspeita / Suspicious Bookcase</t>
  </si>
  <si>
    <t>Artifact Creature — Wall / Criatura Artefato — Barreira</t>
  </si>
  <si>
    <t>Defender. {3}, {T}: Target creature can't be blocked this turn. / Defensor. {3}, {T}: A criatura alvo não pode ser bloqueada neste turno.</t>
  </si>
  <si>
    <t>Estrela-do-mar Rúnica</t>
  </si>
  <si>
    <t>Criatura — Estrela-do-mar</t>
  </si>
  <si>
    <t>{T}: Vidência 1. (Olhe o card do topo de seu grimório. Você pode colocar aquele card no fundo de seu grimório.)</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</si>
  <si>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</si>
  <si>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</si>
  <si>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</si>
  <si>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t>
  </si>
  <si>
    <t>Etched Champion / Campeão Entalhado</t>
  </si>
  <si>
    <t>Metalcraft — This creature has protection from each color as long as you control three or more artifacts. / Maestria com Metais — Campeão Entalhado terá proteção contra todas as cores enquanto você controlar três ou mais artefatos.</t>
  </si>
  <si>
    <t>Eternal Warrior / Guerreiro Perpétuo</t>
  </si>
  <si>
    <t>Enchant creature Enchanted creature has vigilance.</t>
  </si>
  <si>
    <t>Eternal Witness / Testemunha Eterna</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</si>
  <si>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</si>
  <si>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</si>
  <si>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</si>
  <si>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Ether / Éter</t>
  </si>
  <si>
    <t>{T}, Exile este artefato: Adicione {U}. Quando você conjurar sua próxima mágica instantânea ou de feitiço neste turno, copie aquela mágica. Você pode escolher novos alvos para a cópia.</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</si>
  <si>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</si>
  <si>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</si>
  <si>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</si>
  <si>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</si>
  <si>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Everything Pizza</t>
  </si>
  <si>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</si>
  <si>
    <t>Preto, Verde, Vermelho, Azul, Branco</t>
  </si>
  <si>
    <t>Evil Presence / Presença Maligna</t>
  </si>
  <si>
    <t>Enchant land Enchanted land is a Swamp. / Encantar terreno O terreno encantado é um Pântano.</t>
  </si>
  <si>
    <t>Nova Phyrexia</t>
  </si>
  <si>
    <t>Evil Reawakened / Mal Desperto</t>
  </si>
  <si>
    <t>Devolva o card de criatura alvo de seu cemitério para o campo de batalha com dois marcadores +1/+1 adicionais sobre ele.</t>
  </si>
  <si>
    <t>4{B}</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</si>
  <si>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</si>
  <si>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</si>
  <si>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</si>
  <si>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{T}, Sacrifice Evolving Wilds: Search your library for a basic land card, put it onto the battlefield tapped,</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</si>
  <si>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</si>
  <si>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Evolving Wilds / Terras em Evolução</t>
  </si>
  <si>
    <t>T, Sacrifique Evolving Wilds: Procure em seu grimório por um card de terreno básico e coloque-o no campo de batalha virado. Depois, embaralhe seu grimório.</t>
  </si>
  <si>
    <t>Nenhum</t>
  </si>
  <si>
    <t xml:space="preserve">Ikoria: Terra de Colossos </t>
  </si>
  <si>
    <t>Exclude / Excluir</t>
  </si>
  <si>
    <t>Counter target creature spell. Draw a card. / Anule a mágica de criatura alvo. Compre um card.</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</si>
  <si>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</si>
  <si>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</si>
  <si>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</si>
  <si>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</si>
  <si>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Preto/Verde</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</si>
  <si>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</si>
  <si>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</si>
  <si>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</si>
  <si>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Experimental Synthesizer / Sintetizador Experimental</t>
  </si>
  <si>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</si>
  <si>
    <t>Explorer's Scope / Escopo do Explorador</t>
  </si>
  <si>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</si>
  <si>
    <t>Explosive Entry / Entrada Explosiva</t>
  </si>
  <si>
    <t>Destroy up to one target artifact. Put a +1/+1 counter on up to one target creature. / Destrua até um artefato alvo. Coloque um marcador +1/+1 em até uma criatura alvo.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</si>
  <si>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</si>
  <si>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</si>
  <si>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</si>
  <si>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Exsanguinate</t>
  </si>
  <si>
    <t>Each opponent loses X life. You gain life equal to the life lost this way.</t>
  </si>
  <si>
    <t>{X}{B}{B}</t>
  </si>
  <si>
    <t>Extract a Confession / Extrair uma Confissão</t>
  </si>
  <si>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</si>
  <si>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</si>
  <si>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</si>
  <si>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Fada Macabra / Faerie Macabre</t>
  </si>
  <si>
    <t>Criatura — Fada Ladino / Creature — Faerie Rogue</t>
  </si>
  <si>
    <t>Voar. Descarte Fada Macabra: Remova do jogo até dois cards alvo em cemitérios. / Flying. Discard Faerie Macabre: Exile up to two target cards from graveyards.</t>
  </si>
  <si>
    <t>Fade into Antiquity / Desaparecer na Antiguidade</t>
  </si>
  <si>
    <t>Exile target artifact or enchantment. / Exile o artefato ou encantamento alvo.</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</si>
  <si>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</si>
  <si>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</si>
  <si>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Faerie Impostor / Impostor Fada</t>
  </si>
  <si>
    <t>Criatura — Fada Ladino</t>
  </si>
  <si>
    <t>Voar. Quando Impostor Fada entra no campo de batalha, sacrifique-o, a menos que você devolva outra criatura que controla para a mão de seu dono.</t>
  </si>
  <si>
    <t>U</t>
  </si>
  <si>
    <t>Faerie Invaders / Invasores Fadas</t>
  </si>
  <si>
    <t>Lampejo (Você poderá conjurar esta mágica a qualquer momento em que puder conjurar uma mágica instantânea.) Voar.</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</si>
  <si>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</si>
  <si>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</si>
  <si>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</si>
  <si>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</si>
  <si>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</si>
  <si>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</si>
  <si>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</si>
  <si>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</si>
  <si>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</si>
  <si>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4{U}</t>
  </si>
  <si>
    <t>Falkenrath Celebrants / Celebradores Falkenrath</t>
  </si>
  <si>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</si>
  <si>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</si>
  <si>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</si>
  <si>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False Dawn / Amanhecer Falso</t>
  </si>
  <si>
    <t>Colored mana symbols on all permanents you control and on all cards you own that aren't in play become {W} until end of turn. Draw a card.</t>
  </si>
  <si>
    <t>Familiar de Filigrana / Filigree Familiar</t>
  </si>
  <si>
    <t>Criatura Artefato — Raposa</t>
  </si>
  <si>
    <t>Quando Familiar de Filigrana entra no campo de batalha, você ganha 2 pontos de vida. Quando Familiar de Filigrana morrer, compre um card.</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</si>
  <si>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</si>
  <si>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</si>
  <si>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Blue spells and red spells you cast cost {1} less to cast. {1}{B}: Regenerate Nightscape Familiar.</t>
  </si>
  <si>
    <t>Duel Decks: Ajani vs. Nicol Bolas</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</si>
  <si>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</si>
  <si>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</si>
  <si>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</si>
  <si>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</si>
  <si>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</si>
  <si>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</si>
  <si>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Fancy Footwork</t>
  </si>
  <si>
    <t>Untap one or two target creatures. They each get +2/+2 until end of turn.</t>
  </si>
  <si>
    <t>Fang Guardian</t>
  </si>
  <si>
    <t>Creature — Ape Druid</t>
  </si>
  <si>
    <t>Flash When this creature enters, another target creature or Vehicle you control gets +2/+2 until end of turn.</t>
  </si>
  <si>
    <t>Fang, Fearless l'Cie / Fang, l'Cie Destemida</t>
  </si>
  <si>
    <t>Criatura Lendária — Humano Guerreiro</t>
  </si>
  <si>
    <t>Sempre que um ou mais cards deixarem o seu cemitério, você compra um card e perde 1 de vida. Esta habilidade é ativada apenas uma vez a cada turno. (Funde-se com Vanille, Cheerful l'Cie.)</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</si>
  <si>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</si>
  <si>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</si>
  <si>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Fangs of Kalonia / Presas de Kalonia</t>
  </si>
  <si>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</si>
  <si>
    <t>Faramir, Field Commander / Faramir, Comandante de Campo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</si>
  <si>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</si>
  <si>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Farhaven Elf / Elfo Porto-longínquo</t>
  </si>
  <si>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</si>
  <si>
    <t>Wizards Play Network 2026 (PW26)</t>
  </si>
  <si>
    <t>Farrel's Mantle / Manto de Farrel</t>
  </si>
  <si>
    <t>Enchant Creature</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</si>
  <si>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</si>
  <si>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</si>
  <si>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Fatal Fissure</t>
  </si>
  <si>
    <t>Choose target creature. When that creature dies this turn, you earthbend 4. (Target land you control becomes a 0/0 creature with haste that's still a land. Put four +1/+1 counters on it. When it dies or is exiled, return it to the battlefield tapped.)</t>
  </si>
  <si>
    <t>Fatal Lore / Conhecimento Fatal</t>
  </si>
  <si>
    <t>An opponent chooses one — • You draw three cards. • You destroy up to two target creatures that player controls. They can't be regenerated. That player draws up to three cards.</t>
  </si>
  <si>
    <t>Fate of the Sun-Cryst</t>
  </si>
  <si>
    <t>This spell costs 2 less to cast if it targets a tapped creature. Destroy target nonland permanent.</t>
  </si>
  <si>
    <t>4W</t>
  </si>
  <si>
    <t>Final Fantasy (FFXII)</t>
  </si>
  <si>
    <t>Fate Transfer / Transferência de Destino</t>
  </si>
  <si>
    <t>Move all counters from target creature onto another target creature. / Mova todos os marcadores da criatura alvo para outra criatura alvo.</t>
  </si>
  <si>
    <t>{1}{U/B}</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</si>
  <si>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</si>
  <si>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</si>
  <si>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Fathom Fleet Cutthroat / Degoladora da Frota Abissal</t>
  </si>
  <si>
    <t>When this creature enters, destroy target creature an opponent controls that was dealt damage this turn. / Quando Degoladora da Frota Abissal entrar no campo de batalha, destrua a criatura alvo que um oponente controla que sofreu dano neste turno.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</si>
  <si>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</si>
  <si>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</si>
  <si>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</si>
  <si>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</si>
  <si>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</si>
  <si>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Faunsbane Troll / Trol Ruína dos Faunos</t>
  </si>
  <si>
    <t>Creature — Troll / Criatura — Trol</t>
  </si>
  <si>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</si>
  <si>
    <t>Favor of Jukai / Proteção de Jukai</t>
  </si>
  <si>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</si>
  <si>
    <t>Fear / Amedrontar</t>
  </si>
  <si>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</si>
  <si>
    <t>Fear of Burning Alive</t>
  </si>
  <si>
    <t>Enchantment Creature — Nightmare</t>
  </si>
  <si>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</si>
  <si>
    <t>{4}{R}{R}</t>
  </si>
  <si>
    <t>Fear of Impostors</t>
  </si>
  <si>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</si>
  <si>
    <t>Fear of Surveillance</t>
  </si>
  <si>
    <t>Vigilance Whenever this creature attacks, surveil 1. (Look at the top card of your library. You may put it into your graveyard.)</t>
  </si>
  <si>
    <t>Fear of the Dark</t>
  </si>
  <si>
    <t>Whenever this creature attacks, if defending player controls no Glimmer creatures, it gains menace and deathtouch until end of turn. (A creature with menace can't be blocked except by two or more creatures.)</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</si>
  <si>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</si>
  <si>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</si>
  <si>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Feast of Dreams / Banquete de Sonhos</t>
  </si>
  <si>
    <t>Destroy target enchanted creature or enchantment creature. / Destrua a criatura encantada ou a criatura encantamento alvo.</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</si>
  <si>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</si>
  <si>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</si>
  <si>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Feast of Succession / Banquete da Sucessão</t>
  </si>
  <si>
    <t>All creatures get -4/-4 until end of turn. You become the monarch. / Todas as criaturas recebem -4/-4 até o final do turno. Você se torna o monarca.</t>
  </si>
  <si>
    <t>Feast of the Unicorn / Festim de Unicórnio</t>
  </si>
  <si>
    <t>Enchant creature Enchanted creature gets +4/+0.</t>
  </si>
  <si>
    <t>Feast or Famine / Fartura ou Penúria</t>
  </si>
  <si>
    <t>Choose one — • Create a 2/2 black Zombie creature token. • Destroy target nonartifact, nonblack creature. It can't be regenerated.</t>
  </si>
  <si>
    <t>Feaster of Fools / Devorador de Tolos</t>
  </si>
  <si>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</si>
  <si>
    <t>Featherbrained Filcher</t>
  </si>
  <si>
    <t>Creature — Bird Mutant</t>
  </si>
  <si>
    <t>Flying When this creature leaves the battlefield, create a Food token. (It's an artifact with "{2}, {T}, Sacrifice this token: You gain 3 life.")</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</si>
  <si>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</si>
  <si>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</si>
  <si>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Feed the Cycle</t>
  </si>
  <si>
    <t>As an additional cost to cast this spell, forage or pay {B}. (To forage, exile three cards from your graveyard or sacrifice a Food.) Destroy target creature or planeswalker.</t>
  </si>
  <si>
    <t>Feed the Flames</t>
  </si>
  <si>
    <t>Feed the Flames deals 5 damage to target creature. If that creature would die this turn, exile it instead.</t>
  </si>
  <si>
    <t>Red</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</si>
  <si>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</si>
  <si>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</si>
  <si>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Feldon's Cane / Bengala de Feldon</t>
  </si>
  <si>
    <t>{T}, Remove Feldon's Cane from the game: Shuffle your graveyard into your library.</t>
  </si>
  <si>
    <t>Felidar Savior</t>
  </si>
  <si>
    <t>Creature — Cat Beast</t>
  </si>
  <si>
    <t>Lifelink (Damage dealt by this creature also causes you to gain that much life.) When this creature enters, put a +1/+1 counter on each of up to two other target creatures you control.</t>
  </si>
  <si>
    <t>Fencing Ace / Ás da Esgrima</t>
  </si>
  <si>
    <t>Double strike (This creature deals both first-strike and regular combat damage.) / Golpe duplo (Esta criatura causa tanto o dano de iniciativa quanto o de combate normal.)</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</si>
  <si>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</si>
  <si>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</si>
  <si>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</si>
  <si>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4{B}{B}</t>
  </si>
  <si>
    <t>Voar. Quando Fera Atroz Voraz entra no campo de batalha, cada oponente sacrifica uma criatura. Crie uma ficha de Comida para cada criatura sacrificada dessa forma.</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</si>
  <si>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</si>
  <si>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</si>
  <si>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Feral Shadow / Vulto Feroz</t>
  </si>
  <si>
    <t>Fertilid / Fertilídio</t>
  </si>
  <si>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</si>
  <si>
    <t>Festering Goblin / Goblin Apodrecido</t>
  </si>
  <si>
    <t>Creature — Zombie Goblin / Criatura — Zumbi Goblin</t>
  </si>
  <si>
    <t>When this creature dies, target creature gets -1/-1 until end of turn. / Quando Goblin Apodrecido é colocado num cemitério vindo de jogo, a criatura alvo recebe -1/-1 até o final do turno.</t>
  </si>
  <si>
    <t>Festive Funeral / Funeral Festivo</t>
  </si>
  <si>
    <t>Target creature gets -X/-X until end of turn, where X is the number of cards in your graveyard. / A criatura alvo recebe -X/-X até o final do turno, sendo X o número de cards em seu cemitério.</t>
  </si>
  <si>
    <t>Fevered Strength / Força Febril</t>
  </si>
  <si>
    <t>Target creature gets +2/+0 until end of turn. Draw a card at the beginning of the next turn's upkeep.</t>
  </si>
  <si>
    <t>Fiery Fall / Queda Flamejante</t>
  </si>
  <si>
    <t>Queda Flamejante causa 5 de dano à criatura alvo. Reciclagem de terreno básico 1R (1R, descarte este card: Procure em seu grimório por um card de terreno básico, revele-o e coloque-o em sua mão. Depois, embaralhe seu grimório.)</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</si>
  <si>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</si>
  <si>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</si>
  <si>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Fight On! / Continuar Luta!</t>
  </si>
  <si>
    <t>Devolva até dois cards de criatura alvos de seu cemitério para sua mão.</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</si>
  <si>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</si>
  <si>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</si>
  <si>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Filtrar / Filter Out</t>
  </si>
  <si>
    <t>Devolva todas as permanentes não de criatura e não de terreno para as mãos de seus donos. / Return all noncreature, nonland permanents to their owners' hands.</t>
  </si>
  <si>
    <t>Fim da Querela / Quarrel's End</t>
  </si>
  <si>
    <t>Como custo adicional para conjurar esta mágica, descarte um card. Compre dois cards e crie uma ficha de criatura Humano Soldado branca 1/1.</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</si>
  <si>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</si>
  <si>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</si>
  <si>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</si>
  <si>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</si>
  <si>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Fire Diamond / Diamante de Fogo</t>
  </si>
  <si>
    <t>Fire Diamond comes into play tapped. {T}: Add {R} to your mana pool. Play this ability as a mana source.</t>
  </si>
  <si>
    <t>Fire Drake / Dragonete de Fogo</t>
  </si>
  <si>
    <t>Flying {R}: This creature gets +1/+0 until end of turn. Activate only once each turn.</t>
  </si>
  <si>
    <t>Fire Elemental / Elemental do Fogo</t>
  </si>
  <si>
    <t>Fire Nation Cadets</t>
  </si>
  <si>
    <t>This creature has firebending 2 as long as there's a Lesson card in your graveyard. (Whenever this creature attacks, add {R}{R}. This mana lasts until end of combat.) {2}: This creature gets +1/+0 until end of turn.</t>
  </si>
  <si>
    <t>Fire Nation Engineer</t>
  </si>
  <si>
    <t>Creature — Human Artificer</t>
  </si>
  <si>
    <t>Raid — At the beginning of your end step, if you attacked this turn, put a +1/+1 counter on another target creature or Vehicle you control.</t>
  </si>
  <si>
    <t>Fire Nation Raider</t>
  </si>
  <si>
    <t>Raid — When this creature enters, if you attacked this turn, create a Clue token. (It's an artifact with "{2}, Sacrifice this token: Draw a card.")</t>
  </si>
  <si>
    <t>Fire Nation Warship</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</si>
  <si>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</si>
  <si>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</si>
  <si>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</si>
  <si>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</si>
  <si>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Fire Sages</t>
  </si>
  <si>
    <t>Firebending 1 (Whenever this creature attacks, add {R}. This mana lasts until end of combat.) {1}{R}{R}: Put a +1/+1 counter on this creature.</t>
  </si>
  <si>
    <t>Fireball / Bola de Fogo</t>
  </si>
  <si>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</si>
  <si>
    <t>Firebending Lesson</t>
  </si>
  <si>
    <t>Kicker {4} (You may pay an additional {4} as you cast this spell.) Firebending Lesson deals 2 damage to target creature. If this spell was kicked, it deals 5 damage to that creature instead.</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</si>
  <si>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</si>
  <si>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</si>
  <si>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</si>
  <si>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</si>
  <si>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Eternal Masters (EMA)</t>
  </si>
  <si>
    <t>Firebrand Archer / Arqueira Agitadora</t>
  </si>
  <si>
    <t>Whenever you cast a noncreature spell, this creature deals 1 damage to each opponent. / Toda vez que você conjura uma mágica que não seja de criatura, Arqueira Agitadora causa 1 ponto de dano a cada oponente.</t>
  </si>
  <si>
    <t>Firebreathing / Hálito de Fogo</t>
  </si>
  <si>
    <t>Enchant creature {R}: Enchanted creature gets +1/+0 until end of turn. / Encantar criatura {R}: A criatura encantada recebe +1/+0 até o final do turno.</t>
  </si>
  <si>
    <t>Firespitter Whelp</t>
  </si>
  <si>
    <t>Flying Whenever you cast a noncreature or Dragon spell, this creature deals 1 damage to each opponent.</t>
  </si>
  <si>
    <t>Firja, Judge of Valor / Firja, Juíza do Valor</t>
  </si>
  <si>
    <t>Legendary Creature — Angel Cleric / Criatura Lendária — Anjo Clérigo</t>
  </si>
  <si>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</si>
  <si>
    <t>{2}{W}{B}{B}</t>
  </si>
  <si>
    <t>Multiverse Legends (MUL)</t>
  </si>
  <si>
    <t>First-Time Flyer</t>
  </si>
  <si>
    <t>Creature — Human Pilot Ally</t>
  </si>
  <si>
    <t>Flying This creature gets +1/+1 as long as there's a Lesson card in your graveyard.</t>
  </si>
  <si>
    <t>Fissure / Fissura</t>
  </si>
  <si>
    <t>Destroy target creature or land. It can't be regenerated.</t>
  </si>
  <si>
    <t>Fists of Flame / Punhos Chamejantes</t>
  </si>
  <si>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</si>
  <si>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</si>
  <si>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</si>
  <si>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</si>
  <si>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</si>
  <si>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Flame Spirit / Espírito das Chamas</t>
  </si>
  <si>
    <t>Creature — Elemental Spirit</t>
  </si>
  <si>
    <t>{R}: This creature gets +1/+0 until end of turn.</t>
  </si>
  <si>
    <t>Flame-Blessed Bolt / Virote da Chama Abençoada</t>
  </si>
  <si>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</si>
  <si>
    <t>Flame-Chain Mauler</t>
  </si>
  <si>
    <t>Creature — Elemental Warrior</t>
  </si>
  <si>
    <t>{1}{R}: This creature gets +1/+0 and gains menace until end of turn. (It can't be blocked except by two or more creatures.)</t>
  </si>
  <si>
    <t>Flame-Kin Zealot / Zelote da Tribo das Chamas</t>
  </si>
  <si>
    <t>Criatura — Elemental Berserker</t>
  </si>
  <si>
    <t>Quando Flame-Kin Zealot entra no campo de batalha, criaturas que você controla recebem +1/+1 e ganham ímpeto até o final do turno.</t>
  </si>
  <si>
    <t>1RW</t>
  </si>
  <si>
    <t>Flamekin Gildweaver</t>
  </si>
  <si>
    <t>Trample When this creature enters, create a Treasure token. (It's an artifact with "{T}, Sacrifice this token: Add one mana of any color.")</t>
  </si>
  <si>
    <t>Flamestick Courier / Mensageiro do Archote</t>
  </si>
  <si>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</si>
  <si>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</si>
  <si>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</si>
  <si>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</si>
  <si>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Flamewave Invoker / Invocador da Onda de Chamas</t>
  </si>
  <si>
    <t>Creature — Goblin Mutant / Criatura — Goblin Mutante</t>
  </si>
  <si>
    <t>{7}{R}: This creature deals 5 damage to target player or planeswalker. / {7}{R}: Invocador da Onda de Chamas causa 5 pontos de dano ao jogador alvo.</t>
  </si>
  <si>
    <t>Battlebond (BBD)</t>
  </si>
  <si>
    <t>Flare / Detonação</t>
  </si>
  <si>
    <t>Flare deals 1 damage to any target. Draw a card at the beginning of the next turn's upkeep. / Detonação causa 1 ponto de dano a qualquer alvo. Compre um card no início da manutenção do próximo turno.</t>
  </si>
  <si>
    <t>Flaring Cinder</t>
  </si>
  <si>
    <t>When this creature enters and whenever you cast a spell with mana value 4 or greater, you may discard a card. If you do, draw a card.</t>
  </si>
  <si>
    <t>{1}{U/R}{U/R}</t>
  </si>
  <si>
    <t>Flashfires / Tormenta Ígnea</t>
  </si>
  <si>
    <t>Destroy all Plains. / Destrói todas as Planícies.</t>
  </si>
  <si>
    <t>Oitava Edição</t>
  </si>
  <si>
    <t>Flaxen Intruder // Welcome Home / Intrusa das Madeixas Douradas // Boas-vindas ao Lar</t>
  </si>
  <si>
    <t>Creature — Human Berserker // Sorcery — Adventure / Criatura — Humano Amoque</t>
  </si>
  <si>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</si>
  <si>
    <t>{G} // {5}{G}{G}</t>
  </si>
  <si>
    <t>Flayer of the Hatebound / Esfolador do Laço de Ódio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</si>
  <si>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</si>
  <si>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Fleeting Distraction / Distração Passageira</t>
  </si>
  <si>
    <t>A criatura alvo recebe -1/-0 até o final do turno. Compre um card.</t>
  </si>
  <si>
    <t>Flesh Burrower</t>
  </si>
  <si>
    <t>Deathtouch Whenever this creature attacks, another target creature you control gains deathtouch until end of turn.</t>
  </si>
  <si>
    <t>Fleshbag Marauder / Saqueador de Bolsas de Carne</t>
  </si>
  <si>
    <t>Criatura — Zumbi Guerreiro</t>
  </si>
  <si>
    <t>Quando Saqueador de Bolsas de Carne entra no campo de batalha, cada jogador sacrifica uma criatura.</t>
  </si>
  <si>
    <t>2B</t>
  </si>
  <si>
    <t xml:space="preserve">Commander Anthology 2018 </t>
  </si>
  <si>
    <t>Magic Origens</t>
  </si>
  <si>
    <t>Fleshmad Steed / Corcel Carnivoraz</t>
  </si>
  <si>
    <t>Creature — Horse / Criatura — Cavalo</t>
  </si>
  <si>
    <t>Whenever another creature dies, tap this creature. / Toda vez que outra criatura morrer, vire Corcel Carnivoraz.</t>
  </si>
  <si>
    <t>Flexible Waterbender</t>
  </si>
  <si>
    <t>Creature — Human Warrior Ally</t>
  </si>
  <si>
    <t>Vigilance Waterbend {3}: This creature has base power and toughness 5/2 until end of turn. (While paying a waterbend cost, you can tap your artifacts and creatures to help. Each one pays for {1}.)</t>
  </si>
  <si>
    <t>Flight-Deck Coordinator / Coordenador de Convés de Voo</t>
  </si>
  <si>
    <t>Criatura — Humano Soldado</t>
  </si>
  <si>
    <t>No início de sua etapa final, se você controlar duas ou mais criaturas viradas, você ganha 2 pontos de vida.</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</si>
  <si>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</si>
  <si>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</si>
  <si>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Floodpits Drowner</t>
  </si>
  <si>
    <t>Creature — Merfolk</t>
  </si>
  <si>
    <t>Flash Vigilance When this creature enters, tap target creature an opponent controls and put a stun counter on it. {1}{U}, {T}: Shuffle this creature and target creature with a stun counter on it into their owners' libraries.</t>
  </si>
  <si>
    <t>Flopsie, Bumi's Buddy</t>
  </si>
  <si>
    <t>Legendary Creature — Ape Goat</t>
  </si>
  <si>
    <t>When Flopsie enters, put a +1/+1 counter on each creature you control. Each creature you control with power 4 or greater can't be blocked by more than one creature.</t>
  </si>
  <si>
    <t>Flotsam // Jetsam / Destroços // Refugo</t>
  </si>
  <si>
    <t>Instant // Sorcery / Mágica Instantânea // Feitiço</t>
  </si>
  <si>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</si>
  <si>
    <t>{1}{G/U} // {4}{U/B}{U/B}</t>
  </si>
  <si>
    <t>Preto, Verde, Azul</t>
  </si>
  <si>
    <t>Flourishing Hunter / Caçadora Florescente</t>
  </si>
  <si>
    <t>Creature — Wolf Spirit / Criatura — Lobo Espírito</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</si>
  <si>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</si>
  <si>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Flying Carpet / Tapete Voador</t>
  </si>
  <si>
    <t>{2}, {T}: Target creature gains flying until end of turn. / {2}, {T}: A criatura alvo ganha a habilidade de voar até o final do turno. (Ela só pode ser bloqueada por criaturas com a habilidade de voar.)</t>
  </si>
  <si>
    <t>Foe-liage / Inimigo-lhagem</t>
  </si>
  <si>
    <t>Criatura — Planta Mutante</t>
  </si>
  <si>
    <t>Sempre que um terreno entrar durante o seu turno, coloque um marcador +1/+1 nesta criatura.</t>
  </si>
  <si>
    <t>3{G}</t>
  </si>
  <si>
    <t>Fog on the Barrow-Downs / Nevoeiro nas Colinas dos Túmulos</t>
  </si>
  <si>
    <t>Enchant creature Enchanted creature is a Spirit and can't attack or block. (It loses all other creature types.) / Encantar criatura A criatura encantada é um Espírito e não pode atacar nem bloquear. (Ela perde todos os outros tipos de criatura.)</t>
  </si>
  <si>
    <t>Foggy Swamp Hunters</t>
  </si>
  <si>
    <t>Creature — Human Ranger Ally</t>
  </si>
  <si>
    <t>As long as you've drawn two or more cards this turn, this creature has lifelink and menace. (It can't be blocked except by two or more creatures.)</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</si>
  <si>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</si>
  <si>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</si>
  <si>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</si>
  <si>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Fogo de Orthanc / Fire of Orthanc</t>
  </si>
  <si>
    <t>Destrua o artefato ou terreno alvo. As criaturas sem voar não podem bloquear neste turno.</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</si>
  <si>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</si>
  <si>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</si>
  <si>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</si>
  <si>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</si>
  <si>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</si>
  <si>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Font of Fertility / Fonte da Fertilidade</t>
  </si>
  <si>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</si>
  <si>
    <t>Font of Fortunes / Fonte das Fortunas</t>
  </si>
  <si>
    <t>1U, Sacrifique Fonte das Fortunas: Compre dois cards.</t>
  </si>
  <si>
    <t>Font of Return / Fonte do Ressurgimento</t>
  </si>
  <si>
    <t>{3}{B}, Sacrifice this enchantment: Return up to three target creature cards from your graveyard to your hand. / {3}{B}, Sacrifique Fonte do Ressurgimento: Devolva até três cards de criatura alvo do seu cemitério para a sua mão.</t>
  </si>
  <si>
    <t>Font of Vigor / Fonte do Vigor</t>
  </si>
  <si>
    <t>{2}{W}, Sacrifice this enchantment: You gain 7 life. / {2}{W}, Sacrifique Fonte do Vigor: Você ganha 7 pontos de vida.</t>
  </si>
  <si>
    <t>Fonte da Ira</t>
  </si>
  <si>
    <t>3R, Sacrifique Fonte da Ira: Fonte da Ira causa 5 pontos de dano ao jogador alvo.</t>
  </si>
  <si>
    <t>Foot Elite</t>
  </si>
  <si>
    <t>Creature — Human Ninja</t>
  </si>
  <si>
    <t>Whenever this creature attacks, another target creature you control gets +1/+0 and gains indestructible until end of turn. (Damage and effects that say "destroy" don't destroy it.)</t>
  </si>
  <si>
    <t>{2}{W/B}</t>
  </si>
  <si>
    <t>Foot Headquarters</t>
  </si>
  <si>
    <t>This land enters tapped. When this land enters, you gain 1 life. {T}: Add {W} or {B}.</t>
  </si>
  <si>
    <t>Foot Mystic</t>
  </si>
  <si>
    <t>Creature — Human Ninja Warlock</t>
  </si>
  <si>
    <t>Lifelink Disappear — When this creature enters, if a permanent left the battlefield under your control this turn, create a 1/1 black Ninja creature token.</t>
  </si>
  <si>
    <t>Forced Landing / Aterrissagem Forçada</t>
  </si>
  <si>
    <t>Put target creature with flying on the bottom of its owner's library. / Coloque a criatura alvo com voar no fundo do grimório de seu dono.</t>
  </si>
  <si>
    <t>Forgeborn Oreads / Oréades Nascidas da Forja</t>
  </si>
  <si>
    <t>Criatura Encantamento — Ninfa</t>
  </si>
  <si>
    <t>Constelação — Toda vez que Oréades Nascidas da Forja ou outro encantamento entrar no campo de batalha sob seu controle, Oréades Nascidas da Forja causa 1 ponto de dano à criatura ou ao jogador alvo.</t>
  </si>
  <si>
    <t>Formação Aérea</t>
  </si>
  <si>
    <t>Esforço — Formação Aérea custa 2U a mais para ser conjurado para cada alvo além do primeiro. Qualquer número de criaturas alvo recebe +1/+1 e ganha voar até o final do turno.</t>
  </si>
  <si>
    <t>Forsaken Drifters / Errantes Abandonados</t>
  </si>
  <si>
    <t>When this creature dies, mill four cards. / Quando Errantes Abandonados morrer, coloque os quatro cards do topo de seu grimório em seu cemitério.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</si>
  <si>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</si>
  <si>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</si>
  <si>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Time Spiral (TSP)</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</si>
  <si>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</si>
  <si>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</si>
  <si>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</si>
  <si>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Foul Familiar / Familiar Abominável</t>
  </si>
  <si>
    <t>This creature can't block. {B}, Pay 1 life: Return this creature to its owner's hand.</t>
  </si>
  <si>
    <t>Foul Play / Trapaça</t>
  </si>
  <si>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</si>
  <si>
    <t>Found Footage</t>
  </si>
  <si>
    <t>Artifact — Clue</t>
  </si>
  <si>
    <t>You may look at face-down creatures your opponents control any time. {2}, Sacrifice Found Footage: Surveil 2, then draw a card.</t>
  </si>
  <si>
    <t>Foundry Street Denizen / Habitante da Rua da Fundição</t>
  </si>
  <si>
    <t>Creature — Goblin Warrior / Criatura — Goblin Guerreiro</t>
  </si>
  <si>
    <t>Whenever another red creature you control enters, this creature gets +1/+0 until end of turn. / Toda vez que outra criatura vermelha entra no campo de batalha sob o seu controle, Habitante da Rua da Fundição recebe +1/+0 até o final do turno.</t>
  </si>
  <si>
    <t>Fowl Strike / Ataque Avícola</t>
  </si>
  <si>
    <t>Destroy target creature with flying. Reinforce 2—{2}{G} ({2}{G}, Discard this card: Put two +1/+1 counters on target creature.) / Destrua a criatura alvo com voar. Fortalecer 2 — {2}{G} ({2}{G}, descarte este card: Coloque dois marcadores +1/+1 na criatura alvo.)</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</si>
  <si>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</si>
  <si>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</si>
  <si>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</si>
  <si>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</si>
  <si>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Frantic Strength</t>
  </si>
  <si>
    <t>Flash Enchant creature Enchanted creature gets +2/+2 and has trample.</t>
  </si>
  <si>
    <t>Freewind Falcon</t>
  </si>
  <si>
    <t>Criatura — Falcão / Summon Falcon</t>
  </si>
  <si>
    <t>Flying, protection from red.</t>
  </si>
  <si>
    <t>Visions (VIS)</t>
  </si>
  <si>
    <t>Frenzied Goblin / Goblino Enlouquecido</t>
  </si>
  <si>
    <t>Criatura — Goblino Berserker</t>
  </si>
  <si>
    <t>Toda vez que Goblino Enlouquecido atacar, você poderá pagar {R}. Se fizer isso, a criatura alvo não poderá bloquear neste turno.</t>
  </si>
  <si>
    <t>Frenzied Raptor / Raptor Frenético</t>
  </si>
  <si>
    <t>Freya Crescent / Freya Crescent</t>
  </si>
  <si>
    <t>Criatura Lendária — Rato Cavaleiro</t>
  </si>
  <si>
    <t>Salto — Durante o seu turno, Freya Crescent tem voar. {T}: Adicione {R}. Gaste este mana apenas para conjurar uma mágica de Equipamento ou para ativar uma habilidade de equipar.</t>
  </si>
  <si>
    <t>Friendly Ghost</t>
  </si>
  <si>
    <t>Flying When this creature enters, target creature gets +2/+4 until end of turn.</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</si>
  <si>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</si>
  <si>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</si>
  <si>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Friendly Teddy</t>
  </si>
  <si>
    <t>Artifact Creature — Bear Toy</t>
  </si>
  <si>
    <t>When this creature dies, each player draws a card.</t>
  </si>
  <si>
    <t>Friendly Teddy / Ursinho Amigável</t>
  </si>
  <si>
    <t>Artifact Creature — Bear Toy / Criatura Artefato — Brinquedo de Urso</t>
  </si>
  <si>
    <t>When Friendly Teddy dies, each player draws a card. / Quando Ursinho Amigável morre, cada jogador compra um card.</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</si>
  <si>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</si>
  <si>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</si>
  <si>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</si>
  <si>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{G}{W}</t>
  </si>
  <si>
    <t>Frog Butler</t>
  </si>
  <si>
    <t>Creature — Frog Spirit</t>
  </si>
  <si>
    <t>Deathtouch {T}: Add one mana of any color. {2}: This creature gains reach until end of turn.</t>
  </si>
  <si>
    <t>Frogmite</t>
  </si>
  <si>
    <t>Artifact Creature — Frog</t>
  </si>
  <si>
    <t>Affinity for artifacts (This spell costs 1 less to cast for each artifact you control.)</t>
  </si>
  <si>
    <t>Frogmite / Batracóide</t>
  </si>
  <si>
    <t>Artifact Creature — Frog / Criatura Artefato</t>
  </si>
  <si>
    <t>Affinity for artifacts (This spell costs {1} less to cast for each artifact you control.) / Afinidade por artefatos (Esta mágica custa {1} a menos para jogar para cada artefato que você controla.)</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</si>
  <si>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</si>
  <si>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</si>
  <si>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Frontier Seeker / Buscadora da Fronteira</t>
  </si>
  <si>
    <t>Creature — Human Scout / Criatura — Humano Batedor</t>
  </si>
  <si>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</si>
  <si>
    <t>Frozen in Ice / Congelado no Gelo</t>
  </si>
  <si>
    <t>Encantar criatura. Quando esta Aura entrar, vire a criatura encantada. A criatura encantada perde todas as habilidades e não pode ser desvirada.</t>
  </si>
  <si>
    <t>Frozen Shade / Sombra Materializada</t>
  </si>
  <si>
    <t>Creature — Shade</t>
  </si>
  <si>
    <t>{B}: This creature gets +1/+1 until end of turn.</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</si>
  <si>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</si>
  <si>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</si>
  <si>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Fugitive Droid</t>
  </si>
  <si>
    <t>Artifact Creature — Robot Scientist</t>
  </si>
  <si>
    <t>This creature can't be blocked if an artifact entered the battlefield under your control this turn. {U}, Sacrifice this creature: Counter target spell that targets an artifact or creature you control.</t>
  </si>
  <si>
    <t>Full Steam Ahead / A Todo Vapor</t>
  </si>
  <si>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</si>
  <si>
    <t>Fungal Colossus / Colosso Fúngico</t>
  </si>
  <si>
    <t>Criatura — Fungo Besta</t>
  </si>
  <si>
    <t>Esta mágica custa {X} a menos para ser conjurada, onde X é o número de terrenos com nomes diferentes que você controla.</t>
  </si>
  <si>
    <t>6{G}</t>
  </si>
  <si>
    <t>Fungal Plots / Terrenos Fungais</t>
  </si>
  <si>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</si>
  <si>
    <t>Fungus Sliver</t>
  </si>
  <si>
    <t>Creature — Fungus Sliver</t>
  </si>
  <si>
    <t>All Slivers have "Whenever this creature is dealt damage, put a +1/+1 counter on it." (The damage is dealt before the counter is put on.)</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</si>
  <si>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</si>
  <si>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</si>
  <si>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Furnace Celebration / Celebração na Fornalha</t>
  </si>
  <si>
    <t>Whenever you sacrifice another permanent, you may pay {2}. If you do, this enchantment deals 2 damage to any target. / Toda vez que sacrifica outra permanente, você pode pagar {2}. Se fizer isso, Celebração na Fornalha causará 2 pontos de dano à criatura ou ao jogador alvo.</t>
  </si>
  <si>
    <t>Scars of Mirrodin (SOM)</t>
  </si>
  <si>
    <t>Furtive Courier / Mensageira Furtiva</t>
  </si>
  <si>
    <t>Creature — Merfolk Advisor / Criatura — Tritão Conselheiro</t>
  </si>
  <si>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</si>
  <si>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</si>
  <si>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</si>
  <si>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5RR</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</si>
  <si>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</si>
  <si>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</si>
  <si>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Fyndhorn Bow / Arco de Fyndhorn</t>
  </si>
  <si>
    <t>{3}, {T}: Target creature gains first strike until end of turn.</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</si>
  <si>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</si>
  <si>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</si>
  <si>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Gaelicat / Gato Gaélico</t>
  </si>
  <si>
    <t>Criatura — Gato</t>
  </si>
  <si>
    <t>Voar, vigilância. Enquanto você controlar dois ou mais artefatos, esta criatura receberá +2/+0.</t>
  </si>
  <si>
    <t>Gaius van Baelsar</t>
  </si>
  <si>
    <t>When Gaius van Baelsar enters, choose one — • Each player sacrifices a creature token of their choice. • Each player sacrifices a nontoken creature of their choice. • Each player sacrifices an enchantment of their choice.</t>
  </si>
  <si>
    <t>2BB</t>
  </si>
  <si>
    <t>Final Fantasy (FFXIV)</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</si>
  <si>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</si>
  <si>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</si>
  <si>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</si>
  <si>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</si>
  <si>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</si>
  <si>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Gallant Fowlknight</t>
  </si>
  <si>
    <t>Creature — Kithkin Knight</t>
  </si>
  <si>
    <t>When this creature enters, creatures you control get +1/+0 until end of turn. Kithkin creatures you control also gain first strike until end of turn.</t>
  </si>
  <si>
    <t>Gallant Strike</t>
  </si>
  <si>
    <t>Destroy target creature with toughness 4 or greater. Cycling {2} ({2}, Discard this card: Draw a card.)</t>
  </si>
  <si>
    <t>Gallantry / Galanteria</t>
  </si>
  <si>
    <t>Target blocking creature gets +4/+4 until end of turn. Draw a card. / A criatura alvo bloqueadora recebe +4/+4 até o final do turno. Compre um card.</t>
  </si>
  <si>
    <t>Galuf's Final Act / Ato Final de Galuf</t>
  </si>
  <si>
    <t>Até o final do turno, a criatura alvo recebe +1/+0 e ganha "Quando esta criatura morrer, coloque uma quantidade de marcadores +1/+1 igual ao poder dela em até uma criatura alvo."</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</si>
  <si>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</si>
  <si>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</si>
  <si>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</si>
  <si>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</si>
  <si>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Galvanic Key</t>
  </si>
  <si>
    <t>You may play Galvanic Key any time you could play an instant. {3}, {T}: Untap target artifact.</t>
  </si>
  <si>
    <t>Galvanizing Sawship / Nauserra Galvanizante</t>
  </si>
  <si>
    <t>Estação (Vire outra criatura que você controla: Coloque marcadores de carga iguais ao poder dela nesta Nave Espacial. Estacione somente como um feitiço. É uma criatura artefato enquanto tiver 3+.) Voar, ímpeto</t>
  </si>
  <si>
    <t>5{R}</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</si>
  <si>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</si>
  <si>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</si>
  <si>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</si>
  <si>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Gangly Stompling</t>
  </si>
  <si>
    <t>Changeling (This card is every creature type.) Trample</t>
  </si>
  <si>
    <t>{2}{R/G}</t>
  </si>
  <si>
    <t>Gangrenous Zombies / Zumbis Gangrenosos</t>
  </si>
  <si>
    <t>{T}, Sacrifice this creature: This creature deals 1 damage to each creature and each player. If you control a snow Swamp, this creature deals 2 damage to each creature and each player instead.</t>
  </si>
  <si>
    <t>Garna, the Bloodflame / Garna, a Chama Sanguínea</t>
  </si>
  <si>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</si>
  <si>
    <t>{3}{B}{R}</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</si>
  <si>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</si>
  <si>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</si>
  <si>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</si>
  <si>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Verde/Branco</t>
  </si>
  <si>
    <t>Garrison Excavator / Escavador da Guarnição</t>
  </si>
  <si>
    <t>Creature — Orc Sorcerer / Criatura — Orc Feiticeiro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</si>
  <si>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</si>
  <si>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Gate Colossus / Colosso do Portão</t>
  </si>
  <si>
    <t>This spell costs {1} less to cast for each Gate you control. Gate Colossus can't be blocked by creatures with power 2 or less. Whenever a Gate enters the battlefield under your control, you may put Gate Colossus from your graveyard on top of your library.</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</si>
  <si>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</si>
  <si>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</si>
  <si>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</si>
  <si>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Gateway Plaza / Praça do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</si>
  <si>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</si>
  <si>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Gather the Townsfolk / Reunir o Povo</t>
  </si>
  <si>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</si>
  <si>
    <t>Gato Preto / Black Cat</t>
  </si>
  <si>
    <t>Criatura — Zumbi Felino / Creature — Zombie Cat</t>
  </si>
  <si>
    <t>Quando Gato Preto morre, o oponente alvo descarta um card aleatoriamente. / When Black Cat dies, target opponent discards a card at random.</t>
  </si>
  <si>
    <t>Gaze of Pain / Olhar de Dor</t>
  </si>
  <si>
    <t>Until end of turn, whenever a creature you control attacks and isn't blocked, you may choose to have it deal damage equal to its power to a target creature. If you do, it assigns no combat damage this turn.</t>
  </si>
  <si>
    <t>Gearseeker Serpent / Serpente Mecanívora</t>
  </si>
  <si>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</si>
  <si>
    <t>{5}{U}{U}</t>
  </si>
  <si>
    <t>Gelar</t>
  </si>
  <si>
    <t>Negociar (Você pode sacrificar um artefato, um encantamento ou uma ficha conforme conjura esta mágica.) Esta mágica custa {1} a menos para conjurar se tiver sido negociada. Anule a mágica alvo.</t>
  </si>
  <si>
    <t>Terras Selvagens de Eldraine (WOE)</t>
  </si>
  <si>
    <t>General Traag, Heart of Stone</t>
  </si>
  <si>
    <t>Legendary Artifact Creature — Elemental Soldier</t>
  </si>
  <si>
    <t>Trample When General Traag enters, you may sacrifice another artifact. When you do, General Traag deals 4 damage to target creature.</t>
  </si>
  <si>
    <t>Gênese Planar / Planar Genesis</t>
  </si>
  <si>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</si>
  <si>
    <t>Verde e Azul</t>
  </si>
  <si>
    <t>Genghis Frog</t>
  </si>
  <si>
    <t>Legendary Creature — Frog Mutant Rogue</t>
  </si>
  <si>
    <t>Trample Whenever Genghis Frog or another Mutant you control enters, create a Mutagen token. (It's an artifact with "{1}, {T}, Sacrifice this token: Put a +1/+1 counter on target creature. Activate only as a sorcery.")</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</si>
  <si>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</si>
  <si>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</si>
  <si>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</si>
  <si>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Geothermal Kami / Kami Geotérmico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</si>
  <si>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</si>
  <si>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Gerador de Carniçais / Ghoulraiser</t>
  </si>
  <si>
    <t>Quando Gerador de Carniçais entrar no campo de batalha, devolva um card de Zumbi de seu cemitério para sua mão aleatoriamente. / When Ghoulraiser enters the battlefield, return a Zombie card from your graveyard to your hand at random.</t>
  </si>
  <si>
    <t>Geyser Leaper</t>
  </si>
  <si>
    <t>Flying Waterbend {4}: Draw a card, then discard a card. (While paying a waterbend cost, you can tap your artifacts and creatures to help. Each one pays for {1}.)</t>
  </si>
  <si>
    <t>Ghirapur Guide / Guia de Ghirapur</t>
  </si>
  <si>
    <t>{2}{G}: Target creature you control can't be blocked by creatures with power 2 or less this turn. / {2}{G}: A criatura alvo que você controla não pode ser boqueada neste turno por criaturas com poder igual ou inferior a 2.</t>
  </si>
  <si>
    <t>Ghitu Amplifier / Amplificadora Ghitu</t>
  </si>
  <si>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</si>
  <si>
    <t>Ghitu Encampment / Acampamento Ghitu</t>
  </si>
  <si>
    <t>Ghitu Encampment entra no campo de batalha virado. T: Adicione R à sua reserva de mana. 1R: Ghitu Encampment torna-se uma criatura 2/1 vermelha do tipo Guerreiro com iniciativa até o final do turno. Ainda é um terreno.</t>
  </si>
  <si>
    <t>Ghost, Spectral Saboteur / Fantasma, Sabotador Espectral</t>
  </si>
  <si>
    <t>Criatura Lendária — Humano Ladino Vilão</t>
  </si>
  <si>
    <t>Lampejo. Intangibilidade — Fantasma não pode ser bloqueado.</t>
  </si>
  <si>
    <t>2{U/B}</t>
  </si>
  <si>
    <t>Ghostly Keybearer</t>
  </si>
  <si>
    <t>Flying Whenever this creature deals combat damage to a player, unlock a locked door of up to one target Room you control.</t>
  </si>
  <si>
    <t>Giant Cockroach / Barata Gigante</t>
  </si>
  <si>
    <t>Urza's Legacy (ULG)</t>
  </si>
  <si>
    <t>Giant Growth / Crescimento Desenfreado</t>
  </si>
  <si>
    <t>Target creature gets +3/+3 until end of turn. / A criatura alvo recebe +3/+3 até o final do turno.</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</si>
  <si>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</si>
  <si>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</si>
  <si>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</si>
  <si>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Giant Slug</t>
  </si>
  <si>
    <t>Creature — Slug</t>
  </si>
  <si>
    <t>{5}: At the beginning of your next upkeep, choose a basic land type. This creature gains landwalk of the chosen type until the end of that turn. (It can't be blocked as long as defending player controls a land of that type.)</t>
  </si>
  <si>
    <t>Legends (LEG)</t>
  </si>
  <si>
    <t>Giant Strength / Força do Gigante</t>
  </si>
  <si>
    <t>Enchant creature Enchanted creature gets +2/+2.</t>
  </si>
  <si>
    <t>Gideon's Lawkeeper / Guardião da Lei de Gideon</t>
  </si>
  <si>
    <t>Modern Masters 2017 (MM3)</t>
  </si>
  <si>
    <t>Gideon's Triumph / Triunfo de Gideon</t>
  </si>
  <si>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</si>
  <si>
    <t>Gift of Strength / Dádiva da Força</t>
  </si>
  <si>
    <t>Target creature gets +3/+3 and gains reach until end of turn. / A criatura alvo recebe +3/+3 e ganha alcance até o final do turno.</t>
  </si>
  <si>
    <t>Gift of the Viper / Presente da Víbora</t>
  </si>
  <si>
    <t>Put a +1/+1 counter, a reach counter, and a deathtouch counter on target creature. Untap it. / Coloque um marcador +1/+1, um marcador de alcance e um marcador de toque mortífero na criatura alvo. Desvire aquela criatura.</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</si>
  <si>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</si>
  <si>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</si>
  <si>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Gigantoad</t>
  </si>
  <si>
    <t>Creature — Frog</t>
  </si>
  <si>
    <t>As long as you control seven or more lands, this creature gets +2/+2.</t>
  </si>
  <si>
    <t>3G</t>
  </si>
  <si>
    <t>Final Fantasy (FFXV)</t>
  </si>
  <si>
    <t>Gilded Ghoda</t>
  </si>
  <si>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</si>
  <si>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</si>
  <si>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</si>
  <si>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</si>
  <si>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4RR</t>
  </si>
  <si>
    <t>Gilt-Leaf's Embrace</t>
  </si>
  <si>
    <t>Flash. Enchant creature. When this Aura enters, enchanted creature gains trample and indestructible until end of turn. Enchanted creature gets +2/+0.</t>
  </si>
  <si>
    <t>Gimli, Contador de Abantes / Gimli, Counter of Kills</t>
  </si>
  <si>
    <t>Criatura Lendária — Anão Guerreiro</t>
  </si>
  <si>
    <t>Atropelar. Toda vez que uma criatura que um oponente controla morre, Gimli, Contador de Abantes, causa 1 ponto de dano ao controlador daquela criatura.</t>
  </si>
  <si>
    <t>Giott, King of the Dwarves</t>
  </si>
  <si>
    <t>Legendary Creature — Dwarf Noble</t>
  </si>
  <si>
    <t>Double strike Whenever Giott or another Dwarf you control enters and whenever an Equipment you control enters, you may discard a card. If you do, draw a card.</t>
  </si>
  <si>
    <t>RW</t>
  </si>
  <si>
    <t>Vermelha e Branco</t>
  </si>
  <si>
    <t>Glaciers</t>
  </si>
  <si>
    <t>During your upkeep, pay {W}{U} or destroy Glaciers. All mountains become plains.</t>
  </si>
  <si>
    <t>{2}{W}{U}</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</si>
  <si>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</si>
  <si>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</si>
  <si>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</si>
  <si>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Vermelho/Verde</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</si>
  <si>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</si>
  <si>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</si>
  <si>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Glamer Gifter</t>
  </si>
  <si>
    <t>Creature — Faerie Wizard</t>
  </si>
  <si>
    <t>Flash. Flying. When this creature enters, choose up to one other target creature. Until end of turn, that creature has base power and toughness 4/4 and gains all creature types.</t>
  </si>
  <si>
    <t>Glamermite</t>
  </si>
  <si>
    <t>Flash. Flying. When this creature enters, choose one — Tap target creature. Untap target creature.</t>
  </si>
  <si>
    <t>Glasses of Urza / Óculos de Urza</t>
  </si>
  <si>
    <t>{T}: Look at target player's hand.</t>
  </si>
  <si>
    <t>{T}: Regardez la main de votre adversaire. / {T}: Look at your opponent's hand.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</si>
  <si>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</si>
  <si>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</si>
  <si>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Gleaming Barrier / Barreira Reluzente</t>
  </si>
  <si>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</si>
  <si>
    <t>Gleaming Geardrake / Mecanodrago Reluzente</t>
  </si>
  <si>
    <t>Artifact Creature — Drake / Criatura Artefato — Dragonete</t>
  </si>
  <si>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</si>
  <si>
    <t>{U}{R}</t>
  </si>
  <si>
    <t>Glider Kids</t>
  </si>
  <si>
    <t>Flying When this creature enters, scry 1. (Look at the top card of your library. You may put it on the bottom.)</t>
  </si>
  <si>
    <t>Glider Staff</t>
  </si>
  <si>
    <t>When this Equipment enters, airbend up to one target creature. (Exile it. While it's exiled, its owner may cast it for {2} rather than its mana cost.) Equipped creature gets +1/+1 and has flying. Equip {2}</t>
  </si>
  <si>
    <t>Glimmerburst</t>
  </si>
  <si>
    <t>Draw two cards. Create a 1/1 white Glimmer enchantment creature token.</t>
  </si>
  <si>
    <t>Glimmerlight</t>
  </si>
  <si>
    <t>When Glimmerlight enters, create a 1/1 white Glimmer enchantment creature token. Equipped creature gets +1/+1. Equip {1}</t>
  </si>
  <si>
    <t>When this Equipment enters, create a 1/1 white Glimmer enchantment creature token. Equipped creature gets +1/+1. Equip {1} ({1}: Attach to target creature you control. Equip only as a sorcery.)</t>
  </si>
  <si>
    <t>Glint-Sleeve Siphoner / Sifonadora Braçoluz</t>
  </si>
  <si>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</si>
  <si>
    <t>Glissa's Scorn / Escárnio de Glissa</t>
  </si>
  <si>
    <t>Destroy target artifact. Its controller loses 1 life. / Destrua o artefato alvo. Seu controlador perde 1 ponto de vida.</t>
  </si>
  <si>
    <t>Glittering Lynx / Lince Cintilante</t>
  </si>
  <si>
    <t>Creature — Cat</t>
  </si>
  <si>
    <t>Prevent all damage that would be dealt to Glittering Lynx. {2}: Until end of turn, Glittering Lynx loses “Prevent all damage that would be dealt to Glittering Lynx.” Any player may play this ability.</t>
  </si>
  <si>
    <t>Gloomlance / Lança das Trevas</t>
  </si>
  <si>
    <t>Destroy target creature. If that creature was green or white, its controller discards a card. / Destrua a criatura alvo. Se aquela criatura for verde ou branca, seu controlador descartará um card.</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</si>
  <si>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</si>
  <si>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</si>
  <si>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Glorious Sunrise / Nascer do Sol Glorioso</t>
  </si>
  <si>
    <t>Rare / Raro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</si>
  <si>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</si>
  <si>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Glowspore Shaman / Xamã Lumispórea</t>
  </si>
  <si>
    <t>Creature — Elf Shaman / Criatura — Elfo Xamã</t>
  </si>
  <si>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</si>
  <si>
    <t>Glyph Elemental / Elemental dos Glifos</t>
  </si>
  <si>
    <t>Enchantment Creature — Elemental / Criatura Encantamento — Elemental</t>
  </si>
  <si>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</si>
  <si>
    <t>Gnarlbark Elm</t>
  </si>
  <si>
    <t>This creature enters with two -1/-1 counters on it. {2}{B}, Remove two counters from this creature: Target creature gets -2/-2 until end of turn. Activate only as a sorcery.</t>
  </si>
  <si>
    <t>Gnarled Scarhide / Mutilado das Cicatrizes</t>
  </si>
  <si>
    <t>Enchantment Creature — Minotaur / Criatura Encantamento — Minotauro</t>
  </si>
  <si>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</si>
  <si>
    <t>Gnarlid Colony / Colônia de Gnarlids</t>
  </si>
  <si>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</si>
  <si>
    <t>Gnarlroot Trapper / Armadilheiro das Raízes Nodosas</t>
  </si>
  <si>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</si>
  <si>
    <t>Gnawing Zombie</t>
  </si>
  <si>
    <t>{1}{B}, Sacrifice a creature: Target player loses 1 life and you gain 1 life.</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</si>
  <si>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</si>
  <si>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</si>
  <si>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</si>
  <si>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</si>
  <si>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</si>
  <si>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Go Ninja Go</t>
  </si>
  <si>
    <t>Choose one or both — • Exile target creature you control, then return it to the battlefield under its owner's control. • Go Ninja Go deals damage equal to the greatest power among creatures you control to target creature an opponent controls.</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</si>
  <si>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</si>
  <si>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</si>
  <si>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</si>
  <si>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Goblin Archaeologist / Arqueólogo Goblin</t>
  </si>
  <si>
    <t>Creature — Goblin Artificer / Criatura — Artesão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</si>
  <si>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</si>
  <si>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Goblin Balloon Brigade / Brigada Baloeira Goblin</t>
  </si>
  <si>
    <t>{R}: This creature gains flying until end of turn. / {R}: Brigada Baloeira Goblin ganha a habilidade de voar até o final do turno.</t>
  </si>
  <si>
    <t>Goblin Boarders</t>
  </si>
  <si>
    <t>Creature — Goblin Pirate</t>
  </si>
  <si>
    <t>Raid — This creature enters with a +1/+1 counter on it if you attacked this turn.</t>
  </si>
  <si>
    <t>Goblin Bombardment / Bombardeio de Goblins</t>
  </si>
  <si>
    <t>Sacrifique uma criatura: Bombardeio de Goblins causa 1 de dano à criatura ou ao jogador alvo.</t>
  </si>
  <si>
    <t>Goblin Brawler / Rufião Goblin</t>
  </si>
  <si>
    <t>First strike This creature can't be equipped. / Iniciativa Rufião Goblin não pode ser equipado.</t>
  </si>
  <si>
    <t>Fifth Dawn (5DN)</t>
  </si>
  <si>
    <t>Goblin Brigand / Bandoleiro Goblin</t>
  </si>
  <si>
    <t>This creature attacks each combat if able. / Bandoleiro Goblin ataca a cada turno se estiver apto.</t>
  </si>
  <si>
    <t>Scourge (SCG)</t>
  </si>
  <si>
    <t>Goblin Clearcutter / Goblin Limpa-Caminhos</t>
  </si>
  <si>
    <t>{T}, Sacrifice a Forest: Add three mana in any combination of {R} and/or {G}. / {T}, Sacrifique uma floresta: Adiciona três manas em qualquer combinação de vermelho e/ou verde à sua reserva de mana.</t>
  </si>
  <si>
    <t>Legions (LGN)</t>
  </si>
  <si>
    <t>Goblin Cratermaker / Cratereiro Goblin</t>
  </si>
  <si>
    <t>Criatura — Goblin Guerreiro</t>
  </si>
  <si>
    <t>{1}, sacrifique Cratereiro Goblin: Escolha um — • Cratereiro Goblin causa 2 pontos de dano à criatura alvo. • Destrua a permanente incolor alvo que não seja um terreno.</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</si>
  <si>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</si>
  <si>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</si>
  <si>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Goblin Deathraiders / Saqueadores da Morte Goblins</t>
  </si>
  <si>
    <t>Atropelar</t>
  </si>
  <si>
    <t>BR</t>
  </si>
  <si>
    <t>Goblin Digging Team / Grupo de Goblins Escavadores</t>
  </si>
  <si>
    <t>Creature — Goblin</t>
  </si>
  <si>
    <t>{T}, Sacrifice this creature: Destroy target Wall.</t>
  </si>
  <si>
    <t xml:space="preserve">Chronicles </t>
  </si>
  <si>
    <t>Goblin Dynamo / Dínamo Goblin</t>
  </si>
  <si>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</si>
  <si>
    <t>Goblin Firebug / Goblin Toca-Fogo</t>
  </si>
  <si>
    <t>When this creature leaves the battlefield, sacrifice a land. / Quando Goblin Toca-Fogo sair de jogo, sacrifique um terreno.</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</si>
  <si>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</si>
  <si>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</si>
  <si>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</si>
  <si>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</si>
  <si>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</si>
  <si>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Goblin Grappler / Goblin Agarrador</t>
  </si>
  <si>
    <t>Provoke (Whenever this creature attacks, you may have target creature defending player controls untap and block it if able.) / Provocar (Quando esta criatura atacar, você pode desvirar a criatura alvo que o jogador defensor controla e fazer com que ela a bloqueie se estiver apta.)</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</si>
  <si>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</si>
  <si>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</si>
  <si>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</si>
  <si>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</si>
  <si>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</si>
  <si>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Goblin Machinist / Maquinista Goblin</t>
  </si>
  <si>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</si>
  <si>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</si>
  <si>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</si>
  <si>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Goblin Replica / Réplica de Goblin</t>
  </si>
  <si>
    <t>Artifact Creature — Goblin / Criatura Artefato — Goblin</t>
  </si>
  <si>
    <t>{3}{R}, Sacrifice Goblin Replica: Destroy target artifact. / {3}{R}, Sacrifique Réplica de Goblin: Destrua o artefato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</si>
  <si>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</si>
  <si>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</si>
  <si>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</si>
  <si>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Goblin Rock Sled / Martelo de Pedra Goblin</t>
  </si>
  <si>
    <t>Trample This creature doesn't untap during your untap step if it attacked during your last turn. This creature can't attack unless defending player controls a Mountain.</t>
  </si>
  <si>
    <t>Goblin Roughrider / Cavaleiro Valente Goblin</t>
  </si>
  <si>
    <t>Creature — Goblin Knight / Criatura — Goblin Cavaleiro</t>
  </si>
  <si>
    <t>Goblin Sky Raider / Goblin Atacante Celeste</t>
  </si>
  <si>
    <t>Flying (This creature can't be blocked except by creatures with flying or reach.) / Voar (Esta criatura só pode ser bloqueada por criaturas com a habilidade de voar ou alcance.)</t>
  </si>
  <si>
    <t>Goblin Striker / Golpeador Goblin</t>
  </si>
  <si>
    <t>First strike, haste / Iniciativa, ímpeto</t>
  </si>
  <si>
    <t>Goblin Taskmaster / Goblin Capataz</t>
  </si>
  <si>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</si>
  <si>
    <t>Goblin Tinkerer / Funileiro Goblin</t>
  </si>
  <si>
    <t>Creature — Goblin Artificer</t>
  </si>
  <si>
    <t>{R}, {T}: Destroy target artifact. That artifact deals damage equal to its mana value to this creature.</t>
  </si>
  <si>
    <t>Goblin Tomb Raider / Goblin Saqueador de Túmulos</t>
  </si>
  <si>
    <t>As long as you control an artifact, this creature gets +1/+0 and has haste. / Enquanto você controlar um artefato, Goblin Saqueador de Túmulos receberá +1/+0 e terá ímpeto.</t>
  </si>
  <si>
    <t>Goblin Warchief / Chefe de Guerra Goblino</t>
  </si>
  <si>
    <t>As mágicas de Goblino que você conjura custam {1} a menos para serem conjuradas. As criaturas do tipo Goblino que você controla têm ímpeto.</t>
  </si>
  <si>
    <t>1RR</t>
  </si>
  <si>
    <t>Goblins of the Flarg</t>
  </si>
  <si>
    <t>Mountainwalk (This creature can't be blocked as long as defending player controls a Mountain.) When you control a Dwarf, sacrifice this creature.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</si>
  <si>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</si>
  <si>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</si>
  <si>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Godsend / Mensageira dos Deuses</t>
  </si>
  <si>
    <t>Artefato Lendário — Equipamento</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</si>
  <si>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</si>
  <si>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</si>
  <si>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Gohn, Town of Ruin / Gohn, Vila das Ruínas</t>
  </si>
  <si>
    <t>Este terreno entra virado. {T}: Adicione {B} ou {G}.</t>
  </si>
  <si>
    <t>Golbez, Clad in Darkness // Syr Konrad, the Grim / Golbez, Trajado em Trevas // Syr Konrad, o Sombrio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</si>
  <si>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</si>
  <si>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</si>
  <si>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Gold-Forged Thopteryx / Topterix Forjado em Ouro</t>
  </si>
  <si>
    <t>Artifact Creature — Dinosaur Thopter / Criatura Artefato — Dinossauro Tóptero</t>
  </si>
  <si>
    <t>Flying, lifelink Each legendary permanent you control has ward {2}. (Whenever it becomes the target of a spell or ability an opponent controls, counter it unless that player pays {2}.) / Voar, vínculo com a vida Cada permanente lendária que você controla tem salvaguarda {2}.</t>
  </si>
  <si>
    <t>{W}{U}</t>
  </si>
  <si>
    <t>Golden Hind / Cerva Dourada</t>
  </si>
  <si>
    <t>Creature — Elk / Criatura — Alce</t>
  </si>
  <si>
    <t>{T}: Add {G}. / {T}: Adicione {G} à sua reserva de mana.</t>
  </si>
  <si>
    <t>Goldenglow Moth / Mariposa da Luz Dourada</t>
  </si>
  <si>
    <t>Flying Whenever this creature blocks, you may gain 4 life. / Voar Toda vez que Mariposa da Luz Dourada bloqueia, você pode ganhar 4 pontos de vida.</t>
  </si>
  <si>
    <t>Goldenhide Ox / Boi do Couro Dourado</t>
  </si>
  <si>
    <t>Enchantment Creature — Ox / Criatura Encantamento — Boi</t>
  </si>
  <si>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</si>
  <si>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</si>
  <si>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</si>
  <si>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Goldvein Pick / Picareta de Veio D'ouro</t>
  </si>
  <si>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</si>
  <si>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</si>
  <si>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</si>
  <si>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Golens de Garrafa / Bottle Gnomes</t>
  </si>
  <si>
    <t>Trample. When Bottle Gnomes dies, you gain life equal to its power. / Atropelar. Quando Golens de Garrafa morre, você ganha uma quantidade de pontos de vida igual a seu poder.</t>
  </si>
  <si>
    <t>Golgari Signet / Sinete Golgari</t>
  </si>
  <si>
    <t>{1}, {T}: Add {B}{G}. / {1}, {T}: Adicione {B}{G}.</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</si>
  <si>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</si>
  <si>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</si>
  <si>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</si>
  <si>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Gongaga, Reactor Town / Gongaga, Vila do Reator</t>
  </si>
  <si>
    <t>Este terreno entra virado. {T}: Adicione {R} ou {G}.</t>
  </si>
  <si>
    <t>Gonti, Lord of Luxury / Gonti, Senhor da Opulência</t>
  </si>
  <si>
    <t>Legendary Creature — Aetherborn Rogue / Criatura Lendária — Etergênito Ladino</t>
  </si>
  <si>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</si>
  <si>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</si>
  <si>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</si>
  <si>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</si>
  <si>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</si>
  <si>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Goobbue Gardener / Jardineiro Goobbue</t>
  </si>
  <si>
    <t>Criatura — Planta Besta</t>
  </si>
  <si>
    <t>{T}: Adicione {G}.</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</si>
  <si>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</si>
  <si>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</si>
  <si>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</si>
  <si>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Goremand / Gourmet de Vísceras</t>
  </si>
  <si>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</si>
  <si>
    <t>Gorex, the Tombshell / Gorex, Casco Tumular</t>
  </si>
  <si>
    <t>Legendary Creature — Zombie Turtle / Criatura Lendária — Zumbi Tartaruga</t>
  </si>
  <si>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</si>
  <si>
    <t>Gorilla Shaman / Xamã dos Gorilas</t>
  </si>
  <si>
    <t>Creature — Ape Shaman / Criatura — Símio Xamã</t>
  </si>
  <si>
    <t>{X}{X}{1}: Destroy target noncreature artifact with mana value X. / {X}{X}{1}: Destrua o artefato alvo não de criatura com valor de mana igual a X.</t>
  </si>
  <si>
    <t>Gothmog, Tenente de Morgul / Gothmog, Morgul Lieutenant</t>
  </si>
  <si>
    <t>Criatura Lendária — Humano Soldado</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</si>
  <si>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</si>
  <si>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Grab the Prize</t>
  </si>
  <si>
    <t>As an additional cost to cast this spell, discard a card. Draw two cards. If the discarded card wasn't a land card, Grab the Prize deals 2 damage to each opponent.</t>
  </si>
  <si>
    <t>Graduation Day / Dia da Formatura</t>
  </si>
  <si>
    <t>Tréplica — Sempre que você conjurar uma mágica instantânea ou um feitiço que tenha uma criatura como alvo, coloque um marcador +1/+1 na criatura alvo que você controla.</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</si>
  <si>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</si>
  <si>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</si>
  <si>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Gran Pulse Ochu / Ochu da Gran Pulse</t>
  </si>
  <si>
    <t>Toque mortífero. {8}: Até o final do turno, esta criatura recebe +1/+1 para cada card de permanente em seu cemitério.</t>
  </si>
  <si>
    <t>Granite Gargoyle</t>
  </si>
  <si>
    <t>Creature — Gargoyle</t>
  </si>
  <si>
    <t>Flying {R}: This creature gets +0/+1 until end of turn.</t>
  </si>
  <si>
    <t>Grapeshot Catapult / Catapulta de Metralha</t>
  </si>
  <si>
    <t>{T}: This creature deals 1 damage to target creature with flying.</t>
  </si>
  <si>
    <t>Gravblade Heavy / Pesado de Lâmina Gravitacional</t>
  </si>
  <si>
    <t>Enquanto você controlar um artefato, esta criatura receberá +1/+0 e terá toque mortífero.</t>
  </si>
  <si>
    <t>Gravebind / Fusão Tumular</t>
  </si>
  <si>
    <t>Target creature can't be regenerated this turn. Draw a card at the beginning of the next turn's upkeep.</t>
  </si>
  <si>
    <t>Gravedig / Escavar Túmulo</t>
  </si>
  <si>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</si>
  <si>
    <t>Gravel-Hide Goblin / Goblin Pele-de-cascalho</t>
  </si>
  <si>
    <t>Criatura — Goblin Xamã</t>
  </si>
  <si>
    <t>{3}{G}: Goblin Pele-de-cascalho recebe +2/+2 até o final do turno.</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</si>
  <si>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</si>
  <si>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</si>
  <si>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</si>
  <si>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</si>
  <si>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Gravepurge / Expurgar Túmulo</t>
  </si>
  <si>
    <t>Put any number of target creature cards from your graveyard on top of your library. Draw a card. / Coloque qualquer número de cards de criatura alvo de seu cemitério no topo de seu grimório. Compre um card.</t>
  </si>
  <si>
    <t>Graveshifter</t>
  </si>
  <si>
    <t>Changeling (This card is every creature type.) When this creature enters, you may return target creature card from your graveyard to your hand.</t>
  </si>
  <si>
    <t>Graveshifter / Tumbamorfo</t>
  </si>
  <si>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</si>
  <si>
    <t>Gravpack Monoist / Monoísta de Gravpack</t>
  </si>
  <si>
    <t>Criatura — Humano Batedor</t>
  </si>
  <si>
    <t>Voar. Quando esta criatura morrer, crie uma ficha de criatura artefato Robô incolor 2/2 virada.</t>
  </si>
  <si>
    <t>Gray Ogre / Ogro Cinzento</t>
  </si>
  <si>
    <t>Creature — Ogre</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</si>
  <si>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</si>
  <si>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</si>
  <si>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</si>
  <si>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</si>
  <si>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</si>
  <si>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Commander 2011 (CMD)</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</si>
  <si>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</si>
  <si>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</si>
  <si>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</si>
  <si>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Duel Decks: Zendikar vs. Eldrazi (DDP)</t>
  </si>
  <si>
    <t>Greasewrench Goblin</t>
  </si>
  <si>
    <t>Exhaust — {2}{R}: Discard up to two cards, then draw that many cards. Put a +1/+1 counter on this creature. (Activate each exhaust ability only once.)</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</si>
  <si>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</si>
  <si>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</si>
  <si>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</si>
  <si>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</si>
  <si>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</si>
  <si>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Greater Werewolf / O Grande Lobisomem</t>
  </si>
  <si>
    <t>Creature — Werewolf</t>
  </si>
  <si>
    <t>At end of combat, put a -0/-2 counter on each creature blocking or blocked by this creature.</t>
  </si>
  <si>
    <t>Green Mana Battery / Bateria de Mana Verde</t>
  </si>
  <si>
    <t>{2}, {T}: Put a charge counter on this artifact. {T}, Remove any number of charge counters from this artifact: Add {G}, then add an additional {G} for each charge counter removed this way.</t>
  </si>
  <si>
    <t>Green Ward / Defesa Verde</t>
  </si>
  <si>
    <t>Enchant creature Enchanted creature has protection from green. This effect doesn't remove this Aura.</t>
  </si>
  <si>
    <t>Gremlin Infestation / Infestação de Gremlins</t>
  </si>
  <si>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</si>
  <si>
    <t>Gremlin Tamer</t>
  </si>
  <si>
    <t>Creature — Human Scout</t>
  </si>
  <si>
    <t>Eerie — Whenever an enchantment you control enters and whenever you fully unlock a Room, create a 1/1 red Gremlin creature token.</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</si>
  <si>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</si>
  <si>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</si>
  <si>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Grim Guardian / Guardião Sinistro</t>
  </si>
  <si>
    <t>Constellation — Whenever this creature or another enchantment you control enters, each opponent loses 1 life. / Constelação — Toda vez que Guardião Sinistro ou outro encantamento entra no campo de batalha sob seu controle, cada oponente perde 1 ponto de vida.</t>
  </si>
  <si>
    <t>Grim Javelineer</t>
  </si>
  <si>
    <t>Whenever you attack, target attacking creature gets +1/+0 until end of turn. When that creature dies this turn, surveil 1. (Look at the top card of your library. You may put that card into your graveyard.)</t>
  </si>
  <si>
    <t>Grim Roustabout / Servente Macabro</t>
  </si>
  <si>
    <t>Creature — Skeleton Warrior / Criatura — Esqueleto Guerreiro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</si>
  <si>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</si>
  <si>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Gríma Língua de Cobra / Gríma Wormtongue</t>
  </si>
  <si>
    <t>Criatura Lendária — Humano Conselheiro</t>
  </si>
  <si>
    <t>Seus oponentes não podem ganhar pontos de vida. {T}, sacrifique outra criatura: O jogador alvo perde 1 ponto de vida. Se a criatura sacrificada era lendária, arregimente Orcs 2.</t>
  </si>
  <si>
    <t>Griptide / Corrente de Refluxo</t>
  </si>
  <si>
    <t>Put target creature on top of its owner's library. / Coloque a criatura alvo no topo do grimório de seu dono.</t>
  </si>
  <si>
    <t>Duel Decks: Jace vs. Vraska (DDM)</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</si>
  <si>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</si>
  <si>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</si>
  <si>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</si>
  <si>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Gristle Glutton</t>
  </si>
  <si>
    <t>{T}, Blight 1: Discard a card. If you do, draw a card. (To blight 1, put a -1/-1 counter on a creature you control.)</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</si>
  <si>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</si>
  <si>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</si>
  <si>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Grizzled Wolverine / Carcaju Cinzento</t>
  </si>
  <si>
    <t>Creature — Wolverine</t>
  </si>
  <si>
    <t>{R}: This creature gets +2/+0 until end of turn. Activate only during the declare blockers step, only if at least one creature is blocking this creature, and only once each turn.</t>
  </si>
  <si>
    <t>Grizzly Bears / Ursos Cinzentos</t>
  </si>
  <si>
    <t>Creature — Bear / Criatura — Urso</t>
  </si>
  <si>
    <t>Grond, o Quebra-portões / Grond, the Gatebreaker</t>
  </si>
  <si>
    <t>Artefato Lendário — Veículo</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</si>
  <si>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</si>
  <si>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</si>
  <si>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</si>
  <si>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Grotag Night-Runner / Corredor Noturno Grotag</t>
  </si>
  <si>
    <t>Creature — Goblin Rogue / Criatura — Goblin Ladino</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</si>
  <si>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</si>
  <si>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Grotesque Demise / Fim Grotesco</t>
  </si>
  <si>
    <t>Exile target creature with power 3 or less. / Exile a criatura alvo com poder igual ou inferior a 3.</t>
  </si>
  <si>
    <t>Grounded for Life</t>
  </si>
  <si>
    <t>This spell costs {3} less to cast if it targets a tapped creature. Destroy target creature.</t>
  </si>
  <si>
    <t>Group Project / Trabalho em Grupo</t>
  </si>
  <si>
    <t>Crie uma ficha de criatura Espírito 2/2 vermelha e branca. Recapitular — Vire três criaturas desviradas que você controla. (Você pode conjurar este card de seu cemitério por seu custo de recapitular. Depois, exile-o.)</t>
  </si>
  <si>
    <t>Gruul Spellbreaker / Quebra-mágicas Gruul</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</si>
  <si>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</si>
  <si>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{1}{R}{G}</t>
  </si>
  <si>
    <t>Guac &amp; Marshmallow Pizza</t>
  </si>
  <si>
    <t>Flash When this artifact enters, target creature gets +2/+2 until end of turn. Untap it. {2}, {T}, Sacrifice this artifact: You gain 3 life.</t>
  </si>
  <si>
    <t>Guadosalam, Farplane Gateway / Guadosalam, Portal do Além</t>
  </si>
  <si>
    <t>Este terreno entra virado. {T}: Adicione {G} ou {U}.</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</si>
  <si>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</si>
  <si>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</si>
  <si>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Guardian of the Forgotten / Guardiões dos Esquecidos</t>
  </si>
  <si>
    <t>Creature — Elephant Warrior / Criatura — Elefante Guerreiro</t>
  </si>
  <si>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</si>
  <si>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</si>
  <si>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</si>
  <si>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Guardian's Longbow / Arco Longo do Guardião</t>
  </si>
  <si>
    <t>Equipped creature gets +2/+1 and has reach. Equip {3}</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</si>
  <si>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</si>
  <si>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</si>
  <si>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</si>
  <si>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</si>
  <si>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</si>
  <si>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Kamigawa: Neon Dynasty (NEO) V</t>
  </si>
  <si>
    <t>Guerreiro de Akoum / Akoum Warrior</t>
  </si>
  <si>
    <t>Criatura — Minotauro Guerreiro / Creature — Minotaur Warrior</t>
  </si>
  <si>
    <t>Atropelar. / Trample.</t>
  </si>
  <si>
    <t>Guerrilla Gorilla / Gorila Guerrilheiro</t>
  </si>
  <si>
    <t>Criatura — Macaco Soldado Herói</t>
  </si>
  <si>
    <t>Alcance. Sacrifique esta criatura: Destrua o artefato não de criatura ou encantamento não de criatura alvo. Ative apenas como um feitiço.</t>
  </si>
  <si>
    <t>Gurmag Swiftwing / Asa-veloz Gurmag</t>
  </si>
  <si>
    <t>Creature — Bat / Criatura — Morcego</t>
  </si>
  <si>
    <t>Flying, first strike, haste / Voar, iniciativa, ímpeto</t>
  </si>
  <si>
    <t>Gutsplitter Gang</t>
  </si>
  <si>
    <t>At the beginning of your first main phase, you may blight 2. If you don't, you lose 3 life. (To blight 2, put two -1/-1 counters on a creature you control.)</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</si>
  <si>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</si>
  <si>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</si>
  <si>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</si>
  <si>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</si>
  <si>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Gyre Engineer / Engenheiro da Espiral</t>
  </si>
  <si>
    <t>Creature — Vedalken Wizard / Criatura — Vedalkeano Mago</t>
  </si>
  <si>
    <t>{T}: Add {G}{U}. / {T}: Adicione {G}{U}.</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</si>
  <si>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</si>
  <si>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</si>
  <si>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</si>
  <si>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</si>
  <si>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</si>
  <si>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</si>
  <si>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</si>
  <si>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Hada Freeblade / Franco-Espadachim de Hada</t>
  </si>
  <si>
    <t>Creature — Human Soldier Ally / Criatura — Humano Soldado Aliado</t>
  </si>
  <si>
    <t>Whenever this creature or another Ally you control enters, you may put a +1/+1 counter on this creature. / Toda vez que Franco-Espadachim de Hada ou outro Aliado entra no campo de batalha sob o seu controle, você pode colocar um marcador +1/+1 em Franco-Espadachim de Hada.</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</si>
  <si>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</si>
  <si>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</si>
  <si>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</si>
  <si>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</si>
  <si>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</si>
  <si>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</si>
  <si>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</si>
  <si>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</si>
  <si>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</si>
  <si>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Hamato Guardian Stance</t>
  </si>
  <si>
    <t>Target creature gets +1/+3 and gains flying until end of turn. Scry 1. (Look at the top card of your library. You may put that card on the bottom.)</t>
  </si>
  <si>
    <t>Hamato Ninpō / Hamato Ninpō</t>
  </si>
  <si>
    <t>Hamato Ninpō causa 4 pontos de dano à criatura atacante ou bloqueadora alvo.</t>
  </si>
  <si>
    <t>Harbinger of the Tides / Anunciador das Marés</t>
  </si>
  <si>
    <t>Creature — Merfolk Wizard / Criatura — Tritão Mago</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</si>
  <si>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</si>
  <si>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Hard-Won Jitte</t>
  </si>
  <si>
    <t>Equipped creature has double strike. Equip {2} ({2}: Attach to target creature you control. Equip only as a sorcery.)</t>
  </si>
  <si>
    <t>Hardened Escort</t>
  </si>
  <si>
    <t>Hardy Veteran / Veterana Calejada</t>
  </si>
  <si>
    <t>During your turn, this creature gets +0/+2. / Enquanto for o seu turno, Veterana Calejada receberá +0/+2.</t>
  </si>
  <si>
    <t>Harrier Strix / Estrige Saqueadora</t>
  </si>
  <si>
    <t>Flying When this creature enters, tap target permanent. {2}{U}: Draw a card, then discard a card. / Voar Quando Estrige Saqueadora entrar no campo de batalha, vire a permanente alvo. {2}{U}: Compre um card e depois descarte um card.</t>
  </si>
  <si>
    <t>Harrowing Journey / Jornada Desgastante</t>
  </si>
  <si>
    <t>Target player draws three cards and loses 3 life. / O jogador alvo compra três cards e perde 3 pontos de vida.</t>
  </si>
  <si>
    <t>Harsh Annotation / Anotação Ríspida</t>
  </si>
  <si>
    <t>Destrua a criatura alvo. Seu controlador cria uma ficha de criatura Tinteiro 1/1 branca e preta com voar.</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</si>
  <si>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</si>
  <si>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</si>
  <si>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{1}{W}{B}</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</si>
  <si>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</si>
  <si>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</si>
  <si>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</si>
  <si>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Harvestguard Alseids / Alseídes da Colheita</t>
  </si>
  <si>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</si>
  <si>
    <t>Hasran Ogress</t>
  </si>
  <si>
    <t>Whenever this creature attacks, it deals 3 damage to you unless you pay {2}.</t>
  </si>
  <si>
    <t>Chronicies</t>
  </si>
  <si>
    <t>Haste Magic / Magia de Ímpeto</t>
  </si>
  <si>
    <t>A criatura alvo recebe +3/+1 e ganha ímpeto até o final do turno. Exile o card do topo de seu grimório. Você pode jogá-lo até a sua próxima etapa final.</t>
  </si>
  <si>
    <t>Haunted Angel / Anjo Assombrado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</si>
  <si>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</si>
  <si>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</si>
  <si>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</si>
  <si>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Haunting Apparition / Visonha Macabra</t>
  </si>
  <si>
    <t>Flying As this creature enters, choose an opponent. Haunting Apparition's power is equal to 1 plus the number of green creature cards in the chosen player's graveyard.</t>
  </si>
  <si>
    <t>1+*/2</t>
  </si>
  <si>
    <t>Havoc Jester / Bufão da Destruição</t>
  </si>
  <si>
    <t>Whenever you sacrifice a permanent, this creature deals 1 damage to any target. / Toda vez que você sacrifica uma permanente, Bufão da Destruição causa 1 ponto de dano a qualquer alvo.</t>
  </si>
  <si>
    <t>Hazduhr the Abbot</t>
  </si>
  <si>
    <t>Criatura Lendária / Summon Legend</t>
  </si>
  <si>
    <t>{X}, {T}: Redirect to Hazduhr the Abbot X damage dealt to any white creature you control.</t>
  </si>
  <si>
    <t>Haze of Pollen / Bruma de Pólen</t>
  </si>
  <si>
    <t>Prevent all combat damage that would be dealt this turn. Cycling {3} ({3}, Discard this card: Draw a card.) / Previna todo o dano de combate que seria causado neste turno. Reciclar {3} ({3}, Descarte este card: Compre um card.)</t>
  </si>
  <si>
    <t>Head of the Homestead</t>
  </si>
  <si>
    <t>Creature — Rabbit Citizen</t>
  </si>
  <si>
    <t>When Head of the Homestead enters, create two 1/1 white Rabbit creature tokens.</t>
  </si>
  <si>
    <t>{3}{G}{W}</t>
  </si>
  <si>
    <t>Headless Skaab / Skaab Sem Cabeça</t>
  </si>
  <si>
    <t>Creature — Zombie Warrior / Criatura — Zumbi Guerreiro</t>
  </si>
  <si>
    <t>As an additional cost to cast this spell, exile a creature card from your graveyard. This creature enters tapped. / Como custo adicional para conjurar Skaab Sem Cabeça, exile um card de criatura de seu cemitério. Skaab Sem Cabeça entra no campo de batalha virado.</t>
  </si>
  <si>
    <t>Headless Specter / Espectro Sem Cabeça</t>
  </si>
  <si>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</si>
  <si>
    <t>Healer's Hawk / Falcão do Curandeiro</t>
  </si>
  <si>
    <t>Flying Lifelink (Damage dealt by this creature also causes you to gain that much life.) / Voar, vínculo com a vida</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</si>
  <si>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</si>
  <si>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</si>
  <si>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Hecteyes</t>
  </si>
  <si>
    <t>Creature — Ooze Horror</t>
  </si>
  <si>
    <t>When this creature enters, each opponent discards a card.</t>
  </si>
  <si>
    <t>1B</t>
  </si>
  <si>
    <t>Final Fantasy (FFII)</t>
  </si>
  <si>
    <t>Hedron Blade / Lâmina de Edro</t>
  </si>
  <si>
    <t>Equipped creature gets +1/+1. Whenever equipped creature becomes blocked by one or more colorless creatures, it gains deathtouch until end of turn. Equip {2}</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</si>
  <si>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</si>
  <si>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</si>
  <si>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</si>
  <si>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</si>
  <si>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Heirloom Auntie</t>
  </si>
  <si>
    <t>This creature enters with two -1/-1 counters on it. Whenever another creature you control dies, surveil 1, then remove a -1/-1 counter from this creature. (To surveil 1, look at the top card of your library. You may put it into your graveyard.)</t>
  </si>
  <si>
    <t>Hell's Thunder / Trovão do Inferno</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</si>
  <si>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</si>
  <si>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Hellraiser Goblin / Goblino Desordeiro</t>
  </si>
  <si>
    <t>As criaturas que você controla têm ímpeto e atacam a cada combate se estiverem aptas.</t>
  </si>
  <si>
    <t>Helm of Chatzuk / Elmo de Chatzuk</t>
  </si>
  <si>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</si>
  <si>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</si>
  <si>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</si>
  <si>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{3}{U/B}</t>
  </si>
  <si>
    <t>Helpful Hunter</t>
  </si>
  <si>
    <t>When this creature enters, draw a card.</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</si>
  <si>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</si>
  <si>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</si>
  <si>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Henchbots</t>
  </si>
  <si>
    <t>Artifact Creature — Robot</t>
  </si>
  <si>
    <t>When this creature enters, exile target tapped creature an opponent controls until this creature leaves the battlefield.</t>
  </si>
  <si>
    <t>Herbology Instructor / Instrutor de Herbologia</t>
  </si>
  <si>
    <t>Creature — Treefolk Druid / Criatura — Ent Druida</t>
  </si>
  <si>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</si>
  <si>
    <t>Hermitic Herbalist</t>
  </si>
  <si>
    <t>Creature — Human Druid Ally</t>
  </si>
  <si>
    <t>{T}: Add one mana of any color. {T}: Add two mana in any combination of colors. Spend this mana only to cast Lesson spells.</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</si>
  <si>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</si>
  <si>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</si>
  <si>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</si>
  <si>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</si>
  <si>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</si>
  <si>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Heróis Colossais</t>
  </si>
  <si>
    <t>Esforço — Heróis Colossais custa 1G a mais para ser conjurado para cada alvo além do primeiro. Qualquer número de criaturas alvo recebe +2/+2 até o final do turno. Desvire aquelas criaturas.</t>
  </si>
  <si>
    <t>Heron of Hope / Garça da Esperança</t>
  </si>
  <si>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</si>
  <si>
    <t>Hex / Feitiço Bruxaxento</t>
  </si>
  <si>
    <t>Destrua seis criaturas alvo.</t>
  </si>
  <si>
    <t>Marvel (MAR)</t>
  </si>
  <si>
    <t>Hexgold Halberd / Alabarda de Hexouro</t>
  </si>
  <si>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</si>
  <si>
    <t>High Priest of Penance / Alto Sacerdote de Penitência</t>
  </si>
  <si>
    <t>Whenever this creature is dealt damage, you may destroy target nonland permanent. / Toda vez que Alto Sacerdote de Penitência sofre dano, você pode destruir a permanente alvo que não seja um terreno.</t>
  </si>
  <si>
    <t>High-Flying Ace</t>
  </si>
  <si>
    <t>Flying {3}{W}: Target creature without flying gains flying until end of turn. Activate only as a sorcery.</t>
  </si>
  <si>
    <t>Highborn Ghoul / Carniçal Fidalgo</t>
  </si>
  <si>
    <t>Intimidate (This creature can't be blocked except by artifact creatures and/or creatures that share a color with it.) / Intimidar (Esta criatura só pode ser bloqueada por criaturas artefato e/ou criaturas que compartilhem uma cor com ela.)</t>
  </si>
  <si>
    <t>Highland Game / Caça do Planalto</t>
  </si>
  <si>
    <t>When this creature dies, you gain 2 life. / Quando Caça do Planalto morre, você ganha 2 pontos de vida.</t>
  </si>
  <si>
    <t>Hightide Hermit / Eremita da Maré Alta</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</si>
  <si>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</si>
  <si>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Hill Giant / Gigante da Colina</t>
  </si>
  <si>
    <t>Hill Gigas / Gigas das Colinas</t>
  </si>
  <si>
    <t>Atropelar, ímpeto. Reciclar montanha {2} ({2}, Descarte este card: Procure em seu grimório por um card de Montanha, revele-o e coloque-o em sua mão. Depois, embaralhe seu grimório.)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</si>
  <si>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</si>
  <si>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</si>
  <si>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Shards of Alara (ALA)</t>
  </si>
  <si>
    <t>Hoar Shade / Sombra Álgida</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</si>
  <si>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</si>
  <si>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</si>
  <si>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</si>
  <si>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</si>
  <si>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</si>
  <si>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</si>
  <si>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Hold the Line / Manter a Posição</t>
  </si>
  <si>
    <t>As criaturas bloqueadoras recebem +7/+7 até o final do turno.</t>
  </si>
  <si>
    <t>Holy Armor / Armadura Divina</t>
  </si>
  <si>
    <t>Target creature gains +0/+2. {W}: +0/+1</t>
  </si>
  <si>
    <t>Holy Strength / Holy Strength</t>
  </si>
  <si>
    <t>Target creature gains +1/+2.</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</si>
  <si>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</si>
  <si>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</si>
  <si>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</si>
  <si>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</si>
  <si>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</si>
  <si>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</si>
  <si>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</si>
  <si>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</si>
  <si>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Hoplita Sátiro</t>
  </si>
  <si>
    <t>Criatura — Sátiro Soldado</t>
  </si>
  <si>
    <t>Heroico — Toda vez que você conjurar uma mágica cujo alvo seja Hoplita Sátiro, coloque um marcador +1/+1 em Hoplita Sátiro.</t>
  </si>
  <si>
    <t>Hordeling Outburst / Ataque da Mini-horda</t>
  </si>
  <si>
    <t>Create three 1/1 red Goblin creature tokens. / Coloque no campo de batalha três fichas de criatura vermelhas 1/1 do tipo Goblin.</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</si>
  <si>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</si>
  <si>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</si>
  <si>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Horseshoe Crab / Caranguejo Ferradura</t>
  </si>
  <si>
    <t>{U}: Untap this creature. / {U}: Desvire Caranguejo Ferradura.</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</si>
  <si>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</si>
  <si>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</si>
  <si>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</si>
  <si>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Hour of Defeat / Hora da Derrota</t>
  </si>
  <si>
    <t>Destrua a criatura alvo. Vigie 1. (Olhe o card do topo de seu grimório. Você pode colocá-lo em seu cemitério.)</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</si>
  <si>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</si>
  <si>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</si>
  <si>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Hovel Hurler</t>
  </si>
  <si>
    <t>Creature — Giant Warrior</t>
  </si>
  <si>
    <t>This creature enters with two -1/-1 counters on it. {R/W}{R/W}, Remove a counter from this creature: Another target creature you control gets +1/+0 and gains flying until end of turn. Activate only as a sorcery.</t>
  </si>
  <si>
    <t>{3}{R/W}{R/W}</t>
  </si>
  <si>
    <t>How to Start a Riot</t>
  </si>
  <si>
    <t>Target creature gains menace until end of turn. (It can't be blocked except by two or more creatures.) Creatures target player controls get +2/+0 until end of turn.</t>
  </si>
  <si>
    <t>Howl from Beyond / Uivo do Além</t>
  </si>
  <si>
    <t>Target creature gets +X/+0 until end of turn. / A criatura alvo recebe +X/+0 até o final do turno.</t>
  </si>
  <si>
    <t>{X}{B}</t>
  </si>
  <si>
    <t>Howler's Heavy</t>
  </si>
  <si>
    <t>Creature — Seal Pirate</t>
  </si>
  <si>
    <t>Cycling {1}{U} ({1}{U}, Discard this card: Draw a card.) When you cycle this card, target creature or Vehicle an opponent controls gets -3/-0 until end of turn.</t>
  </si>
  <si>
    <t>Howling Mine</t>
  </si>
  <si>
    <t>During each player's draw phase, that player draws an additional card.</t>
  </si>
  <si>
    <t>Hubris / Arrogância</t>
  </si>
  <si>
    <t>Devolva a criatura alvo e todas as Auras anexadas a ela para as mãos de seus donos.</t>
  </si>
  <si>
    <t>Hulking Devil / Diabo Brutamontes</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</si>
  <si>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</si>
  <si>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</si>
  <si>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</si>
  <si>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Hullcarver / Escultor de Cascos</t>
  </si>
  <si>
    <t>Criatura Artefato — Robô Assassino</t>
  </si>
  <si>
    <t>Toque mortífero</t>
  </si>
  <si>
    <t>Humbler of Mortals / Humilhador de Mortais</t>
  </si>
  <si>
    <t>Constelação — Toda vez que Humilhador de Mortais ou outro encantamento entra no campo de batalha sob seu controle, as criaturas que você controla ganham atropelar até o final do turno.</t>
  </si>
  <si>
    <t>4GG</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</si>
  <si>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</si>
  <si>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</si>
  <si>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</si>
  <si>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</si>
  <si>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</si>
  <si>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Hungry Spriggan / Spriggan Faminto</t>
  </si>
  <si>
    <t>Trample. Whenever Hungry Spriggan attacks, it gets +3/+3 until end of turn. / Atropelar. Toda vez que Spriggan Faminto ataca, ele recebe +3/+3 até o final do turno.</t>
  </si>
  <si>
    <t>Hunter of Eyeblights / Caçador de Seca-Olhos</t>
  </si>
  <si>
    <t>Creature — Elf Assassin / Criatura — Elfo Assassino</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</si>
  <si>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</si>
  <si>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Lorwyn (LRW)</t>
  </si>
  <si>
    <t>Hunter's Edge / Vantagem da Caçadora</t>
  </si>
  <si>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</si>
  <si>
    <t>Hunter's Insight / Percepção do Caçador</t>
  </si>
  <si>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</si>
  <si>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</si>
  <si>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</si>
  <si>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Hurloon Battle Hymn / Hino de Batalha de Hurloon</t>
  </si>
  <si>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</si>
  <si>
    <t>Hurloon Minotaur / Minotauro de Hurloon</t>
  </si>
  <si>
    <t>Creature — Minotaur</t>
  </si>
  <si>
    <t>Hussar Patrol / Patrulha Hússara</t>
  </si>
  <si>
    <t>Lampejo (Você poderá conjurar esta mágica a qualquer momento em que puder conjurar uma mágica instantânea.) Vigilância</t>
  </si>
  <si>
    <t>2WU</t>
  </si>
  <si>
    <t>Hyalopterous Lemure / Lêmure Hialóptero</t>
  </si>
  <si>
    <t>{0}: This creature gets -1/-0 and gains flying until end of turn. / {0}: Lêmure Hialóptero recebe -1/-0 e ganha voar até o final do turno.</t>
  </si>
  <si>
    <t>Hydraulic Helper / Ajudante Hidráulico</t>
  </si>
  <si>
    <t>Defensor. {T}: Adicione {U}. Este mana não pode ser gasto para conjurar uma mágica que não seja de artefato.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</si>
  <si>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</si>
  <si>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</si>
  <si>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Hydroform / Hidroformar</t>
  </si>
  <si>
    <t>Target land becomes a 3/3 Elemental creature with flying until end of turn. It's still a land. / O terreno alvo torna-se uma criatura do tipo Elemental 3/3 com voar até o final do turno. Ela ainda conta como um terreno.</t>
  </si>
  <si>
    <t>Hyena Pack / Alcateia de Hienas</t>
  </si>
  <si>
    <t>Creature — Hyena / Criatura — Hiena</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</si>
  <si>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</si>
  <si>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</si>
  <si>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</si>
  <si>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</si>
  <si>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Breaking News (OTP)</t>
  </si>
  <si>
    <t>Hyrax Tower Scout / Batedora da Torre de Hírax</t>
  </si>
  <si>
    <t>When this creature enters, untap target creature. / Quando Batedora da Torre de Hírax entrar no campo de batalha, desvire a criatura alvo.</t>
  </si>
  <si>
    <t>I Am Iron Man / Eu Sou o Homem de Ferro</t>
  </si>
  <si>
    <t>Até o final do turno, o artefato ou criatura alvo torna-se uma criatura artefato com poder e resistência básicos 4/4 e ganha voar. Compre um card.</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</si>
  <si>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</si>
  <si>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</si>
  <si>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</si>
  <si>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Icatian Infantry / Infantaria Icatiana</t>
  </si>
  <si>
    <t>Creature — Soldiers / Criatura — Soldados</t>
  </si>
  <si>
    <t>{1}: Bands until end of turn. {1}: First strike until end of turn. / {1}: Forma bandos até o final do turno. {1}: Iniciativa até o final do turno.</t>
  </si>
  <si>
    <t>Icatian Scout / Explorador Icatiano</t>
  </si>
  <si>
    <t>{1}, {T}: Target creature gains first strike until end of turn. / {1}, {T}: A criatura alvo ganha iniciativa até o final do turno.</t>
  </si>
  <si>
    <t>Ice Cream Kitty</t>
  </si>
  <si>
    <t>Artifact Creature — Food Cat Mutant</t>
  </si>
  <si>
    <t>{2}, Sacrifice another creature or token: Draw a card. Activate only as a sorcery. {2}, {T}, Sacrifice this creature: You gain 3 life.</t>
  </si>
  <si>
    <t>{1}{B/G}</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</si>
  <si>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</si>
  <si>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</si>
  <si>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</si>
  <si>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</si>
  <si>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</si>
  <si>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Ichor Slick / Gosma Icorídia</t>
  </si>
  <si>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</si>
  <si>
    <t>Icy Manipulator / Manipulador Gélido</t>
  </si>
  <si>
    <t>{1}, {T}: Tap target artifact, creature, or land. / {1}, {T}: Vire o artefato, a criatura ou o terreno alvo.</t>
  </si>
  <si>
    <t>Ignis Scientia / Ignis Scientia</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</si>
  <si>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</si>
  <si>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</si>
  <si>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Verde/Azul</t>
  </si>
  <si>
    <t>Iguana Parrot</t>
  </si>
  <si>
    <t>Creature — Lizard Bird Pirate</t>
  </si>
  <si>
    <t>Flying, vigilance Prowess (Whenever you cast a noncreature spell, this creature gets +1/+1 until end of turn.)</t>
  </si>
  <si>
    <t>Ihsan's Shade / A Sombra de Ihsan</t>
  </si>
  <si>
    <t>Legendary Creature — Shade Knight</t>
  </si>
  <si>
    <t>Protection from white</t>
  </si>
  <si>
    <t>Il Mheg Pixie</t>
  </si>
  <si>
    <t>Creature — Faerie</t>
  </si>
  <si>
    <t>Flying Whenever this creature attacks, surveil 1. (Look at the top card of your library. You may put it into your graveyard.)</t>
  </si>
  <si>
    <t>Illegitimate Business</t>
  </si>
  <si>
    <t>This land enters tapped. When this land enters, you gain 1 life. {T}: Add {B} or {G}.</t>
  </si>
  <si>
    <t>Illusion Spinners</t>
  </si>
  <si>
    <t>You may cast this spell as though it had flash if you control a Faerie. Flying. This creature has hexproof as long as it's untapped. (It can't be the target of spells or abilities your opponents control.)</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</si>
  <si>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</si>
  <si>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</si>
  <si>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Ilysian Caryatid / Cariátide Ilisiana</t>
  </si>
  <si>
    <t>Creature — Plant / Criatura — Planta</t>
  </si>
  <si>
    <t>{T}: Add one mana of any color. If you control a creature with power 4 or greater, add two mana of any one color instead. / {T}: Adicione um mana de qualquer cor. Se você controlar uma criatura com poder igual ou superior a 4, em vez disso, adicione dois manas de qualquer cor.</t>
  </si>
  <si>
    <t>Immolation / Imolação</t>
  </si>
  <si>
    <t>Enchantment — Aura / Encantar Criatura</t>
  </si>
  <si>
    <t>Enchant creature Enchanted creature gets +2/-2. / A criatura-alvo ganha +2/-2.</t>
  </si>
  <si>
    <t>Imodane, the Pyrohammer / Imodane, a Piromartelo</t>
  </si>
  <si>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</si>
  <si>
    <t>Imodane's Recruiter // Train Troops / Recrutador de Imodane // Treinar Tropas</t>
  </si>
  <si>
    <t>Creature — Human Knight // Sorcery — Adventure / Criatura — Humano Cavaleiro</t>
  </si>
  <si>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</si>
  <si>
    <t>{2}{R} // {4}{W}</t>
  </si>
  <si>
    <t>Imperial Subduer / Subjugadora Imperial</t>
  </si>
  <si>
    <t>Creature — Human Samurai / Criatura — Humano Samurai</t>
  </si>
  <si>
    <t>Whenever a Samurai or Warrior you control attacks alone, tap target creature you don't control. / Toda vez que um Samurai ou Guerreiro que você controla atacar sozinho, vire a criatura alvo que você não controla.</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</si>
  <si>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</si>
  <si>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</si>
  <si>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</si>
  <si>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Imperious Oligarch / Oligarca Imperiosa</t>
  </si>
  <si>
    <t>Vigilance Afterlife 1 (When this creature dies, create a 1/1 white and black Spirit creature token with flying.) / Vigilância Pós-vida 1 (Quando esta criatura morrer, crie uma ficha de criatura branca e preta 1/1 do tipo Espírito com voar.)</t>
  </si>
  <si>
    <t>Impolite Entrance</t>
  </si>
  <si>
    <t>Target creature gains trample and haste until end of turn. Draw a card.</t>
  </si>
  <si>
    <t>Imposing Visage / Aparência Imponente</t>
  </si>
  <si>
    <t>Enchant creature Enchanted creature has menace. (It can't be blocked except by two or more creatures.)</t>
  </si>
  <si>
    <t>Impossible Inferno</t>
  </si>
  <si>
    <t>Impossible Inferno deals 6 damage to target creature. Delirium — If there are four or more card types among cards in your graveyard, exile the top card of your library. You may play it until the end of your next turn.</t>
  </si>
  <si>
    <t>Imprisoned in the Moon / Aprisionados na Lua</t>
  </si>
  <si>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</si>
  <si>
    <t>Impulse / Impulso</t>
  </si>
  <si>
    <t>Olhe os quatro cards do topo de seu grimório. Coloque um deles em sua mão e o restante no fundo de seu grimório em qualquer ordem.</t>
  </si>
  <si>
    <t>Impulsive Pilferer / Gatuno Impulsivo</t>
  </si>
  <si>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</si>
  <si>
    <t>Incinerating Blast</t>
  </si>
  <si>
    <t>Incinerating Blast deals 6 damage to target creature. You may discard a card. If you do, draw a card.</t>
  </si>
  <si>
    <t>Incitar a Turba</t>
  </si>
  <si>
    <t>Esforço — Incitar a Turba custa 2R a mais para ser conjurado para cada alvo além do primeiro. Qualquer número de criaturas alvo recebe +2/+0 e ganha atropelar até o final do turno.</t>
  </si>
  <si>
    <t>Incongruência / Incongruity // Incubação / Incubation</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</si>
  <si>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</si>
  <si>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</si>
  <si>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</si>
  <si>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</si>
  <si>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Incursão de Orcs / Orcish Medicine</t>
  </si>
  <si>
    <t>Arregimentar Orcs 2. Quando você faz isso, Incursão de Orcs causa X pontos de dano à criatura alvo que um oponente controla, sendo X o poder do Exército arregimentado.</t>
  </si>
  <si>
    <t>Infantry Veteran / Veterano da Infantaria</t>
  </si>
  <si>
    <t>{T}: A criatura atacante alvo recebe +1/+1 até o final do turno.</t>
  </si>
  <si>
    <t>W</t>
  </si>
  <si>
    <t>{T}: Target attacking creature gets +1/+1 until end of turn. / {T}: A criatura alvo atacante recebe +1/+1 até o final do turno.</t>
  </si>
  <si>
    <t>Infernal Denizen / Residente Infernal</t>
  </si>
  <si>
    <t>Creature — Demon</t>
  </si>
  <si>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</si>
  <si>
    <t>{7}{B}</t>
  </si>
  <si>
    <t>Inferno</t>
  </si>
  <si>
    <t>Inferno deals 6 damage to each creature and each player. / Inferno causa 6 pontos de dano a cada criatura e cada jogador.</t>
  </si>
  <si>
    <t>Inferno Trap / Armadilha de Inferno</t>
  </si>
  <si>
    <t>Se tiver recebido dano de duas ou mais criaturas neste turno, você poderá pagar {R} em vez de pagar o custo de mana de Armadilha de Inferno. Armadilha de Inferno causa 4 de dano à criatura alvo.</t>
  </si>
  <si>
    <t>Infestation Sage</t>
  </si>
  <si>
    <t>When this creature dies, create a 1/1 black and green Insect creature token with flying.</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</si>
  <si>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</si>
  <si>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</si>
  <si>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</si>
  <si>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</si>
  <si>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</si>
  <si>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Inga Rune-Eyes / Inga Olhos Rúnicos</t>
  </si>
  <si>
    <t>Legendary Creature — Human Wizard / Criatura Lendária — Humano Mago</t>
  </si>
  <si>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</si>
  <si>
    <t>Inkfathom Infiltrator / Infiltrado Braçatinta</t>
  </si>
  <si>
    <t>This creature can't block and can't be blocked. / Infiltrado Braçatinta não pode bloquear e não pode ser bloqueado.</t>
  </si>
  <si>
    <t>{U/B}{U/B}</t>
  </si>
  <si>
    <t>Inkrise Infiltrator / Infiltradora Asas de Tinta</t>
  </si>
  <si>
    <t>Flying {3}{B}: This creature gets +2/+2 until end of turn. / Voar {3}{B}: Infiltradora Asas de Tinta recebe +2/+2 até o final do turno.</t>
  </si>
  <si>
    <t>Inordinate Rage / Fúria Desmedida</t>
  </si>
  <si>
    <t>Target creature gets +3/+2 until end of turn. Scry 1. / A criatura alvo recebe +3/+2 até o final do turno. Use vidência 1.</t>
  </si>
  <si>
    <t>Insectoid Exterminator</t>
  </si>
  <si>
    <t>Creature — Insect Mutant</t>
  </si>
  <si>
    <t>Flying Disappear — At the beginning of your end step, if a permanent left the battlefield under your control this turn, scry 1. (Look at the top card of your library. You may put that card on the bottom.)</t>
  </si>
  <si>
    <t>Insidious Bookworms / Traças de Livro Insidiosas</t>
  </si>
  <si>
    <t>Creature — Worm</t>
  </si>
  <si>
    <t>When this creature dies, you may pay {1}{B}. If you do, target player discards a card at random.</t>
  </si>
  <si>
    <t>Insomnia, Crown City / Insomnia, Cidade da Coroa</t>
  </si>
  <si>
    <t>Este terreno entra virado. {T}: Adicione {W} ou {B}.</t>
  </si>
  <si>
    <t>Inspiration from Beyond</t>
  </si>
  <si>
    <t>Mill three cards, then return an instant or sorcery card from your graveyard to your hand. Flashback {5}{U}{U} (You may cast this card from your graveyard for its flashback cost. Then exile it.)</t>
  </si>
  <si>
    <t>Inspired Insurgent</t>
  </si>
  <si>
    <t>{1}, Sacrifice this creature: Destroy target artifact or enchantment.</t>
  </si>
  <si>
    <t>Inspired Inventor / Inventor Inspirado</t>
  </si>
  <si>
    <t>Creature — Human Artificer / Criatura — Humano Artesão</t>
  </si>
  <si>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</si>
  <si>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</si>
  <si>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</si>
  <si>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</si>
  <si>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Inspiring Call / Chamado Inspirador</t>
  </si>
  <si>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</si>
  <si>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</si>
  <si>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</si>
  <si>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</si>
  <si>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</si>
  <si>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</si>
  <si>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Instant Ramen / Lámen Instantâneo</t>
  </si>
  <si>
    <t>Artefato — Comida</t>
  </si>
  <si>
    <t>Lampejo. Quando este artefato entrar, compre um card. {2}, {T}, Sacrifique este artefato: Você ganha 3 de vida.</t>
  </si>
  <si>
    <t>Intangible Virtue / Virtude Intangível</t>
  </si>
  <si>
    <t>Creature tokens you control get +1/+1 and have vigilance. / As fichas de criatura que você controla recebem +1/+1 e têm vigilância.</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</si>
  <si>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</si>
  <si>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</si>
  <si>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</si>
  <si>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</si>
  <si>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</si>
  <si>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</si>
  <si>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</si>
  <si>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5U</t>
  </si>
  <si>
    <t>Into the Roil / Adentrar o Turbilhão</t>
  </si>
  <si>
    <t>Intrepid Tenderfoot / Pé-tenro Intrépido</t>
  </si>
  <si>
    <t>Criatura — Inseto Cidadão</t>
  </si>
  <si>
    <t>{3}: Coloque um marcador +1/+1 nesta criatura. Ative somente como um feitiço.</t>
  </si>
  <si>
    <t>Introdução à Profecia / Introduction to Prophecy</t>
  </si>
  <si>
    <t>Feitiço — Lição</t>
  </si>
  <si>
    <t>Use vidência 2 e depois compre um card.</t>
  </si>
  <si>
    <t>Strixhaven: School of Mages (STX)</t>
  </si>
  <si>
    <t>Intruding Soulrager</t>
  </si>
  <si>
    <t>Vigilance {T}, Sacrifice a Room: This creature deals 2 damage to each opponent. Draw a card.</t>
  </si>
  <si>
    <t>Intrusive Packbeast / Besta de Carga Invasiva</t>
  </si>
  <si>
    <t>Vigilance When this creature enters, tap up to two target creatures your opponents control. / Vigilância Quando Besta de Carga Invasiva entrar no campo de batalha, vire até duas criaturas alvo que seus oponentes controlam.</t>
  </si>
  <si>
    <t>Invasão de Eldraine / Invasion of Eldraine</t>
  </si>
  <si>
    <t>Batalha - Cerco / Battle - Siege</t>
  </si>
  <si>
    <t>(Conforme um Cerco entrar no campo de batalha, escolha um oponente para protegê-lo. Você e outros podem atacá-lo. Quando ele for derrotado, exile-o e depois o conjure transformado.) Quando Invasão de Eldraine entra no campo de batalha, o oponente alvo descarta dois cards.</t>
  </si>
  <si>
    <t>4 (Defesa)</t>
  </si>
  <si>
    <t>Invasão de Ulgrotha / Invasion of Ulgrotha</t>
  </si>
  <si>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</si>
  <si>
    <t>5 (Defesa)</t>
  </si>
  <si>
    <t>Invasion of Muraganda / Invasão de Muraganda</t>
  </si>
  <si>
    <t>Battle — Siege / Batalha — Cerco</t>
  </si>
  <si>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</si>
  <si>
    <t>Invasion of Pyrulea / Invasão de Pyrulea</t>
  </si>
  <si>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</si>
  <si>
    <t>Invasion of Xerex / Invasão de Xerex</t>
  </si>
  <si>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</si>
  <si>
    <t>Invasion Reinforcements</t>
  </si>
  <si>
    <t>Flash When this creature enters, create a 1/1 white Ally creature token.</t>
  </si>
  <si>
    <t>Invasive Maneuvers / Manobras Invasivas</t>
  </si>
  <si>
    <t>Invasive Maneuvers causa 3 pontos de dano à criatura alvo. Ele causa 5 pontos de dano em vez disso se você controlar uma Nave Espacial.</t>
  </si>
  <si>
    <t>Invisible Woman, Sue Storm / Mulher Invisível, Sue Storm</t>
  </si>
  <si>
    <t>Vínculo com a vida. Sempre que você colocar um ou mais marcadores +1/+1 em um ou mais outros Heróis que você controla, você pode criar uma ficha de criatura Barreira incolor 0/4 com defensor.</t>
  </si>
  <si>
    <t>Ionizar / Ionize</t>
  </si>
  <si>
    <t>Anule a mágica alvo. Ionizar causa 2 pontos de dano ao controlador daquela mágica. / Counter target spell. Ionize deals 2 damage to that spell's controller.</t>
  </si>
  <si>
    <t>Ioreth da Casa de Cura / Ioreth of the Healing House</t>
  </si>
  <si>
    <t>Criatura Lendária — Humano Clérigo</t>
  </si>
  <si>
    <t>{T}: Desvire outra permanente alvo. {T}: Desvire duas outras criaturas lendárias alvo.</t>
  </si>
  <si>
    <t>Iridescent Blademaster / Espadachim-mestre Iridescente</t>
  </si>
  <si>
    <t>{3}{G}: This creature gets +2/+2 until end of turn. / {3}{G}: Espadachim-mestre Iridescente recebe +2/+2 até o final do turno.</t>
  </si>
  <si>
    <t>Iroh, Grand Lotus</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</si>
  <si>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</si>
  <si>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{3}{G}{U}{R}</t>
  </si>
  <si>
    <t>Verde, Vermelho, Azul</t>
  </si>
  <si>
    <t>Iron Bully / Valentão de Ferro</t>
  </si>
  <si>
    <t>Menace. When Iron Bully enters the battlefield, put a +1/+1 counter on target creature. / Ameaçar. Quando Valentão de Ferro entra no campo de batalha, coloque um marcador +1/+1 na criatura alvo.</t>
  </si>
  <si>
    <t>Double Masters (2XM)</t>
  </si>
  <si>
    <t>Iron Giant</t>
  </si>
  <si>
    <t>Artifact Creature — Demon</t>
  </si>
  <si>
    <t>Vigilance, reach, trample</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</si>
  <si>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</si>
  <si>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</si>
  <si>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Iron Star / Estrela de Ferro</t>
  </si>
  <si>
    <t>Whenever a player casts a red spell, you may pay {1}. If you do, you gain 1 life. / Toda vez que um jogador jogar uma mágica vermelha, você pode pagar {1}. Se o fizer, você ganha 1 ponto de vida.</t>
  </si>
  <si>
    <t>Iron Verdict / Veredito de Ferro</t>
  </si>
  <si>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</si>
  <si>
    <t>Ironclaw Orcs / Orcs da Garra de Ferro</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</si>
  <si>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</si>
  <si>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</si>
  <si>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</si>
  <si>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Irreverent Gremlin</t>
  </si>
  <si>
    <t>Creature — Gremlin</t>
  </si>
  <si>
    <t>Menace (This creature can't be blocked except by two or more creatures.) Whenever another creature you control with power 2 or less enters, you may discard a card. If you do, draw a card. Do this only once each turn.</t>
  </si>
  <si>
    <t>Isolamento em Orthanc / Isolation at Orthanc</t>
  </si>
  <si>
    <t>Coloque a criatura alvo no topo do grimório do seu dono na segunda posição.</t>
  </si>
  <si>
    <t>It'll Quench Ya!</t>
  </si>
  <si>
    <t>Counter target spell unless its controller pays {2}.</t>
  </si>
  <si>
    <t>Item Shopkeep / Balconista de Itens</t>
  </si>
  <si>
    <t>Sempre que você atacar, a criatura equipada atacante alvo ganha ameaça até o final do turno. (Ela não pode ser bloqueada a não ser por duas ou mais criaturas.)</t>
  </si>
  <si>
    <t>Ivory Cup / Cálice de Marfim</t>
  </si>
  <si>
    <t>Whenever a player casts a white spell, you may pay {1}. If you do, you gain 1 life. / Toda vez que um jogador jogar uma mágica branca, você pode pagar {1}. Se o fizer, você ganha 1 ponto de vida.</t>
  </si>
  <si>
    <t>Izzet Charm / Amuleto Izzet</t>
  </si>
  <si>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</si>
  <si>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</si>
  <si>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</si>
  <si>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</si>
  <si>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</si>
  <si>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</si>
  <si>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</si>
  <si>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Jace's Defeat / Derrota de Jace</t>
  </si>
  <si>
    <t>Counter target blue spell. If it was a Jace planeswalker spell, scry 2. / Anule a mágica azul alvo. Se ela era uma mágica de planeswalker Jace, use vidência 2.</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</si>
  <si>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</si>
  <si>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</si>
  <si>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</si>
  <si>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Jace's Triumph / Triunfo de Jace</t>
  </si>
  <si>
    <t>Draw two cards. If you control a Jace planeswalker, draw three cards instead. / Compre dois cards. Se você controlar um planeswalker Jace, em vez disso, compre três cards.</t>
  </si>
  <si>
    <t>Jaddi Offshoot</t>
  </si>
  <si>
    <t>Creature — Plant</t>
  </si>
  <si>
    <t>Defender. Landfall — Whenever a land enters the battlefield under your control, you gain 1 life.</t>
  </si>
  <si>
    <t>Jade Mage / Mago Jade</t>
  </si>
  <si>
    <t>{2}{G}: Create a 1/1 green Saproling creature token. / {2}{G}: Coloque no campo de batalha uma ficha de criatura verde 1/1 do tipo Saprófita.</t>
  </si>
  <si>
    <t>Jadecraft Artisan / Artesão Jadeiro</t>
  </si>
  <si>
    <t>When this creature enters, target creature gets +2/+2 until end of turn. / Quando Artesão Jadeiro entra no campo de batalha, a criatura alvo recebe +2/+2 até o final do turno.</t>
  </si>
  <si>
    <t>Jalum Tome</t>
  </si>
  <si>
    <t>{2}, {T}: Draw a card; then, choose and discard a card from your hand.</t>
  </si>
  <si>
    <t>Jandor's Saddlebags / Alforjes de Jandor</t>
  </si>
  <si>
    <t>{3}, {T}: Untap target creature.</t>
  </si>
  <si>
    <t>Javali Presa de Navalha</t>
  </si>
  <si>
    <t>Criatura — Javali</t>
  </si>
  <si>
    <t>Intimidar (Esta criatura só pode ser bloqueada por criaturas artefato e/ou criaturas que compartilhem uma cor com ela.)</t>
  </si>
  <si>
    <t>Jaya's Immolating Inferno / Inferno Imolante de Jaya</t>
  </si>
  <si>
    <t>Legendary Sorcery / Feitiço Lendário</t>
  </si>
  <si>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</si>
  <si>
    <t>Jennika, Bad Apple Big Sister</t>
  </si>
  <si>
    <t>When Jennika enters, create a 2/2 red Mutant creature token. Plainscycling {2} ({2}, Discard this card: Search your library for a Plains card, reveal it, put it into your hand, then shuffle.)</t>
  </si>
  <si>
    <t>Jennika's Technique</t>
  </si>
  <si>
    <t>Sneak {R} (You may cast this spell for {R} if you also return an unblocked attacker you control to hand during the declare blockers step.) Jennika's Technique deals 2 damage to each creature.</t>
  </si>
  <si>
    <t>Jeong Jeong's Deserters</t>
  </si>
  <si>
    <t>When this creature enters, put a +1/+1 counter on target creature.</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</si>
  <si>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</si>
  <si>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</si>
  <si>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</si>
  <si>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Jeskai Infiltrator / Infiltradora Jeskai</t>
  </si>
  <si>
    <t>Creature — Human Monk / Criatura — Humano Monge</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</si>
  <si>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</si>
  <si>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</si>
  <si>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</si>
  <si>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</si>
  <si>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</si>
  <si>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</si>
  <si>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</si>
  <si>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</si>
  <si>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</si>
  <si>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Johann's Stopgap / Gambiarra de Johann</t>
  </si>
  <si>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</si>
  <si>
    <t>Join the Ranks / Junte-se aos Bons</t>
  </si>
  <si>
    <t>Create two 1/1 white Soldier Ally creature tokens. / Coloque no campo de batalha duas fichas de criatura brancas 1/1 do tipo Soldado Aliado.</t>
  </si>
  <si>
    <t>Jolene, Plundering Pugilist / Jolene, Pugilista Saqueadora</t>
  </si>
  <si>
    <t>Legendary Creature — Human Mercenary / Criatura Lendária — Humano Mercenário</t>
  </si>
  <si>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</si>
  <si>
    <t>Jolly Gerbils</t>
  </si>
  <si>
    <t>Creature — Hamster Citizen</t>
  </si>
  <si>
    <t>Whenever you give a gift, draw a card.</t>
  </si>
  <si>
    <t>Jolted Awake / Despertar Sacudido</t>
  </si>
  <si>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</si>
  <si>
    <t>Joo Dee, One of Many</t>
  </si>
  <si>
    <t>{B}, {T}: Surveil 1. Create a token that's a copy of this creature, then sacrifice an artifact or creature. Activate only as a sorcery. (To surveil 1, look at the top card of your library. You may put it into your graveyard.)</t>
  </si>
  <si>
    <t>Joven</t>
  </si>
  <si>
    <t>{R}{R}{R}, {T}: Destroy target non-creature artifact.</t>
  </si>
  <si>
    <t>Joven's Tools / Ferramentas de Joven</t>
  </si>
  <si>
    <t>{4}, {T}: Target creature cannot be blocked this turn except by Walls. / {4}, {T}: A criatura alvo não pode ser bloqueada neste turno, exceto por Paredes.</t>
  </si>
  <si>
    <t>Joyful Stormsculptor / Escultora de Tempestade Alegre</t>
  </si>
  <si>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</si>
  <si>
    <t>Joyous Respite / Adiamento Jubiloso</t>
  </si>
  <si>
    <t>Sorcery — Arcane / Feitiço - Arcana</t>
  </si>
  <si>
    <t>You gain 1 life for each land you control. / Você ganha 1 ponto de vida para cada terreno que controla.</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</si>
  <si>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</si>
  <si>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</si>
  <si>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</si>
  <si>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Branco/Preto</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</si>
  <si>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</si>
  <si>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</si>
  <si>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</si>
  <si>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Juggernaut</t>
  </si>
  <si>
    <t>Must attack each turn if possible. Can't be blocked by walls.</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</si>
  <si>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</si>
  <si>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</si>
  <si>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</si>
  <si>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Jukai Trainee / Aprendiz Jukai</t>
  </si>
  <si>
    <t>Whenever this creature blocks or becomes blocked, it gets +1/+1 until end of turn. / Toda vez que Aprendiz Jukai bloqueia ou se torna bloqueada, ela recebe +1/+1 até o final do turno.</t>
  </si>
  <si>
    <t>Jump Scare</t>
  </si>
  <si>
    <t>Until end of turn, target creature gets +2/+2, gains flying, and becomes a Horror enchantment creature in addition to its other types.</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</si>
  <si>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</si>
  <si>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</si>
  <si>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</si>
  <si>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</si>
  <si>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</si>
  <si>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</si>
  <si>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</si>
  <si>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Junkblade Bruiser</t>
  </si>
  <si>
    <t>Creature — Raccoon Berserker</t>
  </si>
  <si>
    <t>Trample Whenever you expend 4, this creature gets +2/+1 until end of turn. (You expend 4 as you spend your fourth total mana to cast spells during a turn.)</t>
  </si>
  <si>
    <t>{3}{R/G}{R/G}</t>
  </si>
  <si>
    <t>Junún Efreet / Efrite Junún</t>
  </si>
  <si>
    <t>Creature — Efreet</t>
  </si>
  <si>
    <t>Flying At the beginning of your upkeep, sacrifice this creature unless you pay {B}{B}.</t>
  </si>
  <si>
    <t>Juramento da Hoste Cinzenta / Oath of the Grey Host</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</si>
  <si>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</si>
  <si>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Justice</t>
  </si>
  <si>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</si>
  <si>
    <t>Kaervek's Torch / Tocha de Kaervek</t>
  </si>
  <si>
    <t>As long as Kaervek's Torch is on the stack, spells that target it cost {2} more to cast. Kaervek's Torch deals X damage to any target.</t>
  </si>
  <si>
    <t>Kaho, Minamo Historian / Kaho, Historiadora de Minamo</t>
  </si>
  <si>
    <t>Legendary Creature — Human Wizard / Criatura Lendária - Mago Humano</t>
  </si>
  <si>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</si>
  <si>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</si>
  <si>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</si>
  <si>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</si>
  <si>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</si>
  <si>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Kami of Industry / Kami da Diligência</t>
  </si>
  <si>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</si>
  <si>
    <t>Kami of Restless Shadows / Kami das Sombras Inquietas</t>
  </si>
  <si>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</si>
  <si>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</si>
  <si>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</si>
  <si>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</si>
  <si>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</si>
  <si>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Karai's Technique</t>
  </si>
  <si>
    <t>Sneak {W}{B} (You may cast this spell for {W}{B} if you also return an unblocked attacker you control to hand during the declare blockers step.) Choose one or both — • Target creature gets +3/+3 until end of turn. • Target creature gets -3/-3 until end of turn.</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</si>
  <si>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</si>
  <si>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</si>
  <si>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Karplusan Forest</t>
  </si>
  <si>
    <t>{T}: Add one colorless mana to your mana pool. {T}: Add {R} or {G} to your mana pool. Karplusan Forest deals 1 damage to you.</t>
  </si>
  <si>
    <t>None</t>
  </si>
  <si>
    <t>Red/Green</t>
  </si>
  <si>
    <t>Karplusan Giant / Gigante Karplusano</t>
  </si>
  <si>
    <t>Creature — Giant</t>
  </si>
  <si>
    <t>Tap an untapped snow land you control: This creature gets +1/+1 until end of turn.</t>
  </si>
  <si>
    <t>{6}{R}</t>
  </si>
  <si>
    <t>Kaslem's Stonetree / Árvore Pétrea de Kaslem</t>
  </si>
  <si>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</si>
  <si>
    <t>Katara, Bending Prodigy</t>
  </si>
  <si>
    <t>Legendary Creature — Human Warrior Ally</t>
  </si>
  <si>
    <t>At the beginning of your end step, if Katara is tapped, put a +1/+1 counter on her. Waterbend {6}: Draw a card. (While paying a waterbend cost, you can tap your artifacts and creatures to help. Each one pays for {1}.)</t>
  </si>
  <si>
    <t>Katara, the Fearless</t>
  </si>
  <si>
    <t>If a triggered ability of an Ally you control triggers, that ability triggers an additional time.</t>
  </si>
  <si>
    <t>{G}{W}{U}</t>
  </si>
  <si>
    <t>Kavaron Harrier / Predador de Kavaron</t>
  </si>
  <si>
    <t>Criatura Artefato — Robô Soldado</t>
  </si>
  <si>
    <t>Sempre que esta criatura atacar, você pode pagar {2}. Se fizer isso, crie uma ficha de criatura artefato Robô incolor 2/2 virada e atacando. Sacrifique aquela ficha no final do combate.</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</si>
  <si>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</si>
  <si>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</si>
  <si>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</si>
  <si>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</si>
  <si>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</si>
  <si>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</si>
  <si>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</si>
  <si>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</si>
  <si>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Zendikar (ZEN)</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</si>
  <si>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</si>
  <si>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</si>
  <si>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</si>
  <si>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</si>
  <si>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</si>
  <si>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Kazuul, Tyrant of the Cliffs / Kazuul, Tirano dos Penhascos</t>
  </si>
  <si>
    <t>Legendary Creature — Ogre Warrior / Criatura Lendária — Ogro Guerreiro</t>
  </si>
  <si>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</si>
  <si>
    <t>Keep Out</t>
  </si>
  <si>
    <t>Choose one — • Keep Out deals 4 damage to target tapped creature. • Destroy target enchantment.</t>
  </si>
  <si>
    <t>Keepers of the Faith / Guardiões da Fé</t>
  </si>
  <si>
    <t>Summon Keepers / Invocação (Guardiões)</t>
  </si>
  <si>
    <t>Kei Takahashi</t>
  </si>
  <si>
    <t>{T}: Prevent up to 2 damage to any creature.</t>
  </si>
  <si>
    <t>{2}{W}{G}</t>
  </si>
  <si>
    <t>Branco e Verde</t>
  </si>
  <si>
    <t>Keldon Halberdier / Alabardeiro Keldoniano</t>
  </si>
  <si>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</si>
  <si>
    <t>Keldon Raider / Saqueadora Keldoniana</t>
  </si>
  <si>
    <t>When this creature enters, you may discard a card. If you do, draw a card. / Quando Saqueadora Keldoniana entra no campo de batalha, você pode descartar um card. Se fizer isso, compre um card.</t>
  </si>
  <si>
    <t>Keldon Warlord / Senhor da Guerra de Keldon</t>
  </si>
  <si>
    <t>Keldon Warlord's power and toughness are each equal to the number of non-Wall creatures you control.</t>
  </si>
  <si>
    <t>Kessig Flamebreather / Sopra-fogo de Kessig</t>
  </si>
  <si>
    <t>Whenever you cast a noncreature spell, this creature deals 1 damage to each opponent. / Toda vez que você conjura uma mágica não de criatura, Sopra-fogo de Kessig causa 1 ponto de dano a cada oponente.</t>
  </si>
  <si>
    <t>Keys to the House</t>
  </si>
  <si>
    <t>{1}, {T}, Sacrifice this artifact: Search your library for a basic land card, reveal it, put it into your hand, then shuffle. {3}, {T}, Sacrifice this artifact: Lock or unlock a door of target Room you control. Activate only as a sorcery.</t>
  </si>
  <si>
    <t>Kill Shot / Tiro Mortal</t>
  </si>
  <si>
    <t>Destroy target attacking creature. / Destrua a criatura atacante alvo.</t>
  </si>
  <si>
    <t>Tarkir Khans</t>
  </si>
  <si>
    <t>Kill Switch</t>
  </si>
  <si>
    <t>{2}, {T}: Tap all other artifacts. They don't untap during their controllers' untap steps as long as Kill Switch remains tapped.</t>
  </si>
  <si>
    <t>Killian, Ink Duelist / Killian, Duelista do Nanquim</t>
  </si>
  <si>
    <t>Legendary Creature — Human Warlock / Criatura Lendária — Humano Bruxo</t>
  </si>
  <si>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</si>
  <si>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</si>
  <si>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</si>
  <si>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Kin-Tree Invocation / Invocação da Árvore de Família</t>
  </si>
  <si>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</si>
  <si>
    <t>King Macar, the Gold-Cursed / Macar, Rei do Toque Maldito</t>
  </si>
  <si>
    <t>Legendary Creature — Human Noble / Criatura Lendária — Humano</t>
  </si>
  <si>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</si>
  <si>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</si>
  <si>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</si>
  <si>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</si>
  <si>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Kiora's Dismissal / Exoneração de Kiora</t>
  </si>
  <si>
    <t>Esforço — Exoneração de Kiora custa U a mais para ser conjurado para cada alvo além do primeiro. Devolva qualquer número de encantamentos alvo para as mãos de seus donos.</t>
  </si>
  <si>
    <t>Kirtar's Wrath / Ira de Kirtar</t>
  </si>
  <si>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</si>
  <si>
    <t>Crimson Vow Commander (VOC)</t>
  </si>
  <si>
    <t>Kismet</t>
  </si>
  <si>
    <t>All of target player's creatures, lands, and artifacts come into play tapped.</t>
  </si>
  <si>
    <t>Quarta Edição (4ED)</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</si>
  <si>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</si>
  <si>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</si>
  <si>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Kitsune, Dragon's Daughter</t>
  </si>
  <si>
    <t>Legendary Creature — Fox Warlock Avatar</t>
  </si>
  <si>
    <t>Vigilance Whenever Kitsune enters or deals combat damage to a player, you may exchange control of two other target creatures controlled by different players.</t>
  </si>
  <si>
    <t>Kjeldoran Dead / Mortos Kjeldoranos</t>
  </si>
  <si>
    <t>Creature — Skeleton</t>
  </si>
  <si>
    <t>When this creature enters, sacrifice a creature. {B}: Regenerate this creature.</t>
  </si>
  <si>
    <t>Kjeldoran Escort</t>
  </si>
  <si>
    <t>Criatura — Soldado / Summon Soldier</t>
  </si>
  <si>
    <t>Banding</t>
  </si>
  <si>
    <t>Kjeldoran Frostbeast / Criatura do Gelo Kjeldorana</t>
  </si>
  <si>
    <t>Creature — Elemental Beast</t>
  </si>
  <si>
    <t>At end of combat, destroy all creatures blocking or blocked by this creature.</t>
  </si>
  <si>
    <t>Klaw, Sonic Subjugator / Garra, Subjugador Sônico</t>
  </si>
  <si>
    <t>Ataque Sônico — Quando Garra entrar, o jogador alvo revela uma quantidade de cards de sua própria mão igual a um mais a quantidade de cards de criatura no seu cemitério. Você escolhe um deles. Aquele jogador descarta aquele card.</t>
  </si>
  <si>
    <t>Knight of Dawn's Light / Cavaleira da Luz do Alvorecer</t>
  </si>
  <si>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</si>
  <si>
    <t>Knight of Dusk's Shadow / Cavaleira da Sombra do Ocaso</t>
  </si>
  <si>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</si>
  <si>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</si>
  <si>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</si>
  <si>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</si>
  <si>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Knight Watch / Vigilância de Cavaleiros</t>
  </si>
  <si>
    <t>Create two 2/2 white Knight creature tokens with vigilance. / Coloque no campo de batalha duas fichas de criatura brancas 2/2 do tipo Cavaleiro com vigilância.</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</si>
  <si>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</si>
  <si>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</si>
  <si>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Knot-Knotted Effigy / Efigie Nodosa</t>
  </si>
  <si>
    <t>{4}, {T}: Put a -1/-1 counter on target creature.</t>
  </si>
  <si>
    <t>Knowledge Seeker</t>
  </si>
  <si>
    <t>Creature — Fox Spirit</t>
  </si>
  <si>
    <t>Vigilance Whenever you draw your second card each turn, put a +1/+1 counter on this creature. When this creature dies, create a Clue token. (It's an artifact with "{2}, Sacrifice this token: Draw a card.")</t>
  </si>
  <si>
    <t>Koala-Sheep</t>
  </si>
  <si>
    <t>Creature — Bear Sheep</t>
  </si>
  <si>
    <t>When this creature enters, you gain 3 life.</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</si>
  <si>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</si>
  <si>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</si>
  <si>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</si>
  <si>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Korrigan do Lago / Lake Paladin</t>
  </si>
  <si>
    <t>{U}: Korrigan do Lago recebe +1/+1 até o final do turno. / {U}: Lake Paladin gets +1/+1 until end of turn.</t>
  </si>
  <si>
    <t>Koya, Death from Above</t>
  </si>
  <si>
    <t>Legendary Creature — Mutant Ninja Bird</t>
  </si>
  <si>
    <t>Flying When Koya enters, exile up to one other target creature. At the beginning of the next end step, you may pay {3}{B}. If you don't, return that card to the battlefield under its owner's control.</t>
  </si>
  <si>
    <t>Kozilek's Sentinel / Sentinela de Kozilek</t>
  </si>
  <si>
    <t>Devoid (This card has no color.) Whenever you cast a colorless spell, Kozilek's Sentinel gets +1/+0 until end of turn. / Desprovido (Este card não tem cor.) Toda vez que você conjura uma mágica incolor, Sentinela de Kozilek recebe +1/+0 até o final do turno.</t>
  </si>
  <si>
    <t>Krang &amp; Shredder</t>
  </si>
  <si>
    <t>Legendary Creature — Utrom Human Ninja</t>
  </si>
  <si>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</si>
  <si>
    <t>{4}{U/B}{U/B}</t>
  </si>
  <si>
    <t>Krang, Master Mind</t>
  </si>
  <si>
    <t>Legendary Artifact Creature — Utrom Warrior</t>
  </si>
  <si>
    <t>Affinity for artifacts (This spell costs {1} less to cast for each artifact you control.) When Krang enters, if you have fewer than four cards in hand, draw cards equal to the difference. Krang gets +1/+0 for each other artifact you control.</t>
  </si>
  <si>
    <t>Krark-Clan Engineers / Engenheiros do Clã-de-Krark</t>
  </si>
  <si>
    <t>{R}, Sacrifice two artifacts: Destroy target artifact. / {R}, Sacrifique dois artefatos: Destrói o artefato alvo.</t>
  </si>
  <si>
    <t>Krark-Clan Grunt / Recruta do Clã de Krark</t>
  </si>
  <si>
    <t>Sacrifice an artifact: This creature gets +1/+0 and gains first strike until end of turn. / Sacrifique um artefato: Recruta do Clã de Krark recebe +1/+0 e ganha iniciativa até o final do turno.</t>
  </si>
  <si>
    <t>Krark-Clan Shaman / Xamã do Clã de Krark</t>
  </si>
  <si>
    <t>Creature — Goblin Shaman / Criatura — Xamã Goblin</t>
  </si>
  <si>
    <t>Sacrifice an artifact: This creature deals 1 damage to each creature without flying. / Sacrifique um artefato: Xamã do Clã de Krark causa 1 ponto de dano a cada criatura sem a habilidade de voar.</t>
  </si>
  <si>
    <t>Krark-Clan Stoker / Foguista do Clã de Krark</t>
  </si>
  <si>
    <t>{T}, Sacrifice an artifact: Add {R}{R}. / {T}, Sacrifique um artefato: Adiciona {R}{R} à sua reserva de mana.</t>
  </si>
  <si>
    <t>Kraul Stinger / Aguilhoador Kraul</t>
  </si>
  <si>
    <t>Creature — Insect Assassin / Criatura — Inseto Assassino</t>
  </si>
  <si>
    <t>Deathtouch / Toque mortífero</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</si>
  <si>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</si>
  <si>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</si>
  <si>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</si>
  <si>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Krenko, Mob Boss / Krenko, Chefe da Turba</t>
  </si>
  <si>
    <t>Criatura Lendária — Goblino Guerreiro</t>
  </si>
  <si>
    <t>{T}: Coloque no campo de batalha X fichas de criatura 1/1 vermelhas do tipo Goblino, sendo X o número de Goblinos que você controla.</t>
  </si>
  <si>
    <t>Krenko's Command / Comando de Krenko</t>
  </si>
  <si>
    <t>Create two 1/1 red Goblin creature tokens. / Coloque no campo de batalha duas fichas de criatura vermelhas 1/1 do tipo Goblin.</t>
  </si>
  <si>
    <t>Krosan Tusker / Javali Krosano</t>
  </si>
  <si>
    <t>Creature — Boar Beast / Criatura — Javali Besta</t>
  </si>
  <si>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</si>
  <si>
    <t>{5}{G}{G}</t>
  </si>
  <si>
    <t>Krovikan Elementalist / Elementalista Krovikano</t>
  </si>
  <si>
    <t>Creature — Human Wizard</t>
  </si>
  <si>
    <t>{2}{R}: Target creature gets +1/+0 until end of turn. {U}{U}: Target creature you control gains flying until end of turn. Sacrifice it at the beginning of the next end step.</t>
  </si>
  <si>
    <t>Krovikan Fetish / Fetiche Krovikano</t>
  </si>
  <si>
    <t>Enchant creature When this Aura enters, draw a card at the beginning of the next turn's upkeep. Enchanted creature gets +1/+1.</t>
  </si>
  <si>
    <t>Krovikan Plague / Peste Krovikana</t>
  </si>
  <si>
    <t>Enchant non-Wall creature you control When this Aura enters, draw a card at the beginning of the next turn's upkeep. Tap enchanted creature: This Aura deals 1 damage to any target. Put a -0/-1 counter on enchanted creature. Activate only if enchanted creature is untapped.</t>
  </si>
  <si>
    <t>Kruphix, God of Horizons / Crufix, Deus dos Horizontes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</si>
  <si>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</si>
  <si>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</si>
  <si>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Kruphix's Insight / Visão de Crufix</t>
  </si>
  <si>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</si>
  <si>
    <t>Kulrath Zealot</t>
  </si>
  <si>
    <t>When this creature enters, exile the top card of your library. Until the end of your next turn, you may play that card. Basic landcycling {1}{R} ({1}{R}, Discard this card: Search your library for a basic land card, reveal it, put it into your hand, then shuffle.)</t>
  </si>
  <si>
    <t>Kwende, Pride of Femeref / Kwende, Orgulho de Femeref</t>
  </si>
  <si>
    <t>Double strike Creatures you control with first strike have double strike. / Golpe duplo As criaturas que você controla com iniciativa têm golpe duplo.</t>
  </si>
  <si>
    <t>Kyoshi Battle Fan</t>
  </si>
  <si>
    <t>When this Equipment enters, create a 1/1 white Ally creature token, then attach this Equipment to it. Equipped creature gets +1/+0. Equip {2} ({2}: Attach to target creature you control. Equip only as a sorcery.)</t>
  </si>
  <si>
    <t>Kyoshi Island Plaza</t>
  </si>
  <si>
    <t>Legendary Enchantment — Shrine</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</si>
  <si>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</si>
  <si>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Kyoshi Village</t>
  </si>
  <si>
    <t>This land enters tapped. {T}: Add {G} or {W}. {4}, {T}, Sacrifice this land: Draw a card.</t>
  </si>
  <si>
    <t>Kyoshi Warriors</t>
  </si>
  <si>
    <t>When this creature enters, create a 1/1 white Ally creature token.</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</si>
  <si>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</si>
  <si>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</si>
  <si>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Ladrão Ousado</t>
  </si>
  <si>
    <t>Criatura — Humano Ladino</t>
  </si>
  <si>
    <t>Inspirado — Toda vez que Ladrão Ousado é desvirado, você pode permutar o controle de uma permanente alvo que não seja terreno sob seu controle por uma permanente alvo sob o controle de um oponente que tenha o mesmo tipo de card.</t>
  </si>
  <si>
    <t>Lagarto Rúnico</t>
  </si>
  <si>
    <t>Criatura — Lagarto</t>
  </si>
  <si>
    <t>Toda vez que Lagarto Rúnico atacar, use vidência 1. (Olhe o card do topo de seu grimório. Você pode colocar aquele card no fundo de seu grimório.)</t>
  </si>
  <si>
    <t>Lagomos, Hand of Hatred / Lagomos, Mão do Ódio</t>
  </si>
  <si>
    <t>Legendary Creature — Human Shaman / Criatura Lendária — Humano Xamã</t>
  </si>
  <si>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</si>
  <si>
    <t>{1}{B}{R}</t>
  </si>
  <si>
    <t>Lagonna-Band Trailblazer / Pioneira do Bando de Lagonna</t>
  </si>
  <si>
    <t>Creature — Centaur Scout / Criatura — Centauro Batedor</t>
  </si>
  <si>
    <t>Heroic — Whenever you cast a spell that targets this creature, put a +1/+1 counter on it. / Heroico — Toda vez que você conjurar uma mágica que tenha como alvo Pioneira do Bando de Lagonna, coloque um marcador +1/+1 em Pioneira do Bando de Lagonna.</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</si>
  <si>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</si>
  <si>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</si>
  <si>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</si>
  <si>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Landscape Painter / Pintor de Paisagens</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</si>
  <si>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</si>
  <si>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</si>
  <si>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</si>
  <si>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Lashknife / Faca de Chicote</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</si>
  <si>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</si>
  <si>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Last Breath / Último Fôlego</t>
  </si>
  <si>
    <t>Exile target creature with power 2 or less. Its controller gains 4 life. / Exile a criatura alvo com poder menor ou igual a 2. Seu controlador ganha 4 pontos de vida.</t>
  </si>
  <si>
    <t>Lasting Tarfire</t>
  </si>
  <si>
    <t>At the beginning of each end step, if you put a counter on a creature this turn, this enchantment deals 2 damage to each opponent.</t>
  </si>
  <si>
    <t>Lathnu Sailback / Dorsoveleiro de Lathnu</t>
  </si>
  <si>
    <t>Laughing Mad / Loucura Risonha</t>
  </si>
  <si>
    <t>Como custo adicional para conjurar esta mágica, descarte um card. Compre dois cards. Recapitular {3}{R} (Você pode conjurar este card de seu cemitério pagando seu custo de recapitular e quaisquer custos adicionais. Depois, exile-o.)</t>
  </si>
  <si>
    <t>Launch the Fleet / Lançar a Frota</t>
  </si>
  <si>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</si>
  <si>
    <t>Lava Axe / Machado de Lava</t>
  </si>
  <si>
    <t>Lava Axe deals 5 damage to target player or planeswalker. / Machado de Lava causa 5 pontos de dano ao jogador ou planeswalker alvo.</t>
  </si>
  <si>
    <t>Portal</t>
  </si>
  <si>
    <t>Lava Burst / Explosão de Lava</t>
  </si>
  <si>
    <t>Lava Burst deals X damage to any target. If Lava Burst would deal damage to a creature, that damage can't be prevented or dealt instead to another permanent or player.</t>
  </si>
  <si>
    <t>Lava Coil / Hélice de Lava</t>
  </si>
  <si>
    <t>Hélice de Lava causa 4 pontos de dano à criatura alvo. Se aquela criatura for morrer neste turno, em vez disso, exile-a.</t>
  </si>
  <si>
    <t>Lavagem Cerebral / Brainwash</t>
  </si>
  <si>
    <t>A criatura-alvo não poderá atacar a menos que o jogador que a controla pague {3} adicionais. / Enchanted creature can't attack unless its controller pays {3}.</t>
  </si>
  <si>
    <t>A criatura-alvo não poderá atacar a menos que o jogador que a controla pague {3} adicionais.</t>
  </si>
  <si>
    <t>Lay of the Land / Configuração do Terreno</t>
  </si>
  <si>
    <t>Search your library for a basic land card, reveal it, put it into your hand, then shuffle. / Procure um card de terreno básico em seu grimório, revele-o, coloque-o em sua mão e, depois, embaralhe seu grimório.</t>
  </si>
  <si>
    <t>Lazotep Reaver / Despojador de Lazotep</t>
  </si>
  <si>
    <t>Creature — Zombie Beast / Criatura — Zumbi Besta</t>
  </si>
  <si>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</si>
  <si>
    <t>League Guildmage / Maga da Guilda da Liga</t>
  </si>
  <si>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</si>
  <si>
    <t>Leatherhead, Swamp Stalker</t>
  </si>
  <si>
    <t>Legendary Creature — Crocodile Mutant Rogue</t>
  </si>
  <si>
    <t>Trample Leatherhead enters with a hexproof counter on her. Whenever Leatherhead deals combat damage to a player, you may remove a counter from her. When you do, destroy target artifact or enchantment that player controls.</t>
  </si>
  <si>
    <t>Leave // Chance / Deixar // Acaso</t>
  </si>
  <si>
    <t>Leave: Return any number of target permanents you own to your hand. // Chance: Aftermath (Cast this spell only from your graveyard. Then exile it.) Discard any number of cards, then draw that many cards. / Devolva qualquer número de permanentes alvo que você possui para sua mão.</t>
  </si>
  <si>
    <t>{1}{W} // {3}{R}</t>
  </si>
  <si>
    <t>Leave No Trace / Sem vestígios</t>
  </si>
  <si>
    <t>Radiance — Destroy target enchantment and each other enchantment that shares a color with it. / Radiação Destrói o encantamento alvo e cada outro encantamento que compartilhe uma cor com ele.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</si>
  <si>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</si>
  <si>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</si>
  <si>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</si>
  <si>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</si>
  <si>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</si>
  <si>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Leeches / Sanguessugas</t>
  </si>
  <si>
    <t>Target player loses all poison counters. Leeches deals that much damage to that player.</t>
  </si>
  <si>
    <t>Legion Conquistador / Conquistador da Legião</t>
  </si>
  <si>
    <t>Creature — Vampire Soldier / Criatura — Vampiro Soldado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</si>
  <si>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</si>
  <si>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Legions of Lim-Dûl / Legiões de Lim-Dûl</t>
  </si>
  <si>
    <t>Snow swampwalk (This creature can't be blocked as long as defending player controls a snow Swamp.)</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</si>
  <si>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</si>
  <si>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</si>
  <si>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</si>
  <si>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</si>
  <si>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</si>
  <si>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Lens Flare / Reflexo da Lente</t>
  </si>
  <si>
    <t>Affinity for artifacts (This spell costs {1} less to cast for each artifact you control.) Lens Flare deals 5 damage to target attacking or blocking creature. / Afinidade por artefatos Reflexo da Lente causa 5 pontos de dano à criatura atacante ou bloqueadora alvo.</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</si>
  <si>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</si>
  <si>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</si>
  <si>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Leo's Guidance / Orientação de Leo</t>
  </si>
  <si>
    <t>Coloque um marcador +1/+1 em cada uma de até três criaturas alvo. Desvire-as.</t>
  </si>
  <si>
    <t>Leonardo, Big Brother</t>
  </si>
  <si>
    <t>Sneak {W} (You may cast this spell for {W} if you also return an unblocked attacker you control to hand during the declare blockers step. He enters tapped and attacking.) Leonardo gets +1/+0 for each other creature you control.</t>
  </si>
  <si>
    <t>Leonardo, Leader in Blue</t>
  </si>
  <si>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</si>
  <si>
    <t>Leonin Snarecaster / Lançador de Redes Leonino</t>
  </si>
  <si>
    <t>Criatura — Gato Soldado</t>
  </si>
  <si>
    <t>Quando Lançador de Redes Leonino entra no campo de batalha, você pode virar a criatura alvo.</t>
  </si>
  <si>
    <t>Lethal Exploit / Façanha Letal</t>
  </si>
  <si>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</si>
  <si>
    <t>Lich's Caress / Carícia do Lich</t>
  </si>
  <si>
    <t>Destroy target creature. You gain 3 life. / Destrua a criatura alvo. Você ganha 3 pontos de vida.</t>
  </si>
  <si>
    <t>Lich's Mastery / Maestria do Lich</t>
  </si>
  <si>
    <t>Legendary Enchantment / Encantamento Lendário</t>
  </si>
  <si>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</si>
  <si>
    <t>Lifecreed Duo</t>
  </si>
  <si>
    <t>Creature — Bat Bird</t>
  </si>
  <si>
    <t>Flying Whenever another creature you control enters, you gain 1 life.</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</si>
  <si>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</si>
  <si>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</si>
  <si>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Magic 2010 (M10)</t>
  </si>
  <si>
    <t>Light of Judgment / Luz do Julgamento</t>
  </si>
  <si>
    <t>Luz do Julgamento causa 6 de dano à criatura alvo. Destrua até um Equipamento anexado àquela criatura.</t>
  </si>
  <si>
    <t>Lightning Angel / Anjo de Relâmpagos</t>
  </si>
  <si>
    <t>Criatura — Anjo</t>
  </si>
  <si>
    <t>Voar, vigilância, ímpeto</t>
  </si>
  <si>
    <t>1RWU</t>
  </si>
  <si>
    <t>Lightning Helix / Hélice de Raios</t>
  </si>
  <si>
    <t>Hélice de Raios causa 3 de dano à criatura ou ao jogador alvo e você ganha 3 de vida.</t>
  </si>
  <si>
    <t>Lightning Mauler / Esmagador dos Relâmpagos</t>
  </si>
  <si>
    <t>Creature — Human Berserker / Criatura — Humano Amoque</t>
  </si>
  <si>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</si>
  <si>
    <t>Lightning Strike / Golpe Relampejante</t>
  </si>
  <si>
    <t>Lightning Strike deals 3 damage to any target. / Golpe Relampejante causa 3 pontos de dano à criatura ou ao jogador alvo.</t>
  </si>
  <si>
    <t>Lightning Strike / Raio de Solavanco</t>
  </si>
  <si>
    <t>Raio de Solavanco causa 3 de pontos de dano a qualquer alvo.</t>
  </si>
  <si>
    <t>Liliana's Specter</t>
  </si>
  <si>
    <t>Creature — Specter</t>
  </si>
  <si>
    <t>Flying. When Liliana's Specter enters the battlefield, each opponent discards a card.</t>
  </si>
  <si>
    <t>Liliana's Triumph / Triunfo de Liliana</t>
  </si>
  <si>
    <t>Each opponent sacrifices a creature of their choice. If you control a Liliana planeswalker, each opponent also discards a card. / Cada oponente sacrifica uma criatura. Se você controla uma planeswalker Liliana, cada oponente também descarta um card.</t>
  </si>
  <si>
    <t>Lim-Dûl's Cohort / Coorte de Lim-Dûl</t>
  </si>
  <si>
    <t>Whenever this creature blocks or becomes blocked by a creature, that creature can't be regenerated this turn.</t>
  </si>
  <si>
    <t>Lion Heart / Coração de Leão</t>
  </si>
  <si>
    <t>Quando este Equipamento entrar, ele causará 2 de dano a qualquer alvo. A criatura equipada recebe +2/+1. Equipar {2}</t>
  </si>
  <si>
    <t>Lita, Little Orphan Amphibian</t>
  </si>
  <si>
    <t>Alliance — Whenever another creature you control enters, choose one that hasn't been chosen this turn. • Put a +1/+1 counter on Lita. • Create a Food token. (It's an artifact with "{2}, {T}, Sacrifice this token: You gain 3 life.") • Scry 1.</t>
  </si>
  <si>
    <t>Living Armor</t>
  </si>
  <si>
    <t>{T}, Sacrifice this artifact: Put X +0/+1 counters on target creature, where X is that creature's mana value.</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</si>
  <si>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</si>
  <si>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</si>
  <si>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Living Lightning / Relâmpago Vivo</t>
  </si>
  <si>
    <t>When this creature dies, return target instant or sorcery card from your graveyard to your hand. / Quando Relâmpago Vivo morrer, devolva o card de mágica instantânea ou de feitiço alvo de seu cemitério para sua mão.</t>
  </si>
  <si>
    <t>Living Phone</t>
  </si>
  <si>
    <t>Artifact Creature — Toy</t>
  </si>
  <si>
    <t>When this creature dies, look at the top five cards of your library. You may reveal a creature card with power 2 or less from among them and put it into your hand. Put the rest on the bottom of your library in a random order.</t>
  </si>
  <si>
    <t>Living Wall</t>
  </si>
  <si>
    <t>Defender (This creature can't attack.) {1}: Regenerate this creature.</t>
  </si>
  <si>
    <t>0/6</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</si>
  <si>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</si>
  <si>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</si>
  <si>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</si>
  <si>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</si>
  <si>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Llewen, Imperfect Naturalist</t>
  </si>
  <si>
    <t>Legendary Creature — Elf Druid</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</si>
  <si>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</si>
  <si>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</si>
  <si>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Lorwin Lorwyn Eclipsed (ECL)ipsed</t>
  </si>
  <si>
    <t>Loathsome Troll / Trol Odioso</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</si>
  <si>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</si>
  <si>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Locke Cole / Locke Cole</t>
  </si>
  <si>
    <t>Toque mortífero, vínculo com a vida. Sempre que Locke Cole causar dano de combate a um jogador, compre um card e depois descarte um card.</t>
  </si>
  <si>
    <t>1UB</t>
  </si>
  <si>
    <t>Lone Missionary / Missionário Solitário</t>
  </si>
  <si>
    <t>Criatura — Kor Monge</t>
  </si>
  <si>
    <t>Quando Missionário Solitário entra no campo de batalha, você ganha 4 de vida.</t>
  </si>
  <si>
    <t>Long Feng, Grand Secretariat</t>
  </si>
  <si>
    <t>Legendary Creature — Human Advisor</t>
  </si>
  <si>
    <t>Whenever another creature you control or a land you control is put into a graveyard from the battlefield, put a +1/+1 counter on target creature you control.</t>
  </si>
  <si>
    <t>Long Goodbye / Longo Adeus</t>
  </si>
  <si>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</si>
  <si>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</si>
  <si>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</si>
  <si>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Look at Me, I'm the DCI</t>
  </si>
  <si>
    <t>Ban one card, other than a basic land, for the remainder of the match. (For the remainder of the match, each player removes from the game all copies of that card in play or in any graveyard, hand, library, or sideboard.)</t>
  </si>
  <si>
    <t>{5}{W}{W}</t>
  </si>
  <si>
    <t>Looming Altisaur / Altissauro Assomador</t>
  </si>
  <si>
    <t>Loporrit Scout / Batedor Loporrit</t>
  </si>
  <si>
    <t>Criatura — Coelho Batedor</t>
  </si>
  <si>
    <t>Sempre que outra criatura que você controla entrar, esta criatura recebe +1/+1 até o final do turno.</t>
  </si>
  <si>
    <t>Lord Dregg, Insect Invader</t>
  </si>
  <si>
    <t>Legendary Creature — Insect Warrior</t>
  </si>
  <si>
    <t>Flying Disappear — At the beginning of your end step, if a permanent left the battlefield under your control this turn, create a 1/1 black Insect Warrior creature token with flying. {3}{G}, Sacrifice a token: Draw a card.</t>
  </si>
  <si>
    <t>Lord of the Pit / Senhor das Profundezas</t>
  </si>
  <si>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</si>
  <si>
    <t>{4}{B}{B}{B}</t>
  </si>
  <si>
    <t>Lord of Tresserhorn / Senhor de Tresserhorn</t>
  </si>
  <si>
    <t>Legendary Creature — Zombie</t>
  </si>
  <si>
    <t>When Lord of Tresserhorn enters, you lose 2 life, you sacrifice two creatures, and target opponent draws two cards. {B}: Regenerate Lord of Tresserhorn.</t>
  </si>
  <si>
    <t>{1}{U}{B}{R}</t>
  </si>
  <si>
    <t>Preto, Vermelho, Azul</t>
  </si>
  <si>
    <t>Losheel, Clockwork Scholar / Losheel, Erudita da Mecânica</t>
  </si>
  <si>
    <t>Legendary Creature — Elephant Artificer / Criatura Lendária — Elefante Artesão</t>
  </si>
  <si>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</si>
  <si>
    <t>Lost Days</t>
  </si>
  <si>
    <t>The owner of target creature or enchantment puts it into their library second from the top or on the bottom. You create a Clue token. (It's an artifact with "{2}, Sacrifice this token: Draw a card.")</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</si>
  <si>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</si>
  <si>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</si>
  <si>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</si>
  <si>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Lost Soul / Alma Desgarrada</t>
  </si>
  <si>
    <t>Creature — Spirit Minion</t>
  </si>
  <si>
    <t>Swampwalk (This creature can't be blocked as long as defending player controls a Swamp.)</t>
  </si>
  <si>
    <t>Lotusguard Disciple</t>
  </si>
  <si>
    <t>Creature — Bird Cleric</t>
  </si>
  <si>
    <t>Flying When this creature enters, target creature or Vehicle gains lifelink and indestructible until end of turn.</t>
  </si>
  <si>
    <t>Loxodon Sergeant / Sargento Loxodonte</t>
  </si>
  <si>
    <t>Creature — Elephant Soldier / Criatura — Elefante Soldado</t>
  </si>
  <si>
    <t>Vigilance When this creature enters, other creatures you control gain vigilance until end of turn. / Vigilância Quando Sargento Loxodonte entra no campo de batalha, as outras criaturas que você controla ganham vigilância até o final do turno.</t>
  </si>
  <si>
    <t>Loyal Guardian / Guardião Leal</t>
  </si>
  <si>
    <t>Creature — Rhino / Criatura — Rinoceronte</t>
  </si>
  <si>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</si>
  <si>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</si>
  <si>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</si>
  <si>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Luke Cage, Power Man / Luke Cage, Poderoso</t>
  </si>
  <si>
    <t>Pele Inquebrável — Sempre que Luke Cage atacar sozinho, ele recebe +2/+0 e ganha indestrutível até o final do turno. (Dano e efeitos que dizem "destrua" não o destroem.)</t>
  </si>
  <si>
    <t>Lull / Calmaria</t>
  </si>
  <si>
    <t>Prevent all combat damage that would be dealt this turn. Cycling {2} ({2}, Discard this card: Draw a card.) / Previna todo o dano de combate que seria causado neste turno. Reciclar {2} ({2}, descarte este card: Compre um card.)</t>
  </si>
  <si>
    <t>Luminous Rebuke</t>
  </si>
  <si>
    <t>Lunar Frenzy / Frenesi Lunar</t>
  </si>
  <si>
    <t>Target creature you control gets +X/+0 and gains first strike and trample until end of turn. / A criatura alvo que você controla recebe +X/+0 e ganha iniciativa e atropelar até o final do turno.</t>
  </si>
  <si>
    <t>Lunar Mystic / Místico Lunar</t>
  </si>
  <si>
    <t>Whenever you cast an instant spell, you may pay {1}. If you do, draw a card. / Toda vez que conjura uma mágica instantânea, você pode pagar {1}. Se fizer isso, compre um card.</t>
  </si>
  <si>
    <t>Lunatic Pandora / Pandora Lunática</t>
  </si>
  <si>
    <t>Artefato Lendário</t>
  </si>
  <si>
    <t>{2}, {T}: Vigie 1. (Olhe o card do topo de seu grimório. Você pode colocá-lo em seu cemitério.) {6}, {T}, Sacrifique Pandora Lunática: Destrua a permanente alvo que não seja um terreno.</t>
  </si>
  <si>
    <t>Lurking Roper / Estrangulador à Espreita</t>
  </si>
  <si>
    <t>This creature doesn't untap during your untap step. Whenever you gain life, untap this creature. / Estrangulador à Espreita não é desvirado durante sua etapa de desvirar. Toda vez que você ganhar pontos de vida, desvire Estrangulador à Espreita.</t>
  </si>
  <si>
    <t>Luxurious Locomotive / Locomotiva Luxuosa</t>
  </si>
  <si>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</si>
  <si>
    <t>Lys Alana Bowmaster / Arqueiro-Mor de Lys Alana</t>
  </si>
  <si>
    <t>Creature — Elf Archer / Criatura — Elfo Arqueiro</t>
  </si>
  <si>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</si>
  <si>
    <t>Lys Alana Informant</t>
  </si>
  <si>
    <t>Creature — Elf Scout</t>
  </si>
  <si>
    <t>When this creature enters or dies, surveil 1. (Look at the top card of your library. You may put it into your graveyard.)</t>
  </si>
  <si>
    <t>Aetherclash (Lorwyn Eclipsed (ECL))</t>
  </si>
  <si>
    <t>Macabre Waltz / Valsa Macabra</t>
  </si>
  <si>
    <t>Return up to two target creature cards from your graveyard to your hand, then discard a card. / Devolva até dois cards de criatura alvo de seu cemitério para sua mão e depois descarte um card.</t>
  </si>
  <si>
    <t>Machine Over Matter / Máquina Sobre Matéria</t>
  </si>
  <si>
    <t>This spell costs {1} less to cast if you control an artifact creature. Return target nonland permanent to its owner's hand. / Esta mágica custa {1} a menos para ser conjurada se você controla uma criatura artefato. Devolva a permanente alvo não de terreno para a mão de seu dono.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</si>
  <si>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</si>
  <si>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</si>
  <si>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</si>
  <si>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</si>
  <si>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</si>
  <si>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</si>
  <si>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</si>
  <si>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</si>
  <si>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Magic Damper</t>
  </si>
  <si>
    <t>Target creature you control gets +1/+1 and gains hexproof until end of turn. Untap it.</t>
  </si>
  <si>
    <t>Final Fantasy (FFXIII)</t>
  </si>
  <si>
    <t>Magic Missile / Mísseis Mágicos</t>
  </si>
  <si>
    <t>This spell can't be countered. Magic Missile deals 3 damage divided as you choose among one, two, or three targets. / Esta mágica não pode ser anulada. Mísseis Mágicos causa 3 pontos de dano divididos à sua escolha entre um, dois ou três alvos.</t>
  </si>
  <si>
    <t>Magic Pot / Pote Mágico</t>
  </si>
  <si>
    <t>Criatura Artefato — Golem Goblin</t>
  </si>
  <si>
    <t>Quando esta criatura morrer, crie uma ficha de Tesouro. (Ela é um artefato com "{T}, Sacrifique esta ficha: Adicione um mana de qualquer cor.") {2}, {T}: Exile o card alvo de um cemitério.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</si>
  <si>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</si>
  <si>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</si>
  <si>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Magitek Infantry / Infantaria Magitek</t>
  </si>
  <si>
    <t>Esta criatura recebe +1/+0 enquanto você controlar outro artefato. {2}{W}: Procure em seu grimório por um card chamado Infantaria Magitek, coloque-o no campo de batalha virado e depois embaralhe.</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</si>
  <si>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</si>
  <si>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</si>
  <si>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</si>
  <si>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</si>
  <si>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</si>
  <si>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Magma Spray / Esguicho de Magma</t>
  </si>
  <si>
    <t>Magma Spray deals 2 damage to target creature. If that creature would die this turn, exile it instead. / Esguicho de Magma causa 2 pontos de dano à criatura alvo. Se aquela criatura for morrer neste turno, em vez disso, exile-a.</t>
  </si>
  <si>
    <t>Magmatic Sprinter / Corredor Magmático</t>
  </si>
  <si>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</si>
  <si>
    <t>Magnetic Mountain / Montanha Magnética</t>
  </si>
  <si>
    <t>Blue creatures don't untap during their controllers' untap steps. At the beginning of each player's upkeep, that player may choose any number of tapped blue creatures they control and pay {4} for each creature chosen this way. If the player does, untap those creatures.</t>
  </si>
  <si>
    <t>Mai, Jaded Edge</t>
  </si>
  <si>
    <t>Legendary Creature — Human Noble</t>
  </si>
  <si>
    <t>Prowess (Whenever you cast a noncreature spell, this creature gets +1/+1 until end of turn.) Exhaust — {3}: Put a double strike counter on Mai. (Activate each exhaust ability only once.)</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</si>
  <si>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</si>
  <si>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</si>
  <si>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Make Your Move / Faça Sua Jogada</t>
  </si>
  <si>
    <t>Destroy target artifact, enchantment, or creature with power 4 or greater. / Destrua o artefato, o encantamento ou a criatura com poder igual ou superior a 4 alvo.</t>
  </si>
  <si>
    <t>Makeshift Battalion / Batalhão Improvisado</t>
  </si>
  <si>
    <t>Battalion — Whenever this creature and at least two other creatures attack, put a +1/+1 counter on this creature. / Toda vez que Batalhão Improvisado e ao menos duas outras criaturas atacarem, coloque um marcador +1/+1 em Batalhão Improvisado.</t>
  </si>
  <si>
    <t>Makeshift Munitions / Munições Improvisadas</t>
  </si>
  <si>
    <t>{1}, Sacrifice an artifact or creature: This enchantment deals 1 damage to any target. / {1}, sacrifique um artefato ou uma criatura: Munições Improvisadas causa 1 ponto de dano à criatura ou ao jogador alvo.</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</si>
  <si>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</si>
  <si>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</si>
  <si>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</si>
  <si>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</si>
  <si>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</si>
  <si>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</si>
  <si>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</si>
  <si>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</si>
  <si>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Malevolent Chandelier</t>
  </si>
  <si>
    <t>Flying {2}: Put target card from a graveyard on the bottom of its owner's library. Activate only as a sorcery.</t>
  </si>
  <si>
    <t>Malicious Malfunction / Anomalia Maligna</t>
  </si>
  <si>
    <t>All creatures get -2/-2 until end of turn. If a creature would die this turn, exile it instead. / Todas as criaturas recebem -2/-2 até o final do turno. Se uma criatura morreria neste turno, em vez disso, exile-a.</t>
  </si>
  <si>
    <t>Mammoth Growth / Crescimento Mastodôntico</t>
  </si>
  <si>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</si>
  <si>
    <t>Mammoth Spider / Aranha Mamute</t>
  </si>
  <si>
    <t>Creature — Spider / Criatura — Aranha</t>
  </si>
  <si>
    <t>Reach (This creature can block creatures with flying.) / Alcance</t>
  </si>
  <si>
    <t>Mana Leak / Fuga de Mana</t>
  </si>
  <si>
    <t>Anule a mágica alvo, a menos que seu controlador pague {3}.</t>
  </si>
  <si>
    <t>Counter target spell unless its controller pays {3}. / Anule a mágica alvo, a menos que seu controlador pague {3}.</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</si>
  <si>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</si>
  <si>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</si>
  <si>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</si>
  <si>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</si>
  <si>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</si>
  <si>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</si>
  <si>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Manhole Missile</t>
  </si>
  <si>
    <t>Manhole Missile deals 3 damage to target creature. You may put a card from your hand on the bottom of your library. If you do, draw a card.</t>
  </si>
  <si>
    <t>Manifest Dread</t>
  </si>
  <si>
    <t>Manifest dread. (Look at the top two cards of your library. Put one onto the battlefield face down as a 2/2 creature and the other into your graveyard. Turn it face up any time for its mana cost if it's a creature card.)</t>
  </si>
  <si>
    <t>Máquina do Tirano / Tyrant's Machine</t>
  </si>
  <si>
    <t>{4}, {T}: Tap target creature. / {4}, {T}: Vire a criatura alvo.</t>
  </si>
  <si>
    <t>Marauder's Axe / Machado do Saqueador</t>
  </si>
  <si>
    <t>Equipped creature gets +2/+0. Equip {2} ({2}: Attach to target creature you control. Equip only as a sorcery.) / A criatura equipada recebe +2/+0. Equipar {2} ({2}: Anexe este equipamento à criatura alvo que você controla. Equipe somente como um feitiço.)</t>
  </si>
  <si>
    <t>Mardu Banner / Estandarte Mardu</t>
  </si>
  <si>
    <t>{T}: Add {R}, {W}, or {B}. {R}{W}{B}, {T}, Sacrifice this artifact: Draw a card. / {T}: Adicione {R}, {W} ou {B} à sua reserva de mana. {R}{W}{B}, {T}, Sacrifique Estandarte Mardu: Compre um card.</t>
  </si>
  <si>
    <t>Preto, Vermelho, Branco</t>
  </si>
  <si>
    <t>Mardu Blazebringer / Arauto da Chama Mardu</t>
  </si>
  <si>
    <t>When this creature attacks or blocks, sacrifice it at end of combat. / Quando Arauto da Chama Mardu atacar ou bloquear, sacrifique-o no final do combate.</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</si>
  <si>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</si>
  <si>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</si>
  <si>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</si>
  <si>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</si>
  <si>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</si>
  <si>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</si>
  <si>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</si>
  <si>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</si>
  <si>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Mark of the Vampire</t>
  </si>
  <si>
    <t>Enchant creature. Enchanted creature gets +2/+2 and has lifelink.</t>
  </si>
  <si>
    <t>Market Festival / Festival do Mercado</t>
  </si>
  <si>
    <t>Encantar terreno Toda vez que o terreno encantado é virado para gerar mana, seu controlador adiciona dois manas de qualquer combinação de cores à sua reserva de mana (além do mana que o terreno gera).</t>
  </si>
  <si>
    <t>Marsh Gas / Gás do Pântano</t>
  </si>
  <si>
    <t>All creatures get -2/-0 until end of turn.</t>
  </si>
  <si>
    <t>Marsh Threader / Atravessador de Palude</t>
  </si>
  <si>
    <t>Creature — Kor Scout / Criatura — Kor Batedor</t>
  </si>
  <si>
    <t>Swampwalk (This creature can't be blocked as long as defending player controls a Swamp.) / Travessia de pântano</t>
  </si>
  <si>
    <t>Marshal of Zhalfir / Marechal de Zhalfir</t>
  </si>
  <si>
    <t>Other Knights you control get +1/+1. {W}{U}, {T}: Tap another target creature. / Os outros Cavaleiros que você controla recebem +1/+1. {W}{U}, {T}: Vire outra criatura alvo.</t>
  </si>
  <si>
    <t>Marshals' Pathcruiser</t>
  </si>
  <si>
    <t>When this Vehicle enters, search your library for a basic land card, reveal it, put it into your hand, then shuffle. Exhaust — {W}{U}{B}{R}{G}: This Vehicle becomes an artifact creature. Put two +1/+1 counters on it. (Activate each exhaust ability only once.) Crew 5</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</si>
  <si>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</si>
  <si>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</si>
  <si>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</si>
  <si>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</si>
  <si>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Until end of turn, colorless creatures you control gain “{T}: This creature deals damage equal to its power to target creature.” / Até o final do turno, as criaturas incolores que você controla ganham “{T}: Esta criatura causa dano igual a seu poder à criatura alvo.”</t>
  </si>
  <si>
    <t>Massive Might / Força Possante</t>
  </si>
  <si>
    <t>Target creature gets +2/+2 and gains trample until end of turn. / A criatura alvo recebe +2/+2 e ganha atropelar até o final do turno.</t>
  </si>
  <si>
    <t>Master Decoy / Mestre de Iscas</t>
  </si>
  <si>
    <t>{W}, {T}: Vire a criatura alvo.</t>
  </si>
  <si>
    <t>Master of the Feast / Mestre do Banquete</t>
  </si>
  <si>
    <t>Enchantment Creature — Demon / Criatura Encantamento — Demônio</t>
  </si>
  <si>
    <t>Flying At the beginning of your upkeep, each opponent draws a card. / Voar No início da sua manutenção, cada oponente compra um card.</t>
  </si>
  <si>
    <t>Master Pakku</t>
  </si>
  <si>
    <t>Legendary Creature — Human Advisor Ally</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</si>
  <si>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</si>
  <si>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Master Piandao</t>
  </si>
  <si>
    <t>First strike Whenever Master Piandao attacks, look at the top four cards of your library. You may reveal an Ally, Equipment, or Lesson card from among them and put it into your hand. Put the rest on the bottom of your library in a random order.</t>
  </si>
  <si>
    <t>Master's Guide-Mural // Master's Manufactory / Mural-guia do Mestre // Manufatura do Mestre</t>
  </si>
  <si>
    <t>Artifact // Artifact / Artefato</t>
  </si>
  <si>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</si>
  <si>
    <t>{3}{W}{U}</t>
  </si>
  <si>
    <t>Master's Rebuke / Repreensão da Mestra</t>
  </si>
  <si>
    <t>Masterful Flourish / Floreio Magistral</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</si>
  <si>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</si>
  <si>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Matterbending Mage / Mago da Modelagem da Matéria</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</si>
  <si>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</si>
  <si>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Mauhúr, Capitão Uruk-hai / Mauhúr, Uruk-hai Captain</t>
  </si>
  <si>
    <t>Ameaçar. Se um ou mais marcadores +1/+1 seriam colocados em um Exército, Goblin ou Orc que você controla, em vez disso, serão colocados aquele número mais um de marcadores +1/+1.</t>
  </si>
  <si>
    <t>Maw of Kozilek / Gorja de Kozilek</t>
  </si>
  <si>
    <t>Devoid (This card has no color.) {C}: This creature gets +2/-2 until end of turn. ({C} represents colorless mana.) / Desprovido (Este card não tem cor.) {C}: Gorja de Kozilek recebe +2/-2 até o final do turno. ({C} representa mana incolor.)</t>
  </si>
  <si>
    <t>Maximum Overdrive</t>
  </si>
  <si>
    <t>Put a +1/+1 counter on target creature. It gains deathtouch and indestructible until end of turn.</t>
  </si>
  <si>
    <t>Maze Glider / Planador do Labirinto</t>
  </si>
  <si>
    <t>Flying Multicolored creatures you control have flying. / Voar As criaturas multicoloridas que você controla têm voar.</t>
  </si>
  <si>
    <t>Dragon's Maze (DGM)</t>
  </si>
  <si>
    <t>Meat Locker // Drowned Diner</t>
  </si>
  <si>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</si>
  <si>
    <t>{2}{U} // {3}{U}{U}</t>
  </si>
  <si>
    <t>Mechan Assembler / Montador Mecano</t>
  </si>
  <si>
    <t>Criatura Artefato — Robô Artífice</t>
  </si>
  <si>
    <t>Sempre que outro artefato que você controla entrar, crie uma ficha de criatura artefato Robô incolor 2/2. Esta habilidade é desencadeada apenas uma vez a cada turno.</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</si>
  <si>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</si>
  <si>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</si>
  <si>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</si>
  <si>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Mechanized Ninja Cavalry</t>
  </si>
  <si>
    <t>Artifact Creature — Robot Ninja</t>
  </si>
  <si>
    <t>When this creature enters, create a 1/1 colorless Robot artifact creature token.</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</si>
  <si>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</si>
  <si>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</si>
  <si>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</si>
  <si>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Medalhão Azorius / Azorius Locket</t>
  </si>
  <si>
    <t>{T}: Adicione {W} ou {U}. {W/U}{W/U}{W/U}{W/U}, {T}, sacrifique Medalhão Azorius: Compre dois cards.</t>
  </si>
  <si>
    <t>Medalhão Gruul / Gruul Locket</t>
  </si>
  <si>
    <t>{T}: Adicione {R} ou {G}. {R/G}{R/G}{R/G}{R/G}, {T}, sacrifique Medalhão Gruul: Compre dois cards.</t>
  </si>
  <si>
    <t>Medalhão Orzhov / Orzhov Locket</t>
  </si>
  <si>
    <t>{T}: Adicione {W} ou {B}. {W/B}{W/B}{W/B}{W/B}, {T}, sacrifique Amuleto Orzhov: Compre dois cards.</t>
  </si>
  <si>
    <t>Medalhão Rakdos / Rakdos Locket</t>
  </si>
  <si>
    <t>{T}: Adicione {B} ou {R}. {B/R}{B/R}{B/R}{B/R}, {T}, sacrifique Medalhão Rakdos: Compre dois cards.</t>
  </si>
  <si>
    <t>Medalhão Simic / Simic Locket</t>
  </si>
  <si>
    <t>{T}: Adicione {G} ou {U}. {G/U}{G/U}{G/U}{G/U}, {T}, sacrifique Medalhão Simic: Compre dois cards.</t>
  </si>
  <si>
    <t>Melancholic Poet</t>
  </si>
  <si>
    <t>Creature — Elf Bard</t>
  </si>
  <si>
    <t>Repartee — Whenever you cast an instant or sorcery spell that targets a creature, each opponent loses 1 life and you gain 1 life.</t>
  </si>
  <si>
    <t>Melek, Izzet Paragon / Melek, Paradigma dos Izzet</t>
  </si>
  <si>
    <t>Legendary Creature — Weird Wizard / Criatura Lendária — Bizarro Mago</t>
  </si>
  <si>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</si>
  <si>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</si>
  <si>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</si>
  <si>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Melting / Degelo</t>
  </si>
  <si>
    <t>All lands are no longer snow.</t>
  </si>
  <si>
    <t>Meltstrider's Gear / Equipamento do熔passo</t>
  </si>
  <si>
    <t>Quando este Equipamento entrar, anexe-o à criatura alvo que você controla. A criatura equipada recebe +2/+1 e tem alcance. Equipar {5} ({5}: Anexe à criatura alvo que você controla. Equipe somente como um feitiço.)</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</si>
  <si>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</si>
  <si>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</si>
  <si>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</si>
  <si>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</si>
  <si>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</si>
  <si>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Mental Modulation / Modulação Mental</t>
  </si>
  <si>
    <t>Esta mágica custa {1} a menos para ser conjurada durante o seu turno. Vire o artefato ou a criatura alvo. Compre um card.</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</si>
  <si>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</si>
  <si>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</si>
  <si>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</si>
  <si>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Merchant of Many Hats</t>
  </si>
  <si>
    <t>{2}{B}: Return this card from your graveyard to your hand.</t>
  </si>
  <si>
    <t>Meriadoc Brandebuque / Meriadoc Brandybuck</t>
  </si>
  <si>
    <t>Criatura Lendária — Pequenino Cidadão</t>
  </si>
  <si>
    <t>Toda vez que um ou mais Pequeninos que você controla atacarem um jogador, crie uma ficha de Comida. (Ela é um artefato com "2, {T}, sacrifique este artefato: Você ganha 3 pontos de vida".)</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</si>
  <si>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</si>
  <si>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</si>
  <si>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</si>
  <si>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Merrow Wavebreakers / Sirenídeos Saltadores</t>
  </si>
  <si>
    <t>{1}{U}, {Q}: This creature gains flying until end of turn. ({Q} is the untap symbol.) / {1}{U}, {Q}: Sirenídeos Saltadores ganha voar até o final do turno. ({Q} é o símbolo de desvirar.)</t>
  </si>
  <si>
    <t>Mesa Chicken</t>
  </si>
  <si>
    <t>Summon Chicken</t>
  </si>
  <si>
    <t>Stand up, Flap your arms, Cluck like a chicken: Mesa Chicken gains flying until end of turn.</t>
  </si>
  <si>
    <t>Mesa Lynx / Lince da Meseta</t>
  </si>
  <si>
    <t>During turns other than yours, this creature gets +0/+2. / Enquanto não for o seu turno, Lince da Meseta receberá +0/+2.</t>
  </si>
  <si>
    <t>Mesa Pegasus / Pégaso da Mesa</t>
  </si>
  <si>
    <t>Creature — Pegasus / Criatura — Pégaso</t>
  </si>
  <si>
    <t>Flying, banding. / Voar, banding.</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</si>
  <si>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</si>
  <si>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</si>
  <si>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</si>
  <si>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Messenger Hawk</t>
  </si>
  <si>
    <t>Creature — Bird Scout</t>
  </si>
  <si>
    <t>Flying When this creature enters, create a Clue token. (It's an artifact with "{2}, Sacrifice this token: Draw a card.") This creature gets +2/+0 as long as you've drawn two or more cards this turn.</t>
  </si>
  <si>
    <t>{2}{U/B}</t>
  </si>
  <si>
    <t>Metal Fatigue / Fadiga do Metal</t>
  </si>
  <si>
    <t>Tap all artifacts. / Vira todos os artefatos.</t>
  </si>
  <si>
    <t>Metalhead</t>
  </si>
  <si>
    <t>Legendary Artifact Creature — Robot Turtle</t>
  </si>
  <si>
    <t>When Metalhead enters, return up to one other target artifact or creature to its owner's hand. {R}, Sacrifice another artifact: Put a +1/+1 counter on Metalhead. He gains menace and haste until end of turn.</t>
  </si>
  <si>
    <t>Metalspinner's Puzzleknot / Quebra-cabeça do Metalofiador</t>
  </si>
  <si>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</si>
  <si>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</si>
  <si>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</si>
  <si>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</si>
  <si>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</si>
  <si>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</si>
  <si>
    <t>Metamorphic Blast / Jato Metamórfico</t>
  </si>
  <si>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</si>
  <si>
    <t>Meteor Golem / Golem Meteórico</t>
  </si>
  <si>
    <t>When this creature enters, destroy target nonland permanent an opponent controls. / Quando Golem Meteórico entrar no campo de batalha, destrua a permanente alvo que um oponente controla que não seja um terreno.</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</si>
  <si>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</si>
  <si>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</si>
  <si>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Meteor Sword</t>
  </si>
  <si>
    <t>When this Equipment enters, destroy target permanent. Equipped creature gets +3/+3. Equip {3} ({3}: Attach to target creature you control. Equip only as a sorcery.)</t>
  </si>
  <si>
    <t>Miasmic Mummy / Múmia Miasmática</t>
  </si>
  <si>
    <t>Creature — Zombie Jackal / Criatura — Zumbi Chacal</t>
  </si>
  <si>
    <t>When this creature enters, each player discards a card. / Quando Múmia Miasmática entra no campo de batalha, cada jogador descarta um card.</t>
  </si>
  <si>
    <t>Michelangelo, Game Master</t>
  </si>
  <si>
    <t>Disappear — At the beginning of your end step, if a permanent left the battlefield under your control this turn, put a +1/+1 counter on Michelangelo.</t>
  </si>
  <si>
    <t>Michelangelo, Mutant BFF</t>
  </si>
  <si>
    <t>Each creature you control with a counter on it can't be blocked by more than one creature. Whenever Michelangelo enters or attacks, create a Mutagen token. (It's an artifact with "{1}, {T}, Sacrifice this token: Put a +1/+1 counter on target creature. Activate only as a sorcery.")</t>
  </si>
  <si>
    <t>Micromancer / Micromante</t>
  </si>
  <si>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</si>
  <si>
    <t>Midnight Mangler</t>
  </si>
  <si>
    <t>During turns other than yours, this Vehicle is an artifact creature. Crew 2 (Tap any number of creatures you control with total power 2 or more: This Vehicle becomes an artifact creature until end of turn.)</t>
  </si>
  <si>
    <t>Midnight Mayhem</t>
  </si>
  <si>
    <t>Create three 1/1 red Gremlin creature tokens. Gremlins you control gain menace, lifelink, and haste until end of turn. (A creature with menace can't be blocked except by two or more creatures.)</t>
  </si>
  <si>
    <t>Midnight Scavengers</t>
  </si>
  <si>
    <t>When this creature enters, you may return target creature card with mana value 3 or less from your graveyard to your hand. (Melds with Graf Rats.)</t>
  </si>
  <si>
    <t>Might of Old Krosa / Bravura da Antiga Krosa</t>
  </si>
  <si>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</si>
  <si>
    <t>Might of the Meek</t>
  </si>
  <si>
    <t>Target creature gains trample until end of turn. It also gets +1/+0 until end of turn if you control a Mouse. Draw a card.</t>
  </si>
  <si>
    <t>Mighty Mutanimals</t>
  </si>
  <si>
    <t>Creature — Mutant Rebel</t>
  </si>
  <si>
    <t>When this creature enters, create a 2/2 red Mutant creature token. Alliance — Whenever another creature you control enters, put a +1/+1 counter on target creature you control.</t>
  </si>
  <si>
    <t>Migrating Ketradon</t>
  </si>
  <si>
    <t>Reach When this creature enters, you gain 4 life. Cycling {2} ({2}, Discard this card: Draw a card.)</t>
  </si>
  <si>
    <t>Mikey &amp; Don, Party Planners</t>
  </si>
  <si>
    <t>Ward {2} You may look at the top card of your library any time. You may play lands and cast Mutant, Ninja, or Turtle spells from the top of your library. If you cast a creature spell this way, that creature enters with an additional +1/+1 counter on it.</t>
  </si>
  <si>
    <t>{2}{G/U}{G/U}</t>
  </si>
  <si>
    <t>Militia Bugler / Corneteiro da Milícia</t>
  </si>
  <si>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</si>
  <si>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</si>
  <si>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</si>
  <si>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</si>
  <si>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</si>
  <si>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Mind Ravel / Emaranhado Mental</t>
  </si>
  <si>
    <t>Target player discards a card. Draw a card at the beginning of the next turn's upkeep.</t>
  </si>
  <si>
    <t>Mind Rot / Estiolar a Mente</t>
  </si>
  <si>
    <t>Target player discards two cards. / O jogador alvo descarta dois cards.</t>
  </si>
  <si>
    <t>Mind Transfer Protocol</t>
  </si>
  <si>
    <t>Until end of turn, target artifact or creature becomes an artifact creature with base power and toughness 4/5. Draw a card.</t>
  </si>
  <si>
    <t>Mind Warp / Distorção Mental</t>
  </si>
  <si>
    <t>Look at target player's hand and choose X cards from it. That player discards those cards.</t>
  </si>
  <si>
    <t>{X}{3}{B}</t>
  </si>
  <si>
    <t>Mindmelter / Funde-mentes</t>
  </si>
  <si>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</si>
  <si>
    <t>Mindstab / Apunhala-mentes</t>
  </si>
  <si>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</si>
  <si>
    <t>Mindstab Thrull / Thrull Apunhala-Mentes</t>
  </si>
  <si>
    <t>Whenever this creature attacks and isn't blocked, you may sacrifice it. If you do, defending player discards three cards.</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</si>
  <si>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</si>
  <si>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</si>
  <si>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</si>
  <si>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Mine Bearer / Portador de Minas</t>
  </si>
  <si>
    <t>Creature — Soldier</t>
  </si>
  <si>
    <t>{T}, Sacrifice Mine Bearer: Destroy target attacking creature.</t>
  </si>
  <si>
    <t>Minion of Tevesh Szat / Assecla de Tevesh Szat</t>
  </si>
  <si>
    <t>Creature — Demon Minion</t>
  </si>
  <si>
    <t>At the beginning of your upkeep, this creature deals 2 damage to you unless you pay {B}{B}. {T}: Target creature gets +3/-2 until end of turn.</t>
  </si>
  <si>
    <t>Ministrant of Obligation / Ministrante da Obrigação</t>
  </si>
  <si>
    <t>Afterlife 2 (When this creature dies, create two 1/1 white and black Spirit creature tokens with flying.) / Pós-vida 2 (Quando esta criatura morrer, crie duas fichas de criatura branca e preta 1/1 do tipo Espírito com voar. )</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</si>
  <si>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</si>
  <si>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</si>
  <si>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</si>
  <si>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Minwu, White Mage / Minwu, Mago Branco</t>
  </si>
  <si>
    <t>Vigilância, vínculo com a vida. Sempre que você ganhar vida, coloque um marcador +1/+1 em cada Clérigo que você controla.</t>
  </si>
  <si>
    <t>Mire Triton / Talassida do Lodaçal</t>
  </si>
  <si>
    <t>Creature — Zombie Merfolk / Criatura — Zumbi Tritão</t>
  </si>
  <si>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</si>
  <si>
    <t>Miriam, Herd Whisperer / Miriam, Encantadora de Rebanhos</t>
  </si>
  <si>
    <t>Legendary Creature — Human Druid / Criatura Lendária — Humano Druida</t>
  </si>
  <si>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</si>
  <si>
    <t>Mirror of Galadriel / Espelho de Galadriel</t>
  </si>
  <si>
    <t>Legendary Artifact / Artefato Lendário</t>
  </si>
  <si>
    <t>{5}, {T}: Scry 1, then draw a card. This ability costs {1} less to activate for each legendary creature you control. / {5}, {T}: Use vidência 1, depois compre um card. Esta habilidade custa {1} a menos para ser ativada para cada criatura lendária que você controla.</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</si>
  <si>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</si>
  <si>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</si>
  <si>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</si>
  <si>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Mishra's Groundbreaker / Perfuratriz de Mishra</t>
  </si>
  <si>
    <t>{T}, Sacrifice this artifact: Target land becomes a 3/3 artifact creature that's still a land. (This effect lasts indefinitely.)</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</si>
  <si>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</si>
  <si>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</si>
  <si>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Miss Demeanor</t>
  </si>
  <si>
    <t>Summon Lady of Proper Etiquette</t>
  </si>
  <si>
    <t>Flying, first strike. During each other player's turn, compliment that player on his or her game play or sacrifice Miss Demeanor.</t>
  </si>
  <si>
    <t>Mister Hyde, Monster Within / Senhor Hyde, O Monstro Interior</t>
  </si>
  <si>
    <t>No início de sua manutenção, escolha um — • Coloque um marcador +1/+1 em Senhor Hyde. • Remova um marcador de uma criatura que você controla. Se fizer isso, compre um card.</t>
  </si>
  <si>
    <t>Misthoof Kirin / Kirin Casconévoa</t>
  </si>
  <si>
    <t>Creature — Kirin / Criatura — Kirin</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</si>
  <si>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</si>
  <si>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Mistmeadow Council</t>
  </si>
  <si>
    <t>Creature — Kithkin Advisor</t>
  </si>
  <si>
    <t>This spell costs {1} less to cast if you control a Kithkin. When this creature enters, draw a card.</t>
  </si>
  <si>
    <t>Mocking Sprite / Sílfide Zombeteira</t>
  </si>
  <si>
    <t>Flying Instant and sorcery spells you cast cost {1} less to cast. / Voar As mágicas instantâneas e os feitiços que você conjura custam {1} a menos para conjurar.</t>
  </si>
  <si>
    <t>Mogg Flunkies / Moggs Confusos</t>
  </si>
  <si>
    <t>This creature can't attack or block alone. / Moggs Confusos não pode atacar nem bloquear sozinho.</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</si>
  <si>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</si>
  <si>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</si>
  <si>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Moldervine Reclamation / Recuperação das Gavinhas Bolorentas</t>
  </si>
  <si>
    <t>Whenever a creature you control dies, you gain 1 life and draw a card. / Toda vez que uma criatura que você controla morre, você ganha 1 ponto de vida e compra um card.</t>
  </si>
  <si>
    <t>{3}{B}{G}</t>
  </si>
  <si>
    <t>Commander 2021 (C21)</t>
  </si>
  <si>
    <t>Moldgraf Millipede / Milípede do Cemitério Bolorento</t>
  </si>
  <si>
    <t>Creature — Insect Horror / Criatura — Inseto Horror</t>
  </si>
  <si>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</si>
  <si>
    <t>Molten Gatekeeper / Porteiro Fundente</t>
  </si>
  <si>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</si>
  <si>
    <t>Moment of Silence / Momento de Silêncio</t>
  </si>
  <si>
    <t>Target player skips their next combat phase this turn.</t>
  </si>
  <si>
    <t>Moment of Triumph / Momento do Triunfo</t>
  </si>
  <si>
    <t>Target creature gets +2/+2 until end of turn. You gain 2 life. / A criatura alvo recebe +2/+2 até o final do turno. Você ganha 2 pontos de vida.</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</si>
  <si>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</si>
  <si>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</si>
  <si>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</si>
  <si>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</si>
  <si>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</si>
  <si>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</si>
  <si>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Mona Lisa, Science Geek</t>
  </si>
  <si>
    <t>Legendary Creature — Lizard Mutant</t>
  </si>
  <si>
    <t>Reach {T}: Add X mana of any one color, where X is Mona Lisa's power.</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</si>
  <si>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</si>
  <si>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</si>
  <si>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</si>
  <si>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Monk's Fist / Punho do Monge</t>
  </si>
  <si>
    <t>Seleção de classe (Quando este Equipamento entrar, crie uma ficha de criatura Herói incolor 1/1 e depois anexe isto a ela.) A criatura equipada recebe +1/+0 e é um Monge além de seus outros tipos. Equipar {2}</t>
  </si>
  <si>
    <t>Monoist Sentry / Sentinela Monoísta</t>
  </si>
  <si>
    <t>Defensor</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</si>
  <si>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</si>
  <si>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</si>
  <si>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Mons's Goblin Raiders / Goblins Salteadores do Mons</t>
  </si>
  <si>
    <t>Monster Mashup / Mistureba de Monstros</t>
  </si>
  <si>
    <t>Criatura — Lobisomem Peixe Zumbi Vampiro</t>
  </si>
  <si>
    <t>Alcance (Esta criatura pode bloquear criaturas com voar.) Ameaça (Esta criatura não pode ser bloqueada a não ser por duas ou mais criaturas.)</t>
  </si>
  <si>
    <t>Monstrous Emergence</t>
  </si>
  <si>
    <t>As an additional cost to cast this spell, choose a creature you control or reveal a creature card from your hand. Monstrous Emergence deals damage equal to the power of the creature you chose or the card you revealed to target creature.</t>
  </si>
  <si>
    <t>Monstrous Onslaught / Investida Monstruosa</t>
  </si>
  <si>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</si>
  <si>
    <t>Moonglove Extractor</t>
  </si>
  <si>
    <t>Whenever this creature attacks, you draw a card and lose 1 life.</t>
  </si>
  <si>
    <t>Moonlit Lamenter</t>
  </si>
  <si>
    <t>Creature — Treefolk Cleric</t>
  </si>
  <si>
    <t>This creature enters with a -1/-1 counter on it. {1}{W}, Remove a counter from this creature: Draw a card. Activate only as a sorcery.</t>
  </si>
  <si>
    <t>Moonrise Cleric</t>
  </si>
  <si>
    <t>Creature — Bat Cleric</t>
  </si>
  <si>
    <t>Flying Whenever this creature attacks, you gain 1 life.</t>
  </si>
  <si>
    <t>{1}{W/B}{W/B}</t>
  </si>
  <si>
    <t>Moonsnare Specialist / Especialista em Lunilaço</t>
  </si>
  <si>
    <t>Ninjutsu {2}{U}. Quando Especialista em Lunilaço entrar no campo de batalha, devolva até uma criatura alvo para a mão de seu dono. / Ninjutsu {2}{U}. When Moon-Circuit Hacker enters the battlefield, return up to one target creature to its owner's hand.</t>
  </si>
  <si>
    <t>Moor Fiend / Capeta da Charneca</t>
  </si>
  <si>
    <t>Moral</t>
  </si>
  <si>
    <t>Todas as criaturas que estiverem atacando ganharão +1/+1 até o final do turno.</t>
  </si>
  <si>
    <t>Morale / Moral</t>
  </si>
  <si>
    <t>Attacking creatures get +1/+1 until end of turn.</t>
  </si>
  <si>
    <t>Morcant's Loyalist</t>
  </si>
  <si>
    <t>Other Elves you control get +1/+1. When this creature dies, return another target Elf card from your graveyard to your hand.</t>
  </si>
  <si>
    <t>{1}{B}{G}</t>
  </si>
  <si>
    <t>Morcegos da Floresta das Trevas / Mirkwood Bats</t>
  </si>
  <si>
    <t>Criatura — Morcego</t>
  </si>
  <si>
    <t>Voar. Toda vez que você cria ou sacrifica uma ficha, cada oponente perde 1 ponto de vida.</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</si>
  <si>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</si>
  <si>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</si>
  <si>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</si>
  <si>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Mortal Obstinacy / Obstinação dos Mortais</t>
  </si>
  <si>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</si>
  <si>
    <t>Mortality Spear / Lança da Mortalidade</t>
  </si>
  <si>
    <t>This spell costs {2} less to cast if you gained life this turn. Destroy target nonland permanent. / Esta mágica custa {2} a menos para ser conjurada se você tiver ganho pontos de vida neste turno. Destrua a permanente alvo não de terreno.</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</si>
  <si>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</si>
  <si>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</si>
  <si>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Moss Diamond / Diamante de Musgo</t>
  </si>
  <si>
    <t>Moss Diamond comes into play tapped. {T}: Add {G} to your mana pool. Play this ability as a mana source. / Diamante de Musgo entra em jogo virado. {T}: Adicione {G} à sua reserva de mana. Jogue esta habilidade como uma fonte de mana.</t>
  </si>
  <si>
    <t>Mossbeard Ancient / Barbamusgo Ancestral</t>
  </si>
  <si>
    <t>Creature — Treefolk / Criatura — Ent</t>
  </si>
  <si>
    <t>Trample When this creature enters, you gain 5 life. / Atropelar Quando Barbamusgo Ancestral entra no campo de batalha, você ganha 5 pontos de vida.</t>
  </si>
  <si>
    <t>Mothrider Patrol / Patrulheira Ginete de Mariposa</t>
  </si>
  <si>
    <t>Creature — Fox Warrior / Criatura — Raposa Guerreiro</t>
  </si>
  <si>
    <t>Flying {3}{W}, {T}: Tap target creature. / Voar {3}{W}, {T}: Vire a criatura alvo.</t>
  </si>
  <si>
    <t>Mountain Goat / Cabrito Montês</t>
  </si>
  <si>
    <t>Creature — Goat</t>
  </si>
  <si>
    <t>Mountainwalk (This creature can't be blocked as long as defending player controls a Mountain.)</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</si>
  <si>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</si>
  <si>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</si>
  <si>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</si>
  <si>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Mourning Thrull</t>
  </si>
  <si>
    <t>Flying. Whenever Mourning Thrull deals damage, you gain that much life.</t>
  </si>
  <si>
    <t>Guildpact (GPT)</t>
  </si>
  <si>
    <t>Mouser Attack!</t>
  </si>
  <si>
    <t>Choose one — • Create a 1/1 colorless Robot artifact creature token. • Target creature gets +3/+0 and gains first strike until end of turn.</t>
  </si>
  <si>
    <t>Mouser Foundry</t>
  </si>
  <si>
    <t>When this artifact enters or leaves the battlefield, create a 1/1 colorless Robot artifact creature token. {4}{R}, Sacrifice this artifact: It deals 3 damage to target creature.</t>
  </si>
  <si>
    <t>Mouser Mark III</t>
  </si>
  <si>
    <t>This creature can't attack unless you control another artifact.</t>
  </si>
  <si>
    <t>Mugging / Assaltar</t>
  </si>
  <si>
    <t>Mugging deals 2 damage to target creature. That creature can't block this turn. / Assaltar causa 2 pontos de dano à criatura alvo. Aquela criatura não pode bloquear neste turno.</t>
  </si>
  <si>
    <t>Mukotai Ambusher / Emboscador Mukotai</t>
  </si>
  <si>
    <t>Artifact Creature - Rat Ninja</t>
  </si>
  <si>
    <t>Ninjutso 1{B} vinculo com a vida</t>
  </si>
  <si>
    <t>Mulch / Palha</t>
  </si>
  <si>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</si>
  <si>
    <t>Mummy Paramount / Múmia Suprema</t>
  </si>
  <si>
    <t>Whenever another Zombie you control enters, this creature gets +1/+1 until end of turn. / Toda vez que outro Zumbi entra no campo de batalha sob seu controle, Múmia Suprema recebe +1/+1 até o final do turno.</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</si>
  <si>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</si>
  <si>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</si>
  <si>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Murder</t>
  </si>
  <si>
    <t>Destroy target creature.</t>
  </si>
  <si>
    <t>Murder / Homicídio</t>
  </si>
  <si>
    <t>Destroy target creature. / Destrua a criatura alvo.</t>
  </si>
  <si>
    <t>Murder of Crows / Revoada de Corvos</t>
  </si>
  <si>
    <t>Flying Whenever another creature dies, you may draw a card. If you do, discard a card. / Voar Toda vez que outra criatura morre, você pode comprar um card. Se fizer isso, descarte um card.</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</si>
  <si>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</si>
  <si>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</si>
  <si>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Murk Dwellers / Habitantes das Trevas</t>
  </si>
  <si>
    <t>Whenever this creature attacks and isn't blocked, it gets +2/+0 until end of combat.</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</si>
  <si>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</si>
  <si>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</si>
  <si>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</si>
  <si>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Murmuring Phantasm / Fantasma Murmurante</t>
  </si>
  <si>
    <t>Defender / Defensor</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</si>
  <si>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</si>
  <si>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</si>
  <si>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Mutant Chain Reaction</t>
  </si>
  <si>
    <t>Destroy up to one target artifact, enchantment, or creature with flying. Create a Mutagen token. (It's an artifact with "{1}, {T}, Sacrifice this token: Put a +1/+1 counter on target creature. Activate only as a sorcery.")</t>
  </si>
  <si>
    <t>Mutant Town</t>
  </si>
  <si>
    <t>This land enters tapped. When this land enters, you gain 1 life. {T}: Add {G} or {U}.</t>
  </si>
  <si>
    <t>Mutant Town Musicians</t>
  </si>
  <si>
    <t>Creature — Mutant Bard Performer</t>
  </si>
  <si>
    <t>Trample Alliance — Whenever another creature you control enters, this creature gets +1/+0 until end of turn.</t>
  </si>
  <si>
    <t>Myr Mindservant / Myr Ataca-Mentes</t>
  </si>
  <si>
    <t>Artifact Creature — Myr / Criatura Artefato — Myr</t>
  </si>
  <si>
    <t>{2}, {T}: Shuffle your library. / {2}, {T}: Embaralhe seu grimório.</t>
  </si>
  <si>
    <t>Myr Retriever / Resgatador Myr</t>
  </si>
  <si>
    <t>When Myr Retriever dies, return another target artifact card from your graveyard to your hand. / Quando Resgatador Myr morrer, devolva outro card de artefato alvo de seu cemitério para sua mão.</t>
  </si>
  <si>
    <t>Mysidian Elder / Ancião de Mysidia</t>
  </si>
  <si>
    <t>Quando esta criatura entrar, crie uma ficha de criatura Mago preta 0/1 com "Sempre que você conjurar uma mágica que não seja de criatura, esta ficha causará 1 de dano a cada oponente."</t>
  </si>
  <si>
    <t>Mysterious Pathlighter / Alumiador de Trilhas Misterioso</t>
  </si>
  <si>
    <t>Creature — Faerie / Criatura — Fada</t>
  </si>
  <si>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</si>
  <si>
    <t>Mystic Monastery / Monastério Místico</t>
  </si>
  <si>
    <t>Monastério Místico entra no campo de batalha virado. {T}: Adicione {U}, {R} ou {W} à sua reserva de mana.</t>
  </si>
  <si>
    <t>Mystic Skull / Crânio Místico</t>
  </si>
  <si>
    <t>{1}, {T}: Add one mana of any color. {5}, {T}: Transform Mystic Skull.</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</si>
  <si>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</si>
  <si>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</si>
  <si>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Nacre Talisman / Talismã de Nácar</t>
  </si>
  <si>
    <t>Whenever a player casts a white spell, you may pay {3}. If you do, untap target permanent.</t>
  </si>
  <si>
    <t>Naga Eternal / Eterna Naga</t>
  </si>
  <si>
    <t>Creature — Zombie Snake / Criatura — Zumbi Naga</t>
  </si>
  <si>
    <t>Nahiri's Stoneblades / Litolâminas de Nahiri</t>
  </si>
  <si>
    <t>Up to two target creatures each get +2/+0 until end of turn. / Até duas criaturas alvo recebem +2/+0 cada uma até o final do turno.</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</si>
  <si>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</si>
  <si>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</si>
  <si>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</si>
  <si>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Nanoform Sentinel / Sentinela Nanoforma</t>
  </si>
  <si>
    <t>Sempre que esta criatura torna-se virada, desvire outra permanente alvo. Esta habilidade é desencadeada apenas uma vez a cada turno.</t>
  </si>
  <si>
    <t>Natural End / Fim Natural</t>
  </si>
  <si>
    <t>Destroy target artifact or enchantment. You gain 3 life. / Destrua o artefato ou encantamento alvo. Você ganha 3 pontos de vida.</t>
  </si>
  <si>
    <t>Nature's Chant / Canto da Natureza</t>
  </si>
  <si>
    <t>Destroy target artifact or enchantment. / Destrua o artefato ou encantamento alvo.</t>
  </si>
  <si>
    <t>{1}{G/W}</t>
  </si>
  <si>
    <t>Nature's Claim / Reivindicação de Natureza</t>
  </si>
  <si>
    <t>Destroy target artifact or enchantment. Its controller gains 4 life. / Destrua o artefato ou encantamento alvo. O controlador dele ganha 4 pontos de vida.</t>
  </si>
  <si>
    <t>-</t>
  </si>
  <si>
    <t>Nature's Panoply / Panóplia da Natureza</t>
  </si>
  <si>
    <t>Esforço — Panóplia da Natureza custa 2G a mais para ser conjurado para cada alvo além do primeiro. Escolha qualquer número de criaturas alvo. Coloque um marcador +1/+1 em cada uma delas.</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</si>
  <si>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</si>
  <si>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</si>
  <si>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</si>
  <si>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</si>
  <si>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</si>
  <si>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</si>
  <si>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</si>
  <si>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</si>
  <si>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</si>
  <si>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</si>
  <si>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Nebelgast Beguiler / Ludibriadora do Nebelgast</t>
  </si>
  <si>
    <t>Needletooth Pack</t>
  </si>
  <si>
    <t>Morbid — At the beginning of your end step, if a creature died this turn, put two +1/+1 counters on target creature you control.</t>
  </si>
  <si>
    <t>Negate / Negar</t>
  </si>
  <si>
    <t>Counter target noncreature spell. / Anule a mágica alvo que não seja de criatura.</t>
  </si>
  <si>
    <t>Nemata, Grove Guardian / Nemata, A Guardiã do Bosque</t>
  </si>
  <si>
    <t>Legendary Creature — Treefolk / Criatura Lendária — Ent</t>
  </si>
  <si>
    <t>{2}{G}: Create a 1/1 green Saproling creature token. Sacrifice a Saproling: Saproling creatures get +1/+1 until end of turn. / {2}{G}: Crie uma ficha de criatura Saprófita verde 1/1. Sacrifique uma Saprófita: As criaturas Saprófitas recebem +1/+1 até o final do turno.</t>
  </si>
  <si>
    <t>Nephalia Seakite / Gavião Marinho de Nefália</t>
  </si>
  <si>
    <t>Flash (You may cast this spell any time you could cast an instant.) Flying / Lampejo (Você poderá conjurar esta mágica a qualquer momento em que puder conjurar uma mágica instantânea.)Voar</t>
  </si>
  <si>
    <t>Nessian Hornbeetle / Serra-pau Nessiano</t>
  </si>
  <si>
    <t>At the beginning of combat on your turn, if you control another creature with power 4 or greater, put a +1/+1 counter on this creature. / No início do combate no seu turno, se você controlar outra criatura com poder igual ou superior a 4, coloque um marcador +1/+1 em Serra-pau Nessiano.</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</si>
  <si>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</si>
  <si>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</si>
  <si>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</si>
  <si>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</si>
  <si>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</si>
  <si>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</si>
  <si>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</si>
  <si>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Nettling Imp</t>
  </si>
  <si>
    <t>Creature — Imp</t>
  </si>
  <si>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</si>
  <si>
    <t>New Generation's Technique</t>
  </si>
  <si>
    <t>Sneak {2}{G} (You may cast this spell for {2}{G} if you also return an unblocked attacker you control to hand during the declare blockers step.) Search your library for up to two basic land cards, put them onto the battlefield tapped, then shuffle.</t>
  </si>
  <si>
    <t>New Horizons / Novos Horizontes</t>
  </si>
  <si>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</si>
  <si>
    <t>New Perspectives / Novas Perspectivas</t>
  </si>
  <si>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</si>
  <si>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</si>
  <si>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</si>
  <si>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</si>
  <si>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Night Market</t>
  </si>
  <si>
    <t>This land enters tapped. As it enters, choose a color. {T}: Add one mana of the chosen color. Cycling {3} ({3}, Discard this card: Draw a card.)</t>
  </si>
  <si>
    <t>Night Market Aeronaut / Aeronauta do Mercado Noturno</t>
  </si>
  <si>
    <t>Creature — Aetherborn Warrior / Criatura — Etergênito Guerreiro</t>
  </si>
  <si>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</si>
  <si>
    <t>Night of the Sweets' Revenge / Noite da Vingança dos Doces</t>
  </si>
  <si>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</si>
  <si>
    <t>Nightmare / Pesadelo</t>
  </si>
  <si>
    <t>Creature — Nightmare Horse / Criatura — Pesadelo Cavalo</t>
  </si>
  <si>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</si>
  <si>
    <t>Nightmarish End / Fim Aterrador</t>
  </si>
  <si>
    <t>Target creature gets -X/-X until end of turn, where X is the number of cards in your hand. / A criatura alvo recebe -X/-X até o final do turno, sendo X o número de cards na sua mão.</t>
  </si>
  <si>
    <t>Nimble Hobbit / Hobbit Ágil</t>
  </si>
  <si>
    <t>Whenever Nimble Hobbit attacks, you may sacrifice a Food or pay {2}{W}. When you do, tap target creature an opponent controls. / Toda vez que Hobbit Ágil ataca, você pode sacrificar uma Comida ou pagar {2}{W}. Quando fizer isso, vire a criatura alvo que um oponente controla.</t>
  </si>
  <si>
    <t>Nimble Thopterist</t>
  </si>
  <si>
    <t>Creature — Vedalken Artificer</t>
  </si>
  <si>
    <t>When this creature enters, create a 1/1 colorless Thopter artifact creature token with flying.</t>
  </si>
  <si>
    <t>Nimbleclaw Adept / Adepto Garraveloz</t>
  </si>
  <si>
    <t>Creature — Dragon Wizard / Criatura — Dragão Mago</t>
  </si>
  <si>
    <t>Bigby's Hand — {T}: Untap two other target permanents. Activate only as a sorcery and only once each turn. / Mão de Bigby — {T}: Desvire duas outras permanentes alvo. Ative somente como um feitiço e uma única vez a cada turno.</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</si>
  <si>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</si>
  <si>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</si>
  <si>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</si>
  <si>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Nobody</t>
  </si>
  <si>
    <t>Artifact Creature — Human Hero</t>
  </si>
  <si>
    <t>When this creature enters, return up to one other target artifact you control to its owner's hand. Scry 1. (Look at the top card of your library. You may put that card on the bottom.)</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</si>
  <si>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</si>
  <si>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</si>
  <si>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</si>
  <si>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</si>
  <si>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Nocturnal Feeder</t>
  </si>
  <si>
    <t>Creature — Vampire Rogue</t>
  </si>
  <si>
    <t>Flying When this creature dies, each opponent loses 2 life and you gain 2 life.</t>
  </si>
  <si>
    <t>Nomad Outpost / Posto Avançado Nômade</t>
  </si>
  <si>
    <t>Nomad Outpost entra no campo de batalha virado. T: Adicione R, W ou B à sua reserva de mana.</t>
  </si>
  <si>
    <t>Noose Constrictor / Constritor da Forca</t>
  </si>
  <si>
    <t>Creature — Snake / Criatura — Cobra</t>
  </si>
  <si>
    <t>Reach Discard a card: This creature gets +1/+1 until end of turn. / Alcance Descarte um card: Constritor da Forca recebe +1/+1 até o final do turno.</t>
  </si>
  <si>
    <t>Norritt</t>
  </si>
  <si>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</si>
  <si>
    <t>North Pole Gates</t>
  </si>
  <si>
    <t>This land enters tapped. {T}: Add {W} or {U}. {4}, {T}, Sacrifice this land: Draw a card.</t>
  </si>
  <si>
    <t>North Pole Patrol</t>
  </si>
  <si>
    <t>{T}: Untap another target permanent you control. Waterbend {3}, {T}: Tap target creature an opponent controls. (While paying a waterbend cost, you can tap your artifacts and creatures to help. Each one pays for {1}.)</t>
  </si>
  <si>
    <t>Nós de Hithlain / Hithlain Knots</t>
  </si>
  <si>
    <t>Vire a criatura alvo. Use vidência 1. Compre um card.</t>
  </si>
  <si>
    <t>Nosy Goblin / Goblin Intrometido</t>
  </si>
  <si>
    <t>{T}, Sacrifice this creature: Destroy target face-down creature. / {T}, Sacrifique Goblin Intrometido: Destrói a criatura alvo com a face voltada para baixo.</t>
  </si>
  <si>
    <t>Novel Nunchaku</t>
  </si>
  <si>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</si>
  <si>
    <t>Noxious Assault / Assalto Nóxio</t>
  </si>
  <si>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</si>
  <si>
    <t>Noxious Grasp / Garras Nóxias</t>
  </si>
  <si>
    <t>Destroy target creature or planeswalker that's green or white. You gain 1 life. / Destrua a criatura ou o planeswalker alvo que seja verde ou branco. Você ganha 1 ponto de vida.</t>
  </si>
  <si>
    <t>Noxious Newt / Tritão Nocivo</t>
  </si>
  <si>
    <t>Creature — Salamander / Criatura — Salamandra</t>
  </si>
  <si>
    <t>Deathtouch. {T}: Add {G}. / Toque mortífero. {T}: Adicione {G}.</t>
  </si>
  <si>
    <t>Null Group Biological Assets</t>
  </si>
  <si>
    <t>Creature — Mutant Mercenary</t>
  </si>
  <si>
    <t>During your turn, this creature has first strike. Whenever this creature attacks, you may discard a card. If you do, draw a card.</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</si>
  <si>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</si>
  <si>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</si>
  <si>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Nutrient Block</t>
  </si>
  <si>
    <t>Indestructible (Effects that say "destroy" don't destroy this artifact.) {2}, {T}, Sacrifice this artifact: You gain 3 life. When this artifact is put into a graveyard from the battlefield, draw a card.</t>
  </si>
  <si>
    <t>Nyx Infusion / Infusão de Nyx</t>
  </si>
  <si>
    <t>Enchant creature Enchanted creature gets +2/+2 as long as it's an enchantment. Otherwise, it gets -2/-2. / Encantar criatura A criatura encantada recebe +2/+2 enquanto for um encantamento. Do contrário, ela recebe -2/-2.</t>
  </si>
  <si>
    <t>Nyx-Fleece Ram / Carneiro Velocino-de-Nyx</t>
  </si>
  <si>
    <t>Enchantment Creature — Sheep / Criatura Encantamento — Ovelha</t>
  </si>
  <si>
    <t>At the beginning of your upkeep, you gain 1 life. / No início de sua manutenção, você ganha 1 ponto de vida.</t>
  </si>
  <si>
    <t>Historic Anthology 2 (HA2)</t>
  </si>
  <si>
    <t>Nyxborn Brute / Bruto Nyxnato</t>
  </si>
  <si>
    <t>Enchantment Creature — Cyclops / Criatura Encantamento — Ciclope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</si>
  <si>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</si>
  <si>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</si>
  <si>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</si>
  <si>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{X}{G}</t>
  </si>
  <si>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</si>
  <si>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</si>
  <si>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</si>
  <si>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</si>
  <si>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</si>
  <si>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</si>
  <si>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</si>
  <si>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</si>
  <si>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</si>
  <si>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Oakheart Dryads / Dríades Coração-de-carvalho</t>
  </si>
  <si>
    <t>Enchantment Creature — Nymph Dryad / Criatura Encantamento — Ninfa Dríade</t>
  </si>
  <si>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</si>
  <si>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</si>
  <si>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</si>
  <si>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Oasis</t>
  </si>
  <si>
    <t>{T}: Prevent the next 1 damage that would be dealt to target creature this turn.</t>
  </si>
  <si>
    <t>Oath of Lim-Dûl / Juramento de Lim-Dûl</t>
  </si>
  <si>
    <t>Whenever you lose life, for each 1 life you lost, sacrifice a permanent other than this enchantment unless you discard a card. (Damage dealt to you causes you to lose life.) {B}{B}: Draw a card.</t>
  </si>
  <si>
    <t>Obelisco de Naya / Obelisk of Naya</t>
  </si>
  <si>
    <t>{T}: Adicione {R}, {G} ou {W} à sua reserva de mana.</t>
  </si>
  <si>
    <t>Obsianus Golem / Golem Obsianus</t>
  </si>
  <si>
    <t>Obsidian Acolyte</t>
  </si>
  <si>
    <t>Protection from Preto, {W}: Target creature gains protection from Preto until end of turn.</t>
  </si>
  <si>
    <t>Octopus Form</t>
  </si>
  <si>
    <t>Target creature you control gets +1/+1 and gains hexproof until end of turn. Untap it. (It can't be the target of spells or abilities your opponents control.)</t>
  </si>
  <si>
    <t>Ogre Battledriver / Condutor de Guerra Ogro</t>
  </si>
  <si>
    <t>Criatura — Ogro Guerreiro</t>
  </si>
  <si>
    <t>Toda vez que outra criatura entrar no campo de batalha sob o seu controle, aquela criatura receberá +2/+0 e ganhará ímpeto até o final do turno.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</si>
  <si>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</si>
  <si>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</si>
  <si>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</si>
  <si>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</si>
  <si>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</si>
  <si>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Old Hob, Alleycat Blues</t>
  </si>
  <si>
    <t>Legendary Creature — Cat Mutant Rebel</t>
  </si>
  <si>
    <t>At the beginning of combat on your turn, create a 2/2 red Mutant creature token. It gains haste until end of turn. Destroy it at the beginning of the next end step. {1}{W}: Target attacking creature token gains indestructible until end of turn.</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</si>
  <si>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</si>
  <si>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</si>
  <si>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</si>
  <si>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Olho do Peregrino / Pilgrim's Eye</t>
  </si>
  <si>
    <t>Criatura Artefato — Tóptero / Artifact Creature — Thopter</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</si>
  <si>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</si>
  <si>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Olifante / Oliphaunt</t>
  </si>
  <si>
    <t>Criatura — Elefante</t>
  </si>
  <si>
    <t>Atropelar. Toda vez que Olifante ataca, outra criatura alvo que você controla recebe +2/+0 e ganha atropelar até o final do turno. Reciclar Montanha {1}</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</si>
  <si>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</si>
  <si>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</si>
  <si>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</si>
  <si>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</si>
  <si>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Omni-Cheese Pizza</t>
  </si>
  <si>
    <t>When this artifact enters, draw a card. {1}, {T}, Sacrifice this artifact: Add one mana of any color. {2}, {T}, Sacrifice this artifact: You gain 3 life.</t>
  </si>
  <si>
    <t>On the Job / Ao Trabalho</t>
  </si>
  <si>
    <t>Creatures you control get +2/+1 until end of turn. Investigate. (Create a Clue token. It's an artifact with "{2}, Sacrifice this token: Draw a card.") / As criaturas que você controla recebem +2/+1 até o final do turno. Investigue.</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</si>
  <si>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</si>
  <si>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</si>
  <si>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</si>
  <si>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Oni of Wild Places / Oni de Lugares Selvagens</t>
  </si>
  <si>
    <t>Criatura — Demônio Espírito</t>
  </si>
  <si>
    <t>Ímpeto. No início da sua manutenção, devolva uma criatura vermelha que você controla para a mão de seu dono.</t>
  </si>
  <si>
    <t>Onslaught / Investida Violenta</t>
  </si>
  <si>
    <t>Whenever you cast a creature spell, tap target creature.</t>
  </si>
  <si>
    <t>Exodus (EXO)</t>
  </si>
  <si>
    <t>Onulet / Onuleto</t>
  </si>
  <si>
    <t>When this creature dies, you gain 2 life.</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</si>
  <si>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</si>
  <si>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</si>
  <si>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</si>
  <si>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</si>
  <si>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</si>
  <si>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</si>
  <si>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Ooze Spill</t>
  </si>
  <si>
    <t>Counter target spell. Create a Mutagen token. (It's an artifact with "{1}, {T}, Sacrifice this token: Put a +1/+1 counter on target creature. Activate only as a sorcery.")</t>
  </si>
  <si>
    <t>Opal Lake Gatekeepers / Porteiros do Lago de Opala</t>
  </si>
  <si>
    <t>Creature — Vedalken Soldier / Criatura — Vedalkeano Soldado</t>
  </si>
  <si>
    <t>When this creature enters, if you control two or more Gates, you may draw a card. / Quando Porteiros do Lago de Opala entrar no campo de batalha, se você controlar dois ou mais Portões, poderá comprar um card.</t>
  </si>
  <si>
    <t>Oppressive Rays / Raios Opressores</t>
  </si>
  <si>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</si>
  <si>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</si>
  <si>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</si>
  <si>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Orazca Frillback / Dorso-frisado de Orazca</t>
  </si>
  <si>
    <t>Orcish Artillery / Artilharia Órquica</t>
  </si>
  <si>
    <t>{T}: This creature deals 2 damage to any target and 3 damage to you. / {T}: Artilharia Órquica causa 2 pontos de dano à criatura ou ao jogador alvo e 3 pontos de dano a você.</t>
  </si>
  <si>
    <t>Orcish Cannonade / Canoneio Orc</t>
  </si>
  <si>
    <t>Canoneio Orc causa 2 de dano à criatura ou ao jogador alvo e 3 de dano a você. Compre um card.</t>
  </si>
  <si>
    <t>Orcish Conscripts / Recrutas Orcs</t>
  </si>
  <si>
    <t>This creature can't attack unless at least two other creatures attack. This creature can't block unless at least two other creatures block.</t>
  </si>
  <si>
    <t>Orcish Farmer / Fazendeiro Orc</t>
  </si>
  <si>
    <t>{T}: Target land becomes a Swamp until its controller's next untap step.</t>
  </si>
  <si>
    <t>Orcish Librarian / Bibliotecário Orc</t>
  </si>
  <si>
    <t>Creature — Orc / Criatura — Orc</t>
  </si>
  <si>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</si>
  <si>
    <t>Orcish Veteran</t>
  </si>
  <si>
    <t>This creature can't block white creatures with power 2 or greater. {R}: This creature gains first strike until end of turn.</t>
  </si>
  <si>
    <t>Oread of Mountain's Blaze / Oréade da Labareda Montanhesca</t>
  </si>
  <si>
    <t>{2}{R}, Discard a card: Draw a card. / {2}{R}, descarte um card: Compre um card.</t>
  </si>
  <si>
    <t>Oreplate Pangolin / Pangolim das Placas de Minério</t>
  </si>
  <si>
    <t>Criatura Artefato — Robô Pangolim</t>
  </si>
  <si>
    <t>Sempre que um outro artefato que você controla entrar, você pode pagar {1}. Se fizer isso, coloque um marcador +1/+1 nesta criatura.</t>
  </si>
  <si>
    <t>Oreskos Swiftclaw / Garra-veloz de Oreskos</t>
  </si>
  <si>
    <t>Creature — Cat Warrior / Criatura — Felino Guerreiro</t>
  </si>
  <si>
    <t>Orim's Cure / Cura de Orim</t>
  </si>
  <si>
    <t>If you control a Plains, you may tap an untapped creature you control rather than pay this spell's mana cost. Prevent the next 4 damage that would be dealt to any target this turn.</t>
  </si>
  <si>
    <t>Ornithopter</t>
  </si>
  <si>
    <t>Ornithopter / Ornitóptero</t>
  </si>
  <si>
    <t>Artifact Creature — Thopter / Criatura Artefato — Tóptero</t>
  </si>
  <si>
    <t>Flying / Voar (Esta criatura só pode ser bloqueada por criaturas com voar ou alcance.)</t>
  </si>
  <si>
    <t>Orochi Leafcaller / Invocador de Folhas Orochi</t>
  </si>
  <si>
    <t>Creature — Snake Shaman / Criatura — Cobra Xamã</t>
  </si>
  <si>
    <t>{G}: Add one mana of any color to your mana pool. / {G}: Adicione um mana de qualquer cor à sua reserva de mana.</t>
  </si>
  <si>
    <t>Orochi Ranger</t>
  </si>
  <si>
    <t>Creature — Snake Warrior</t>
  </si>
  <si>
    <t>Whenever Orochi Ranger deals combat damage to a creature, tap that creature and it doesn't untap during its controller's next untap step.</t>
  </si>
  <si>
    <t>Orochi Sustainer / Orochi Chama-Folhas</t>
  </si>
  <si>
    <t>Creature — Snake Shaman</t>
  </si>
  <si>
    <t>{T}: Add {G} to your mana pool.</t>
  </si>
  <si>
    <t>Oroku Saki, Shredder Rising</t>
  </si>
  <si>
    <t>Sneak {1}{B} (You may cast this spell for {1}{B} if you also return an unblocked attacker you control to hand during the declare blockers step. He enters tapped and attacking.) Whenever Oroku Saki deals combat damage to a player, you draw a card and lose 1 life.</t>
  </si>
  <si>
    <t>Orphans of the Wheat</t>
  </si>
  <si>
    <t>Whenever this creature attacks, tap any number of untapped creatures you control. This creature gets +1/+1 until end of turn for each creature tapped this way.</t>
  </si>
  <si>
    <t>Orzhov Guildgate / Portão da Guilda Orzhov</t>
  </si>
  <si>
    <t>This land enters tapped. {T}: Add {W} or {B}. / Portão da Guilda Orzhov entra no campo de batalha virado. {T}: Adicione {W} ou {B}.</t>
  </si>
  <si>
    <t>Orzhov Pontiff / Pontífice Orzhov</t>
  </si>
  <si>
    <t>Creature — Human Cleric / Criatura — Clérigo Humano</t>
  </si>
  <si>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</si>
  <si>
    <t>Os Portos Cinzentos / The Grey Havens</t>
  </si>
  <si>
    <t>Terreno Lendário</t>
  </si>
  <si>
    <t>Quando Os Portos Cinzentos entrar no campo de batalha, use vidência 1. {T}: Adicione {C}. {T}: Adicione um mana de qualquer cor entre as dos cards de criatura lendários em seu cemitério.</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</si>
  <si>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</si>
  <si>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</si>
  <si>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</si>
  <si>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</si>
  <si>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</si>
  <si>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Otter-Penguin</t>
  </si>
  <si>
    <t>Creature — Otter Bird</t>
  </si>
  <si>
    <t>Whenever you draw your second card each turn, this creature gets +1/+2 until end of turn and can't be blocked this turn.</t>
  </si>
  <si>
    <t>Out Cold / Inconsciente</t>
  </si>
  <si>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</si>
  <si>
    <t>Outcaster Greenblade / Laminaverde Renegado</t>
  </si>
  <si>
    <t>Creature — Human Mercenary / Criatura — Humano Mercenário</t>
  </si>
  <si>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</si>
  <si>
    <t>Overkill</t>
  </si>
  <si>
    <t>Target creature gets -0/-9999 until end of turn.</t>
  </si>
  <si>
    <t>Final Fantasy (FFX)</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</si>
  <si>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</si>
  <si>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</si>
  <si>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Oviya Pashiri, Sage Lifecrafter / Oviya Pashiri, Sábia Vivideira</t>
  </si>
  <si>
    <t>Legendary Creature — Human Artificer / Criatura Lendária — Humano Artesão</t>
  </si>
  <si>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</si>
  <si>
    <t>Ovo de Ouro / Golden Egg</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</si>
  <si>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</si>
  <si>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Owlin Historian</t>
  </si>
  <si>
    <t>Flying When this creature enters, surveil 1. (Look at the top card of your library. You may put it into your graveyard.) Whenever one or more cards leave your graveyard, this creature gets +1/+1 until end of turn.</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</si>
  <si>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</si>
  <si>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</si>
  <si>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</si>
  <si>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{3}{W}{B}</t>
  </si>
  <si>
    <t>Pacifism / Pacifismo</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</si>
  <si>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</si>
  <si>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</si>
  <si>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</si>
  <si>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</si>
  <si>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Painter's Studio // Defaced Gallery</t>
  </si>
  <si>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</si>
  <si>
    <t>{2}{R} // {1}{R}</t>
  </si>
  <si>
    <t>Paladin's Arms</t>
  </si>
  <si>
    <t>Job select (When this Equipment enters, create a 1/1 colorless Hero creature token, then attach this to it.) Equipped creature gets +2/+1, has ward 1, and is a Knight in addition to its other types. Lightbringer and Hero's Shield — Equip 4</t>
  </si>
  <si>
    <t xml:space="preserve">Não </t>
  </si>
  <si>
    <t>Panic / Pânico</t>
  </si>
  <si>
    <t>Cast this spell only during combat before blockers are declared. Target creature can't block this turn. Draw a card at the beginning of the next turn's upkeep.</t>
  </si>
  <si>
    <t>Pantheon's Altar / Altar do Panteão</t>
  </si>
  <si>
    <t>Your devotion to each color and each color combination is increased by one. {T}: Add one mana of any color. If you control a God, Demigod, or legendary enchantment, you gain 1 life.</t>
  </si>
  <si>
    <t>Paralyze / Paralizar</t>
  </si>
  <si>
    <t>Enchant creature When this Aura enters, tap enchanted creature. Enchanted creature doesn't untap during its controller's untap step. At the beginning of the upkeep of enchanted creature's controller, that player may pay {4}. If the player does, untap the creature.</t>
  </si>
  <si>
    <t>Paramecia Coloniex</t>
  </si>
  <si>
    <t>Creature — Zombie Worm</t>
  </si>
  <si>
    <t>When this creature enters, mill three cards. (Put the top three cards of your library into your graveyard.) When this creature dies, you may exile it. When you do, put target creature card from your graveyard on top of your library.</t>
  </si>
  <si>
    <t>Parish-Blade Trainee / Recruta Lâmina Paroquial</t>
  </si>
  <si>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</si>
  <si>
    <t>Passageway Seer / Vidente da Passagem</t>
  </si>
  <si>
    <t>Creature — Tiefling Warlock / Criatura — Tiferino Bruxo</t>
  </si>
  <si>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</si>
  <si>
    <t>Path to Redemption</t>
  </si>
  <si>
    <t>Enchant creature Enchanted creature can't attack or block. {5}, Sacrifice this Aura: Exile enchanted creature. Create a 1/1 white Ally creature token. Activate only during your turn.</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</si>
  <si>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</si>
  <si>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</si>
  <si>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Pay No Heed / Desconsiderar</t>
  </si>
  <si>
    <t>Prevent all damage a source of your choice would deal this turn. / Previna todo o dano que uma fonte à sua escolha causaria neste turno.</t>
  </si>
  <si>
    <t>Pearled Unicorn / Unicórnio Perolado</t>
  </si>
  <si>
    <t>None. / Nenhuma.</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</si>
  <si>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</si>
  <si>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</si>
  <si>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</si>
  <si>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</si>
  <si>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Pentagram of the Ages / Pentagrama das Eras</t>
  </si>
  <si>
    <t>{4}, {T}: The next time a source of your choice would deal damage to you this turn, prevent that damage.</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</si>
  <si>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</si>
  <si>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</si>
  <si>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</si>
  <si>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t>
  </si>
  <si>
    <t>Peregrin Tûk / Peregrin Took</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</si>
  <si>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</si>
  <si>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Perfect Intimidation</t>
  </si>
  <si>
    <t>Choose one or both — Target opponent exiles two cards from their hand. Remove all counters from target creature.</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</si>
  <si>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</si>
  <si>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</si>
  <si>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</si>
  <si>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</si>
  <si>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</si>
  <si>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</si>
  <si>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Persistent Petitioners / Peticionários Persistentes</t>
  </si>
  <si>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</si>
  <si>
    <t>Persistent Specimen / Espécime Persistente</t>
  </si>
  <si>
    <t>{2}{B}: Return this card from your graveyard to the battlefield tapped. / {2}{B}: Devolva Espécime Persistente de seu cemitério para o campo de batalha virado.</t>
  </si>
  <si>
    <t>Personify</t>
  </si>
  <si>
    <t>Exile target creature you control, then return that card to the battlefield under its owner's control. Create a 1/1 colorless Shapeshifter creature token with changeling. (It's every creature type.)</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</si>
  <si>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</si>
  <si>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</si>
  <si>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</si>
  <si>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</si>
  <si>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</si>
  <si>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</si>
  <si>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Pestilence / Pestilência</t>
  </si>
  <si>
    <t>{B}: Do 1 damage to each creature and to both players. If there are no creatures in play at the end of any turn, Pestilence must be discarded.</t>
  </si>
  <si>
    <t>At the beginning of the end step, if no creatures are on the battlefield, sacrifice this enchantment. {B}: This enchantment deals 1 damage to each creature and each player.</t>
  </si>
  <si>
    <t>Quarta edição</t>
  </si>
  <si>
    <t>Pestilence Rats / Ratos da Peste</t>
  </si>
  <si>
    <t>Pestilence Rats's power is equal to the number of other Rats on the battlefield. (For example, as long as there are two other Rats on the battlefield, Pestilence Rats's power and toughness are 2/3.)</t>
  </si>
  <si>
    <t>Pests of Honor / Pragas de Honra</t>
  </si>
  <si>
    <t>Creature — Mouse / Criatura — Camundongo</t>
  </si>
  <si>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</si>
  <si>
    <t>Phalanx Formation / Formação de Falange</t>
  </si>
  <si>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</si>
  <si>
    <t>Phantom Train / Trem Fantasma</t>
  </si>
  <si>
    <t>Atropelar. Sacrifique outro artefato ou criatura: Coloque um marcador +1/+1 neste Veículo. Ele se torna uma criatura artefato Espírito além de seus outros tipos até o final do turno.</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</si>
  <si>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</si>
  <si>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</si>
  <si>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Pharika, God of Affliction / Fárica, Deusa do Padecimento</t>
  </si>
  <si>
    <t>Legendary Enchantment Creature — God / Criatura Encantamento Lendária — Deus</t>
  </si>
  <si>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</si>
  <si>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Pharika's Chosen / Escolhida de Fárica</t>
  </si>
  <si>
    <t>Deathtouch (Any amount of damage this deals to a creature is enough to destroy it.) / Toque mortífero (Qualquer quantidade de dano que esta criatura cause a uma criatura é suficiente para destruí-la.)</t>
  </si>
  <si>
    <t>Pheres-Band Thunderhoof / Casco-de-trovão do Bando Feres</t>
  </si>
  <si>
    <t>Heroic — Whenever you cast a spell that targets this creature, put two +1/+1 counters on this creature. / Heroico — Toda vez que você conjurar uma mágica cujo alvo seja Casco-de-trovão do Bando Feres, coloque dois marcadores +1/+1 em Casco-de-trovão do Bando Feres.</t>
  </si>
  <si>
    <t>Phoenix Down / Pluma de Fênix</t>
  </si>
  <si>
    <t>{1}{W}, {T}, Exile este artefato: Escolha um — • Devolva o card de criatura alvo com valor de mana igual ou inferior a 4 de seu cemitério para o campo de batalha virado. • Exile o Esqueleto, Espírito ou Zumbi alvo.</t>
  </si>
  <si>
    <t>Phyrexian Debaser / Degradador Phyrexiano</t>
  </si>
  <si>
    <t>Creature — Phyrexian Carrier / Criatura — Phyrexiano Portador</t>
  </si>
  <si>
    <t>Flying {T}, Sacrifice this creature: Target creature gets -2/-2 until end of turn. / Voar {T}, sacrifique Degradador Phyrexiano: A criatura alvo recebe -2/-2 até o final do turno.</t>
  </si>
  <si>
    <t>Phyrexian Rager / Raivoso Phyrexiano</t>
  </si>
  <si>
    <t>Creature — Phyrexian Horror / Criatura — Phyrexiano Horror</t>
  </si>
  <si>
    <t>When this creature enters, you draw a card and you lose 1 life. / Quando Raivoso Phyrexiano entra no campo de batalha, você compra um card e perde 1 ponto de vida.</t>
  </si>
  <si>
    <t>Pianna, Nomad Captain / Pianna, Capitã Nômade</t>
  </si>
  <si>
    <t>Legendary Creature — Human Nomad / Criatura Lendária — Humano Nômade</t>
  </si>
  <si>
    <t>Whenever Pianna attacks, attacking creatures get +1/+1 until end of turn. / Toda vez que Pianna, Capitã Nômade ataca, as criaturas atacantes recebem +1/+1 até o final do turno.</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</si>
  <si>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</si>
  <si>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</si>
  <si>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</si>
  <si>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</si>
  <si>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Piedade / Mercy</t>
  </si>
  <si>
    <t>Todas as criaturas que estiverem bloqueando ganharão +0/+3 até o final do turno.</t>
  </si>
  <si>
    <t>Piedade / Piety</t>
  </si>
  <si>
    <t>Todas as criaturas que estiverem bloqueando ganharão +0/+3 até o final do turno. / All creatures currently blocking get +0/+3 until end of turn.</t>
  </si>
  <si>
    <t>Piggy Bank</t>
  </si>
  <si>
    <t>Artifact Creature — Boar Toy</t>
  </si>
  <si>
    <t>When this creature dies, create a Treasure token. (It's an artifact with "{T}, Sacrifice this token: Add one mana of any color.")</t>
  </si>
  <si>
    <t>Pilfering Imp / Diabrete Afanador</t>
  </si>
  <si>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</si>
  <si>
    <t>Pilgrim of Virtue / Peregrino da Virtude</t>
  </si>
  <si>
    <t>Creature — Human Cleric / Criatura — Clérigo</t>
  </si>
  <si>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</si>
  <si>
    <t>Pillar Launch</t>
  </si>
  <si>
    <t>Target creature gets +2/+2 and gains reach until end of turn. Untap it.</t>
  </si>
  <si>
    <t>Pillar of Flame / Pilar de Chamas</t>
  </si>
  <si>
    <t>Pilar de Chamas causa 2 de dano à criatura ou ao jogador alvo. Se uma criatura que sofreu dano desta forma fosse morrer neste turno, em vez disso, exile-a.</t>
  </si>
  <si>
    <t>Avacyn Restored</t>
  </si>
  <si>
    <t>Piqueiros / Pikemen</t>
  </si>
  <si>
    <t>Invocação de Piqueiros / Summon Pikemen</t>
  </si>
  <si>
    <t>Formar Bando, Iniciativa / Banding, First Strike</t>
  </si>
  <si>
    <t>Pit Scorpion / Escorpião das Profundezas</t>
  </si>
  <si>
    <t>Creature — Scorpion</t>
  </si>
  <si>
    <t>Whenever this creature deals damage to a player, that player gets a poison counter. (A player with ten or more poison counters loses the game.)</t>
  </si>
  <si>
    <t>Pitiless Pontiff / Pontífice Impiedosa</t>
  </si>
  <si>
    <t>Creature — Vampire Cleric / Criatura — Vampiro Clérigo</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</si>
  <si>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</si>
  <si>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Pitiless Vizier / Vizir Impiedosa</t>
  </si>
  <si>
    <t>Creature — Minotaur Cleric / Criatura — Minotauro Clérigo</t>
  </si>
  <si>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</si>
  <si>
    <t>Pizza Face, Gastromancer</t>
  </si>
  <si>
    <t>Legendary Artifact Creature — Food Mutant</t>
  </si>
  <si>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</si>
  <si>
    <t>Plague Beetle / Besouro Pestilento</t>
  </si>
  <si>
    <t>Swampwalk (This creature can't be blocked as long as defending player controls a Swamp.) / Travessia de Pântano (Esta criatura não pode ser bloqueada desde que o jogador defensor controle um Pântano.)</t>
  </si>
  <si>
    <t>Plague Rats / Ratos Pestilentos</t>
  </si>
  <si>
    <t>Plague Rats's power and toughness are each equal to the number of creatures named Plague Rats on the battlefield.</t>
  </si>
  <si>
    <t>Plains / Planície</t>
  </si>
  <si>
    <t>Basic Land — Plains / Terreno Básico — Planície</t>
  </si>
  <si>
    <t>({T}: Add {W}.) / W</t>
  </si>
  <si>
    <t>Core Set 2021</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</si>
  <si>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</si>
  <si>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</si>
  <si>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</si>
  <si>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</si>
  <si>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</si>
  <si>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{1}{G/U}</t>
  </si>
  <si>
    <t>Plummet / Tombar</t>
  </si>
  <si>
    <t>Destroy target creature with flying. / Destrua a criatura alvo com voar.</t>
  </si>
  <si>
    <t>Plundering Pirate / Pirata a Pilhar</t>
  </si>
  <si>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</si>
  <si>
    <t>Pódio dos Heróis / Heroes' Podium</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</si>
  <si>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</si>
  <si>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Poison the Waters / Envenenar as Águas</t>
  </si>
  <si>
    <t>Escolha um — • Todas as criaturas recebem -1/-1 até o final do turno. • O jogador alvo revela a própria mão. Você escolhe um card de criatura ou de artefato dela. Aquele jogador descarta aquele card.</t>
  </si>
  <si>
    <t>Pollenbright Druid / Druida do Pólen Brilhante</t>
  </si>
  <si>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</si>
  <si>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Polvo Caçador de Deuses</t>
  </si>
  <si>
    <t>Criatura — Polvo</t>
  </si>
  <si>
    <t>Polvo Caçador de Deuses não pode atacar a menos que o jogador defensor controle um encantamento ou uma permanente encantada.</t>
  </si>
  <si>
    <t>Popular Entertainer / Artista Popular</t>
  </si>
  <si>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</si>
  <si>
    <t>Porcelain Zealot / Zelote de Porcelana</t>
  </si>
  <si>
    <t>Creature — Phyrexian Soldier / Criatura — Phyrexiano Soldado</t>
  </si>
  <si>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</si>
  <si>
    <t>Porrete Improvisado / Improvised Club</t>
  </si>
  <si>
    <t>Como custo adicional para conjurar esta mágica, sacrifique um artefato ou uma criatura. Porrete Improvisado causa 4 pontos de dano a qualquer alvo.</t>
  </si>
  <si>
    <t>Portal Mage / Maga do Portal</t>
  </si>
  <si>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</si>
  <si>
    <t>Portão da Guilda Rakdos</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</si>
  <si>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</si>
  <si>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Simic</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</si>
  <si>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</si>
  <si>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</si>
  <si>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Possessed Goat</t>
  </si>
  <si>
    <t>{3}, Discard a card: Put three +1/+1 counters on this creature and it becomes a black Demon in addition to its other colors and types. Activate only once.</t>
  </si>
  <si>
    <t>Pothole Mole</t>
  </si>
  <si>
    <t>Creature — Mole</t>
  </si>
  <si>
    <t>When this creature enters, mill three cards, then you may return a land card from your graveyard to your hand. (To mill three cards, put the top three cards of your library into your graveyard.)</t>
  </si>
  <si>
    <t>Poultrygeist</t>
  </si>
  <si>
    <t>Flying. Whenever a creature is put into any graveyard from play, you may roll a six-sided die. On a 1, sacrifice Poultrygeist. Otherwise, put a +1/+1 counter on Poultrygeist.</t>
  </si>
  <si>
    <t>Power Armor / Armadura do Poder</t>
  </si>
  <si>
    <t>Domain — {3}, {T}: Target creature gets +1/+1 until end of turn for each basic land type among lands you control.</t>
  </si>
  <si>
    <t>Powerful Broker / Corretor Poderoso</t>
  </si>
  <si>
    <t>Criatura — Humano Vilão</t>
  </si>
  <si>
    <t>{T}: Para cada tipo de marcador na permanente ou jogador alvo, dê àquela permanente ou jogador outro marcador daquele tipo. Ative apenas como um feitiço.</t>
  </si>
  <si>
    <t>Precise Strike / Golpe Preciso</t>
  </si>
  <si>
    <t>Target creature gets +1/+0 and gains first strike until end of turn. / A criatura alvo recebe +1/+0 e ganha iniciativa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</si>
  <si>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</si>
  <si>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</si>
  <si>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Predator, Flagship / Predador, Nau Capitânia</t>
  </si>
  <si>
    <t>Legendary Artifact</t>
  </si>
  <si>
    <t>{2}: Target creature gains flying until end of turn. {5}, {T}: Destroy target creature with flying.</t>
  </si>
  <si>
    <t>Commander 2014 (C14)</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</si>
  <si>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</si>
  <si>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</si>
  <si>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</si>
  <si>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4{G}</t>
  </si>
  <si>
    <t>Pretending Poxbearers</t>
  </si>
  <si>
    <t>When this creature dies, create a 1/1 white Ally creature token.</t>
  </si>
  <si>
    <t>Preto Chocobo / Chocobo Preto</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</si>
  <si>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</si>
  <si>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</si>
  <si>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</si>
  <si>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Preto Waltz No. 3 / Valsa Negra N.º 3</t>
  </si>
  <si>
    <t>Voar, toque mortífero. Sempre que você conjurar uma mágica que não seja de criatura, Valsa Negra N.º 3 causa 2 de dano a cada oponente.</t>
  </si>
  <si>
    <t>2BR</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</si>
  <si>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</si>
  <si>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</si>
  <si>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Price of Freedom</t>
  </si>
  <si>
    <t>Destroy target artifact or land an opponent controls. Its controller may search their library for a basic land card, put it onto the battlefield tapped, then shuffle. Draw a card.</t>
  </si>
  <si>
    <t>Prickly Boggart / Papão Espinhoso</t>
  </si>
  <si>
    <t>Fear (This creature can't be blocked except by artifact creatures and/or black creatures.) / Amedrontar</t>
  </si>
  <si>
    <t>Prideful Feastling</t>
  </si>
  <si>
    <t>Changeling (This card is every creature type.) Lifelink</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</si>
  <si>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</si>
  <si>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</si>
  <si>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Priest of the Haunted Edge / Sacerdote da Fronteira Assombrada</t>
  </si>
  <si>
    <t>Snow Creature — Zombie Cleric / Criatura da Neve — Zumbi Clérigo</t>
  </si>
  <si>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</si>
  <si>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</si>
  <si>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</si>
  <si>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</si>
  <si>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</si>
  <si>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</si>
  <si>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Primordial Pachyderm</t>
  </si>
  <si>
    <t>Creature — Elephant Avatar</t>
  </si>
  <si>
    <t>Reach, trample When this creature enters, you gain 2 life.</t>
  </si>
  <si>
    <t>Primordial Wurm / Vorme Primordial</t>
  </si>
  <si>
    <t>Creature — Wurm / Criatura — Vorme</t>
  </si>
  <si>
    <t>Prince Imrahil the Fair / Príncipe Imrahil, o Belo</t>
  </si>
  <si>
    <t>Whenever you draw your second card each turn, create a 1/1 white Human Soldier creature token. / Toda vez que você comprar seu segundo card a cada turno, crie uma ficha de criatura Humano Soldado branca 1/1.</t>
  </si>
  <si>
    <t>Príncipe Imrahil, o Belo / Prince Imrahil the Fair</t>
  </si>
  <si>
    <t>Toda vez que você comprar seu segundo card a cada turno, crie uma ficha de criatura Humano Soldado branca 1/1.</t>
  </si>
  <si>
    <t>Prishe's Wanderings</t>
  </si>
  <si>
    <t>Search your library for a basic land card or Town card, put it onto the battlefield tapped, then shuffle. When you search your library this way, put a +1/+1 counter on target creature you control.</t>
  </si>
  <si>
    <t>Prisma Profético / Prophetic Prism</t>
  </si>
  <si>
    <t>When Prophetic Prism enters the battlefield, draw a card. {1}, {T}: Add one mana of any color. / Quando Prisma Profético entrar no campo de batalha, compre um card. {1}, {T}: Adicione um mana de qualquer cor.</t>
  </si>
  <si>
    <t>Quando Prisma Profético entrar no campo de batalha, compre um card. {1}, {T}: Adicione um mana de qualquer cor à sua reserva de mana.</t>
  </si>
  <si>
    <t>Prismatic Wardrobe</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</si>
  <si>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</si>
  <si>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Prison Realm / Reino de Aprisionamento</t>
  </si>
  <si>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</si>
  <si>
    <t>Pristine Talisman / Talismã Imaculado</t>
  </si>
  <si>
    <t>{T}: Add {C}. You gain 1 life. / {T}: Adicione {1} à sua reserva de mana. Você ganha 1 ponto de vida.</t>
  </si>
  <si>
    <t>The Brothers' War Retro Artifacts (BRR)</t>
  </si>
  <si>
    <t>Private Eye / Olheiro Particular</t>
  </si>
  <si>
    <t>Creature — Homunculus Detective / Criatura — Homúnculo Detetive</t>
  </si>
  <si>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</si>
  <si>
    <t>Prized Statue / Estátua Cobiçada</t>
  </si>
  <si>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</si>
  <si>
    <t>Professor Zei, Anthropologist</t>
  </si>
  <si>
    <t>{T}, Discard a card: Draw a card. {1}, {T}, Sacrifice Professor Zei: Return target instant or sorcery card from your graveyard to your hand. Activate only during your turn.</t>
  </si>
  <si>
    <t>{U/R}{U/R}</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</si>
  <si>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</si>
  <si>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</si>
  <si>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</si>
  <si>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</si>
  <si>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</si>
  <si>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</si>
  <si>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</si>
  <si>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</si>
  <si>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</si>
  <si>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</si>
  <si>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Prophetic Bolt / Raio Profético</t>
  </si>
  <si>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</si>
  <si>
    <t>Protective Response</t>
  </si>
  <si>
    <t>Convoke (Your creatures can help cast this spell. Each creature you tap while casting this spell pays for {1} or one mana of that creature's color.) Destroy target attacking or blocking creature.</t>
  </si>
  <si>
    <t>Protector of Gondor / Protetor de Gondor</t>
  </si>
  <si>
    <t>When Protector of Gondor enters the battlefield, create a 1/1 white Human Soldier creature token. / Quando Protetor de Gondor entrar no campo de batalha, crie uma ficha de criatura Humano Soldado branca 1/1.</t>
  </si>
  <si>
    <t>Prowcatcher Specialist</t>
  </si>
  <si>
    <t>Haste Exhaust — {3}{R}: Put two +1/+1 counters on this creature. (Activate each exhaust ability only once.)</t>
  </si>
  <si>
    <t>Psionic Snoop / Bisbilhoteira Psiônica</t>
  </si>
  <si>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</si>
  <si>
    <t>Psychic Whorl</t>
  </si>
  <si>
    <t>Target opponent discards two cards. Then if you control a Rat, surveil 2. (Look at the top two cards of your library, then put any number of them into your graveyard and the rest on top of your library in any order.)</t>
  </si>
  <si>
    <t>Pterafractyl</t>
  </si>
  <si>
    <t>Creature — Dinosaur Fractal</t>
  </si>
  <si>
    <t>Flying This creature enters with X +1/+1 counters on it. When this creature enters, you gain 2 life.</t>
  </si>
  <si>
    <t>{X}{G}{U}</t>
  </si>
  <si>
    <t>1/0</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</si>
  <si>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</si>
  <si>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</si>
  <si>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</si>
  <si>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Pterodon Knight / Cavaleira de Pterodontes</t>
  </si>
  <si>
    <t>This creature has flying as long as you control a Dinosaur. / Cavaleira de Pterodontes terá voar enquanto você controlar um Dinossauro.</t>
  </si>
  <si>
    <t>Puca's Eye</t>
  </si>
  <si>
    <t>When this artifact enters, draw a card, then choose a color. This artifact becomes the chosen color. {3}, {T}: Draw a card. Activate only if there are five colors among permanents you control.</t>
  </si>
  <si>
    <t>Pull Through the Weft / Atravessar a Trama</t>
  </si>
  <si>
    <t>Devolva até dois cards de permanente não de terreno alvos de seu cemitério para sua mão, depois devolva até dois cards de terreno alvos de seu cemitério para o campo de batalha virados.</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</si>
  <si>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</si>
  <si>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</si>
  <si>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</si>
  <si>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Punk Frogs</t>
  </si>
  <si>
    <t>Creature — Frog Mutant Rebel</t>
  </si>
  <si>
    <t>Ward {3} (Whenever this creature becomes the target of a spell or ability an opponent controls, counter it unless that player pays {3}.)</t>
  </si>
  <si>
    <t>{3}{G/U}{G/U}</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</si>
  <si>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</si>
  <si>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</si>
  <si>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</si>
  <si>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Purge the Profane / Purgar o Profano</t>
  </si>
  <si>
    <t>Target opponent discards two cards and you gain 2 life. / O oponente alvo descarta dois cards e você ganha 2 pontos de vida.</t>
  </si>
  <si>
    <t>Purple Dragon Punks</t>
  </si>
  <si>
    <t>{T}: Add {R}. Spend this mana only to cast an artifact spell or to activate an ability.</t>
  </si>
  <si>
    <t>Pursue the Past</t>
  </si>
  <si>
    <t>You gain 2 life. You may discard a card. If you do, draw two cards. Flashback {2}{R}{W} (You may cast this card from your graveyard for its flashback cost. Then exile it.)</t>
  </si>
  <si>
    <t>Putrefy</t>
  </si>
  <si>
    <t>Destroy target artifact or creature. It can't be regenerated.</t>
  </si>
  <si>
    <t>Preto, Green</t>
  </si>
  <si>
    <t>Putrid Pals</t>
  </si>
  <si>
    <t>Creature — Human Ooze Mutant</t>
  </si>
  <si>
    <t>Deathtouch Disappear — This creature enters with two +1/+1 counters on it if a permanent left the battlefield under your control this turn.</t>
  </si>
  <si>
    <t>{2}{B/G}{B/G}</t>
  </si>
  <si>
    <t>Pyroclasm / Piroclasma</t>
  </si>
  <si>
    <t>Pyroclasm deals 2 damage to each creature. / Piroclasma causa 2 de dano a cada criatura.</t>
  </si>
  <si>
    <t>Pyrotechnics / Pirotécnica</t>
  </si>
  <si>
    <t>Pyrotechnics deals 4 damage divided as you choose among any number of targets. / Pirotécnica causa 4 pontos de dano, distribuídos a sua escolha entre um número qualquer de criaturas e/ou jogadores alvo.</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</si>
  <si>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</si>
  <si>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</si>
  <si>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Qiqirn Merchant / Mercador Qiqirn</t>
  </si>
  <si>
    <t>Criatura — Besta Cidadão</t>
  </si>
  <si>
    <t>{1}, {T}: Compre um card e depois descarte um card. {7}, {T}, Sacrifique esta criatura: Compre três cards. Esta habilidade custa {1} a menos para ser ativada para cada Cidade que você controla.</t>
  </si>
  <si>
    <t>Quaketusk Boar</t>
  </si>
  <si>
    <t>Creature — Elemental Boar</t>
  </si>
  <si>
    <t>Reach, trample, haste</t>
  </si>
  <si>
    <t>Quandrix Charm / Amuleto de Quandrix</t>
  </si>
  <si>
    <t>Escolha um — • Anule a mágica alvo, a menos que seu controlador pague {2}. • Destrua o encantamento alvo. • A criatura alvo tem poder e resistência básicos 5/5 até o final do turno.</t>
  </si>
  <si>
    <t>Quarry Colossus / Colosso da Pedreira</t>
  </si>
  <si>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</si>
  <si>
    <t>Queen Brahne / Rainha Brahne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</si>
  <si>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</si>
  <si>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</si>
  <si>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</si>
  <si>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</si>
  <si>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Quench / Arrefecer</t>
  </si>
  <si>
    <t>Counter target spell unless its controller pays {2}. / Anule a mágica alvo, a menos que seu controlador pague {2}.</t>
  </si>
  <si>
    <t>Quick Study / Estudo Rápido</t>
  </si>
  <si>
    <t>Quick-Draw Katana</t>
  </si>
  <si>
    <t>During your turn, equipped creature gets +2/+0 and has first strike. (It deals combat damage before creatures without first strike.) Equip {2} ({2}: Attach to target creature you control. Equip only as a sorcery.)</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</si>
  <si>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</si>
  <si>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</si>
  <si>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</si>
  <si>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</si>
  <si>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</si>
  <si>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Quintessential Katana</t>
  </si>
  <si>
    <t>Equipped creature gets +1/+1 and has "Whenever this creature deals combat damage, untap it and you gain 2 life." Whenever a Ninja you control enters, you may attach this Equipment to it. Equip {2} ({2}: Attach to target creature you control. Equip only as a sorcery.)</t>
  </si>
  <si>
    <t>Quistis Trepe / Quistis Trepe</t>
  </si>
  <si>
    <t>Criatura Lendária — Humano Mago</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</si>
  <si>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</si>
  <si>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Qutrub Forayer</t>
  </si>
  <si>
    <t>Creature — Zombie Horror</t>
  </si>
  <si>
    <t>When this creature enters, choose one — • Destroy target creature that was dealt damage this turn. • Exile up to two target cards from a single graveyard.</t>
  </si>
  <si>
    <t>Rabanastre, Royal City / Rabanastre, Cidade Real</t>
  </si>
  <si>
    <t>Este terreno entra virado. {T}: Adicione {R} ou {W}.</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</si>
  <si>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</si>
  <si>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</si>
  <si>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</si>
  <si>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Radha, Coalition Warlord / Radha, Senhora da Guerra da Coalizão</t>
  </si>
  <si>
    <t>Legendary Creature — Elf Warrior / Criatura Lendária — Elfo Guerreiro</t>
  </si>
  <si>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</si>
  <si>
    <t>Radiant Fountain / Fonte Radiante</t>
  </si>
  <si>
    <t>When this land enters, you gain 2 life. {T}: Add {C}. / Quando Fonte Radiante entra no campo de batalha, você ganha 2 pontos de vida. {T}: Adicione {C}.</t>
  </si>
  <si>
    <t>Radiant Strike / Golpe Radiante</t>
  </si>
  <si>
    <t>Destrua o artefato ou criatura virada alvo. Você ganha 3 pontos de vida.</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</si>
  <si>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</si>
  <si>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</si>
  <si>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Raft Security Officer / Oficial de Segurança da Balsa</t>
  </si>
  <si>
    <t>{2}, {T}: Vire a criatura alvo. Esta habilidade custa {1} a menos para ser ativada se tiver como alvo uma criatura com poder igual ou inferior a 3.</t>
  </si>
  <si>
    <t>Rag Man / Trapeiro</t>
  </si>
  <si>
    <t>Creature — Human Minion</t>
  </si>
  <si>
    <t>{B}{B}{B}, {T}: Target opponent reveals their hand and discards a creature card at random. Activate only during your turn.</t>
  </si>
  <si>
    <t>Ragamuffin Raptor</t>
  </si>
  <si>
    <t>When this creature enters, return up to one target creature or Food card from your graveyard to your hand.</t>
  </si>
  <si>
    <t>Raging Goblin / Goblin Enfurecido</t>
  </si>
  <si>
    <t>Haste (This creature can attack and {T} as soon as it comes under your control.) / Ímpeto (Esta criatura pode atacar e {T} assim que entra sob seu controle.)</t>
  </si>
  <si>
    <t>Raging Kronch / Kronch Enfurecido</t>
  </si>
  <si>
    <t>This creature can't attack alone. / Kronch Enfurecido não pode atacar sozinho.</t>
  </si>
  <si>
    <t>Rain of Rust / Chuva de Ferrugem</t>
  </si>
  <si>
    <t>Choose one — • Destroy target artifact. • Destroy target land. Entwine {3}{R} (Choose both if you pay the entwine cost.) / Escolha um Destrói o artefato alvo; ou destrói o terreno alvo. Entrelaçar {3}{R} (Escolha ambos se pagar o custo de entrelaçar.)</t>
  </si>
  <si>
    <t>Raise Dead / Ressuscitar Morto</t>
  </si>
  <si>
    <t>Return target creature card from your graveyard to your hand. / Devolva o card de criatura alvo de seu cemitério para sua mão.</t>
  </si>
  <si>
    <t>Raise the Alarm / Soar o Alarme</t>
  </si>
  <si>
    <t>Create two 1/1 white Soldier creature tokens. / Coloque no campo de batalha duas fichas de criatura brancas 1/1 do tipo Soldado.</t>
  </si>
  <si>
    <t>Rakshasa Gravecaller / Evocador de Túmulos Rakshasa</t>
  </si>
  <si>
    <t>Creature — Demon / Criatura — Felino Demônio</t>
  </si>
  <si>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</si>
  <si>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</si>
  <si>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</si>
  <si>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</si>
  <si>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</si>
  <si>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Rampaging Brontodon / Brontodonte Enfurecido</t>
  </si>
  <si>
    <t>Trample Whenever this creature attacks, it gets +1/+1 until end of turn for each land you control. / Atropelar Toda vez que Brontodonte Enfurecido ataca, ele recebe +1/+1 até o final do turno para cada terreno que você controla.</t>
  </si>
  <si>
    <t>Rampaging Cyclops / Ciclope Enfurecido</t>
  </si>
  <si>
    <t>This creature gets -2/-0 as long as two or more creatures are blocking it. / Ciclope Enfurecido recebe -2/-0 enquanto duas ou mais criaturas o estiverem bloqueando.</t>
  </si>
  <si>
    <t>Rampaging Soulrager</t>
  </si>
  <si>
    <t>This creature gets +3/+0 as long as there are two or more unlocked doors among Rooms you control.</t>
  </si>
  <si>
    <t>Rampant Elephant / Elefante Desenfreado</t>
  </si>
  <si>
    <t>Creature — Elephant / Criatura — Elefante</t>
  </si>
  <si>
    <t>{G}: Target creature blocks Rampant Elephant this turn if able. / {G}: A criatura alvo bloqueia Elefante Desenfreado neste turno, se estiver apta.</t>
  </si>
  <si>
    <t>Rampant Growth / Crescimento Desenfreado</t>
  </si>
  <si>
    <t>Search your library for a basic land card, put it onto the battlefield tapped, then shuffle. / Procure um card de terreno básico em seu grimório, coloque-o no campo de batalha virado e depois embaralhe.</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</si>
  <si>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</si>
  <si>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</si>
  <si>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</si>
  <si>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</si>
  <si>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</si>
  <si>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</si>
  <si>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Ranger's Firebrand / Tição do Caminheiro</t>
  </si>
  <si>
    <t>Ranger's Firebrand deals 2 damage to any target. The Ring tempts you. / Tição do Caminheiro causa 2 pontos de dano a qualquer alvo. O Anel tenta você.</t>
  </si>
  <si>
    <t>Rapacious Dragon / Dragão Edaz</t>
  </si>
  <si>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</si>
  <si>
    <t>Rapacious One / O Opressor</t>
  </si>
  <si>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</si>
  <si>
    <t>Raph's Bravado / Bravata de Raph</t>
  </si>
  <si>
    <t>Durante o seu turno, as criaturas atacantes recebem +1/+0.</t>
  </si>
  <si>
    <t>Raphael, Most Attitude</t>
  </si>
  <si>
    <t>Menace (This creature can't be blocked except by two or more creatures.) Alliance — Whenever another creature you control enters, you may exile the top card of your library. Whenever Raphael attacks, until end of turn, you may play a card exiled with Raphael.</t>
  </si>
  <si>
    <t>Raphael, the Nightwatcher</t>
  </si>
  <si>
    <t>Sneak {1}{R}{R} (You may cast this spell for {1}{R}{R} if you also return an unblocked attacker you control to hand during the declare blockers step. He enters tapped and attacking.) Attacking creatures you control have double strike.</t>
  </si>
  <si>
    <t>Raphael, Tough Turtle</t>
  </si>
  <si>
    <t>Alliance — Whenever another creature you control enters, Raphael deals 1 damage to target opponent.</t>
  </si>
  <si>
    <t>Rapier Wit / Espírito de Rapas</t>
  </si>
  <si>
    <t>Vire a criatura alvo. Se for o seu turno, coloque um marcador de atordoamento nela. (Se uma permanente com um marcador de atordoamento fosse se tornar desvirada, em vez disso, remova um dele.) Compre um card.</t>
  </si>
  <si>
    <t>Raptor Companion / Companheiro Raptor</t>
  </si>
  <si>
    <t>Rashka the Slayer / Rashka, a Matadora</t>
  </si>
  <si>
    <t>Legendary Creature — Human Archer</t>
  </si>
  <si>
    <t>Reach (This creature can block creatures with flying.) Whenever Rashka blocks one or more black creatures, Rashka gets +1/+2 until end of turn.</t>
  </si>
  <si>
    <t>Raubahn, Bull of Ala Mhigo / Raubahn, Touro de Ala Mhigo</t>
  </si>
  <si>
    <t>Salvaguarda — Pague uma quantidade de vida igual ao poder de Raubahn. Sempre que Raubahn atacar, anexe até um Equipamento alvo que você controla à criatura atacante alvo.</t>
  </si>
  <si>
    <t>Raucous Audience</t>
  </si>
  <si>
    <t>{T}: Add {G}. If you control a creature with power 4 or greater, add {G}{G} instead.</t>
  </si>
  <si>
    <t>Ravaging Blaze / Incêndio Furioso</t>
  </si>
  <si>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</si>
  <si>
    <t>Ravenous Leucrocota / Leucrócota Voraz</t>
  </si>
  <si>
    <t>Vigilance {6}{G}: Monstrosity 3. (If this creature isn't monstrous, put three +1/+1 counters on it and it becomes monstrous.) / Vigilância {6}{G}: Monstruosidade 3. (Se esta criatura não for monstruosa, coloque três marcadores +1/+1 nela e ela se tornará monstruosa.)</t>
  </si>
  <si>
    <t>Ray Fillet, Man Ray</t>
  </si>
  <si>
    <t>Legendary Creature — Fish Mutant</t>
  </si>
  <si>
    <t>Flying When Ray Fillet enters, create a Mutagen token. (It's an artifact with "{1}, {T}, Sacrifice this token: Put a +1/+1 counter on target creature. Activate only as a sorcery.") {2}, Remove a +1/+1 counter from a creature you control: Draw a card.</t>
  </si>
  <si>
    <t>Ray of Dissolution / Raio de Dissolução</t>
  </si>
  <si>
    <t>Destroy target enchantment. You gain 3 life. / Destrua o encantamento alvo. Você ganha 3 pontos de vida.</t>
  </si>
  <si>
    <t>Razor Rings</t>
  </si>
  <si>
    <t>Razor Rings deals 4 damage to target attacking or blocking creature. You gain life equal to the excess damage dealt this way.</t>
  </si>
  <si>
    <t>Razorfoot Griffin / Grifo Pata-de-Navalha</t>
  </si>
  <si>
    <t>Flying, first strike. / Voar, iniciativa.</t>
  </si>
  <si>
    <t>Razorkin Hordecaller</t>
  </si>
  <si>
    <t>Creature — Human Clown Berserker</t>
  </si>
  <si>
    <t>Haste Whenever you attack, create a 1/1 red Gremlin creature token.</t>
  </si>
  <si>
    <t>Reach the Horizon / Alcançar o Horizonte</t>
  </si>
  <si>
    <t>Procure em seu grimório por até dois cards de terreno básico e/ou cards de Cidade com nomes diferentes, coloque-os no campo de batalha virados e depois embaralhe.</t>
  </si>
  <si>
    <t>Read the Bones / Leia os Ossos</t>
  </si>
  <si>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</si>
  <si>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</si>
  <si>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</si>
  <si>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</si>
  <si>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</si>
  <si>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Reckless Abandon / Abandono Impetuoso</t>
  </si>
  <si>
    <t>Como custo adicional para conjurar Abandono Impetuoso, sacrifique uma criatura. Abandono Impetuoso causa 4 de dano à criatura ou ao jogador alvo.</t>
  </si>
  <si>
    <t>Reckless Amplimancer / Amplimante Temerário</t>
  </si>
  <si>
    <t>{4}{G}: Double the power and toughness of Reckless Amplimancer until end of turn. / {4}{G}: Dobre o poder e a resistência de Amplimante Temerário até o final do turno.</t>
  </si>
  <si>
    <t>Reckless Fireweaver / Flamitecelão Temerário</t>
  </si>
  <si>
    <t>Whenever an artifact you control enters, this creature deals 1 damage to each opponent. / Toda vez que um artefato entra no campo de batalha sob seu controle, Flamitecelão Temerário causa 1 ponto de dano a cada oponente.</t>
  </si>
  <si>
    <t>Reckless Handling / Manuseio Descuidado</t>
  </si>
  <si>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</si>
  <si>
    <t>Reckless Ransacking</t>
  </si>
  <si>
    <t>Target creature gets +3/+2 until end of turn. Create a Treasure token. (It's an artifact with "{T}, Sacrifice this token: Add one mana of any color.")</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</si>
  <si>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</si>
  <si>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</si>
  <si>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Red Mage's Rapier / Rapieira do Mago Vermelho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</si>
  <si>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</si>
  <si>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Red Room Recruit / Recruta da Sala Vermelha</t>
  </si>
  <si>
    <t>Criatura — Humano Espião Vilão</t>
  </si>
  <si>
    <t>Quando esta criatura entrar, ela conspira. (Compre um card, depois descarte um card. Se você descartou um card não de terreno, coloque um marcador +1/+1 nesta criatura.)</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</si>
  <si>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</si>
  <si>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</si>
  <si>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</si>
  <si>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</si>
  <si>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</si>
  <si>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</si>
  <si>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</si>
  <si>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</si>
  <si>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Regal Bloodlord / Senhor Vampiro Régio</t>
  </si>
  <si>
    <t>Flying At the beginning of each end step, if you gained life this turn, create a 1/1 black Bat creature token with flying. / Voar No início de cada etapa final, se você ganhou pontos de vida neste turno, crie uma ficha de criatura preta 1/1 do tipo Morcego com voar.</t>
  </si>
  <si>
    <t>Regathan Firecat / Felino Ígneo Regathano</t>
  </si>
  <si>
    <t>Creature — Elemental Cat / Criatura — Elemental Felino</t>
  </si>
  <si>
    <t>Regenesis / Regênese</t>
  </si>
  <si>
    <t>Return up to two target permanent cards from your graveyard to your hand. / Devolva até dois cards de permanente alvo de seu cemitério para sua mão.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</si>
  <si>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</si>
  <si>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</si>
  <si>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Reinforcements</t>
  </si>
  <si>
    <t>Put up to three target creature cards from your graveyard on top of your library in any order.</t>
  </si>
  <si>
    <t>Reknit / Retramar</t>
  </si>
  <si>
    <t>Regenerate target permanent. / Regenere a permanente alvo.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</si>
  <si>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</si>
  <si>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</si>
  <si>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</si>
  <si>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Relm's Sketching / Esboço de Relm</t>
  </si>
  <si>
    <t>Crie uma ficha que seja uma cópia do artefato, criatura ou terreno alvo.</t>
  </si>
  <si>
    <t>2{U}{U}</t>
  </si>
  <si>
    <t>Reluctant Dounguard</t>
  </si>
  <si>
    <t>Creature — Kithkin Soldier</t>
  </si>
  <si>
    <t>This creature enters with two -1/-1 counters on it. Whenever another creature you control enters while this creature has a -1/-1 counter on it, remove a -1/-1 counter from this creature.</t>
  </si>
  <si>
    <t>Render Speechless / Emudecer</t>
  </si>
  <si>
    <t>O oponente alvo revela a própria mão. Você escolhe um card não de terreno dela. Aquele jogador descarta aquele card. Coloque dois marcadores +1/+1 em até uma criatura alvo.</t>
  </si>
  <si>
    <t>2{W}{B}</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</si>
  <si>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</si>
  <si>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</si>
  <si>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</si>
  <si>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</si>
  <si>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</si>
  <si>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Renowned Weaver / Tecedora Renomada</t>
  </si>
  <si>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</si>
  <si>
    <t>Repeal / Revogar</t>
  </si>
  <si>
    <t>Devolva a permanente não de terreno alvo com custo de mana convertido X para a mão de seu dono. Compre um card.</t>
  </si>
  <si>
    <t>XU</t>
  </si>
  <si>
    <t>Repentant Blacksmith / Ferreiro Penitente</t>
  </si>
  <si>
    <t>Protection from red</t>
  </si>
  <si>
    <t>Replication Specialist / Especialista em Replicação</t>
  </si>
  <si>
    <t>Creature — Moonfolk Artificer / Criatura — Cidadão-da-lua Artesão</t>
  </si>
  <si>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</si>
  <si>
    <t>Reprisal</t>
  </si>
  <si>
    <t>Bury target creature with power 4 or greater.</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</si>
  <si>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</si>
  <si>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</si>
  <si>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</si>
  <si>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Resentful Revelation</t>
  </si>
  <si>
    <t>Look at the top three cards of your library. Put one of them into your hand and the rest into your graveyard. Flashback 6B (You may cast this card from your graveyard for its flashback cost. Then exile it.)</t>
  </si>
  <si>
    <t>Resistance Skywarden / Guardião Celeste da Resistência</t>
  </si>
  <si>
    <t>Creature — Ogre Rebel / Criatura — Ogro Rebelde</t>
  </si>
  <si>
    <t>Menace (This creature can't be blocked except by two or more creatures.) Reach (This creature can block creatures with flying.) / Ameaçar, alcance</t>
  </si>
  <si>
    <t>Resolute Rider / Ginete Resoluta</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</si>
  <si>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</si>
  <si>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</si>
  <si>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</si>
  <si>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</si>
  <si>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{W/B}{W/B}{W/B}</t>
  </si>
  <si>
    <t>Resurrected Cultist</t>
  </si>
  <si>
    <t>Delirium — {2}{B}{B}: Return this card from your graveyard to the battlefield with a finality counter on it. Activate only if there are four or more card types among cards in your graveyard and only as a sorcery. (If a creature with a finality counter on it would die, exile it instead.)</t>
  </si>
  <si>
    <t>Resurrection / Ressurreição</t>
  </si>
  <si>
    <t>Return target creature card from your graveyard to the battlefield. / Devolva o card alvo de criatura de seu cemitério para o jogo.</t>
  </si>
  <si>
    <t>Retched Wretch</t>
  </si>
  <si>
    <t>When this creature dies, if it had a -1/-1 counter on it, return it to the battlefield under its owner's control and it loses all abilities.</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</si>
  <si>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</si>
  <si>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</si>
  <si>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Retribution / Retribuição</t>
  </si>
  <si>
    <t>Choose two target creatures controlled by the same opponent. That player chooses and sacrifices one of those creatures. Put a -1/-1 counter on the other.</t>
  </si>
  <si>
    <t>Retributive Wand / Varinha Retribuidora</t>
  </si>
  <si>
    <t>{3}, {T}: Retributive Wand deals 1 damage to any target. When Retributive Wand is put into a graveyard from the battlefield, it deals 5 damage to any target.</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</si>
  <si>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</si>
  <si>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</si>
  <si>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Retro-Mutation</t>
  </si>
  <si>
    <t>Flash Enchant creature Enchanted creature is a Turtle with base power and toughness 0/1. It can't attack and loses all abilities. (It also loses all other creature types.)</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</si>
  <si>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</si>
  <si>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</si>
  <si>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Return to Nature / Retorno à Natureza</t>
  </si>
  <si>
    <t>Choose one — • Destroy target artifact. • Destroy target enchantment. • Exile target card from a graveyard. / Escolha um — • Destrua o artefato alvo. • Destrua o encantamento alvo. • Exile o card alvo de um cemitério.</t>
  </si>
  <si>
    <t>Return to the Sewers</t>
  </si>
  <si>
    <t>Target creature's owner puts it on their choice of the top or bottom of their library. You create a Mutagen token. (It's an artifact with "{1}, {T}, Sacrifice this token: Put a +1/+1 counter on target creature. Activate only as a sorcery.")</t>
  </si>
  <si>
    <t>Returned Reveler / Festeiro Ressurgido</t>
  </si>
  <si>
    <t>Creature — Zombie Satyr / Criatura — Zumbi Sátiro</t>
  </si>
  <si>
    <t>When this creature dies, each player mills three cards. / Quando Festeiro Ressurgido morre, cada jogador coloca os três primeiros cards do próprio grimório no próprio cemitério.</t>
  </si>
  <si>
    <t>Revel of the Fallen God / Festança do Deus Caído</t>
  </si>
  <si>
    <t>Todas as criaturas recebem +2/-2 até o final do turno.</t>
  </si>
  <si>
    <t>Reverse Damage</t>
  </si>
  <si>
    <t>All damage dealt to you so far this turn by one source is retroactively added to your life total instead of subtracted. Further damage this turn is treated normally.</t>
  </si>
  <si>
    <t>Reviving Melody / Melodia Restauradora</t>
  </si>
  <si>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</si>
  <si>
    <t>Revoke Existence / Revogar Existência</t>
  </si>
  <si>
    <t>Double Masters</t>
  </si>
  <si>
    <t>Duel Decks: Venser vs. Koth (DDI)</t>
  </si>
  <si>
    <t>Theros além da morte</t>
  </si>
  <si>
    <t>Rewrite History / Reescrever a História</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</si>
  <si>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</si>
  <si>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Rhystic Circle</t>
  </si>
  <si>
    <t>{1}: Any player may pay {1}. If no one does, the next time a source of your choice would deal damage to you this turn, prevent that damage.</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</si>
  <si>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</si>
  <si>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</si>
  <si>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</si>
  <si>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</si>
  <si>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Ride the Shoopuf / Montar no Shoopuf</t>
  </si>
  <si>
    <t>Aterragem — Sempre que um terreno que você controla entrar, coloque um marcador +1/+1 na criatura alvo que você controla. {5}{G}{G}: Este encantamento se torna uma criatura Beast 7/7 além de seus outros tipos.</t>
  </si>
  <si>
    <t>Righteous Blow / Golpe Justo</t>
  </si>
  <si>
    <t>Righteous Blow deals 2 damage to target attacking or blocking creature. / Golpe Justo causa 2 pontos de dano à criatura atacante ou bloqueadora alvo.</t>
  </si>
  <si>
    <t>Rimekin Recluse</t>
  </si>
  <si>
    <t>Creature — Elemental Wizard</t>
  </si>
  <si>
    <t>When this creature enters, return up to one other target creature to its owner's hand.</t>
  </si>
  <si>
    <t>Ring of the Lucii / Anel dos Lucii</t>
  </si>
  <si>
    <t>{T}: Adicione {C}{C}. {2}, {T}, Pague 1 de vida: Vire a permanente alvo que não seja um terreno.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</si>
  <si>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</si>
  <si>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</si>
  <si>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</si>
  <si>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</si>
  <si>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Final Fantasy (FFVIII)</t>
  </si>
  <si>
    <t>Ripscale Predator / Predador da Escama Dilacerante</t>
  </si>
  <si>
    <t>Creature — Dinosaur / Criatura — Lagarto</t>
  </si>
  <si>
    <t>Menace (This creature can't be blocked except by two or more creatures.) / Predador da Escama Dilacerante só pode ser bloqueado por duas ou mais criaturas.</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</si>
  <si>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</si>
  <si>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</si>
  <si>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</si>
  <si>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</si>
  <si>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Risen Necroregent</t>
  </si>
  <si>
    <t>Creature — Zombie Cat Knight</t>
  </si>
  <si>
    <t>Start your engines! (If you have no speed, it starts at 1. It increases once on each of your turns when an opponent loses life. Max speed is 4.) Max speed — At the beginning of your end step, create a 2/2 black Zombie creature token.</t>
  </si>
  <si>
    <t>Ritual of the Returned / Ritual dos Ressurgidos</t>
  </si>
  <si>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</si>
  <si>
    <t>River Heralds' Boon / Bênção dos Arautos do Rio</t>
  </si>
  <si>
    <t>Put a +1/+1 counter on target creature and a +1/+1 counter on up to one target Merfolk. / Coloque um marcador +1/+1 na criatura alvo e um marcador +1/+1 em até um Tritão alvo.</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</si>
  <si>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</si>
  <si>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</si>
  <si>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</si>
  <si>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</si>
  <si>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</si>
  <si>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</si>
  <si>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</si>
  <si>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Roc of Kher Ridges</t>
  </si>
  <si>
    <t>Creature — Bird</t>
  </si>
  <si>
    <t>Rock Basilisk / Basilisco das Rochas</t>
  </si>
  <si>
    <t>Creature — Basilisk</t>
  </si>
  <si>
    <t>Whenever this creature blocks or becomes blocked by a non-Wall creature, destroy that creature at end of combat.</t>
  </si>
  <si>
    <t>Rock Jockey / Jóquei de Pedras</t>
  </si>
  <si>
    <t>You can't cast Rock Jockey if you've played a land this turn. You can't play lands if this creature was cast this turn. / Você não pode baixar Jóquei de Pedras se tiver baixado um terreno neste turno. Você não pode baixar terrenos se tiver baixado Jóquei de Pedras neste turno.</t>
  </si>
  <si>
    <t>Rock Soldiers</t>
  </si>
  <si>
    <t>Artifact Creature — Elemental Soldier</t>
  </si>
  <si>
    <t>When this creature enters, destroy up to one target noncreature artifact.</t>
  </si>
  <si>
    <t>Rocksteady, Crash Courser</t>
  </si>
  <si>
    <t>Legendary Creature — Rhino Mutant</t>
  </si>
  <si>
    <t>Rocksteady can't be blocked by more than one creature. Boars you control can't be blocked by more than one creature. Forestcycling {2} ({2}, Discard this card: Search your library for a Forest card, reveal it, put it into your hand, then shuffle.)</t>
  </si>
  <si>
    <t>Rocky Rebuke</t>
  </si>
  <si>
    <t>Target creature you control deals damage equal to its power to target creature an opponent controls.</t>
  </si>
  <si>
    <t>Rod of Ruin / Bastão da Ruína</t>
  </si>
  <si>
    <t>{3}, {T}: Rod of Ruin deals 1 damage to target creature or player.</t>
  </si>
  <si>
    <t>Rod of Ruin / Vara da Ruína</t>
  </si>
  <si>
    <t>{3}, {T}: Rod of Ruin deals 1 damage to target creature or player. / {3}, {T}: Vara da Ruína causa 1 ponto de dano à criatura ou jogador alvo.</t>
  </si>
  <si>
    <t>Sixth Edition (6ED)</t>
  </si>
  <si>
    <t>Roil Cartographer / Cartógrafa do Turbillhão</t>
  </si>
  <si>
    <t>Landfall — Whenever a land you control enters, you get {E} (an energy counter). {T}, Pay six {E}: Draw three cards. / Aterragem — Toda vez que um terreno entra no campo de batalha sob seu controle, você recebe {E} (um marcador de energia). {T}, pague seis {E}: Compre três cards.</t>
  </si>
  <si>
    <t>Rompe-Correntes / Chainbreaker</t>
  </si>
  <si>
    <t>Rompe-Correntes enters the battlefield with two -1/-1 counters on it. {3}, {T}: Remove a -1/-1 counter from target creature. / Rompe-Correntes entra em jogo com dois marcadores -1/-1. {3}, {T}: Remova um marcador -1/-1 da criatura alvo.</t>
  </si>
  <si>
    <t>Rona, Sheoldred's Faithful / Rona, Devota de Sheoldred</t>
  </si>
  <si>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</si>
  <si>
    <t>{1}{U}{B}{B}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</si>
  <si>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</si>
  <si>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</si>
  <si>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</si>
  <si>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Rook Turret / Torre de Torreão</t>
  </si>
  <si>
    <t>Criatura Artefato — Construto</t>
  </si>
  <si>
    <t>Voar. Sempre que outro artefato que você controla entrar, você poderá comprar um card. Se fizer isso, descarte um card.</t>
  </si>
  <si>
    <t>Root Out / Arrancar pela Raiz</t>
  </si>
  <si>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</si>
  <si>
    <t>Root Snare / Armadilha de Raízes</t>
  </si>
  <si>
    <t>Prevent all combat damage that would be dealt this turn. / Previna todo o dano de combate que seria causado neste turno.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</si>
  <si>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</si>
  <si>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</si>
  <si>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</si>
  <si>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</si>
  <si>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</si>
  <si>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</si>
  <si>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Roterothopter / Roterotóptero</t>
  </si>
  <si>
    <t>Flying {2}: This creature gets +1/+0 until end of turn. Activate no more than twice each turn.</t>
  </si>
  <si>
    <t>Rotted Hulk / Brutamontes Apodrecido</t>
  </si>
  <si>
    <t>Rotten Reunion / Reunião Apodrecida</t>
  </si>
  <si>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</si>
  <si>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</si>
  <si>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</si>
  <si>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</si>
  <si>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</si>
  <si>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</si>
  <si>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</si>
  <si>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</si>
  <si>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</si>
  <si>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Rowdy Snowballers</t>
  </si>
  <si>
    <t>When this creature enters, tap target creature an opponent controls and put a stun counter on it. (If a permanent with a stun counter would become untapped, remove one from it instead.)</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</si>
  <si>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</si>
  <si>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</si>
  <si>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</si>
  <si>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Rufus Shinra / Rufus Shinra</t>
  </si>
  <si>
    <t>Sempre que Rufus Shinra atacar, se você não controlar uma criatura chamada Darkstar, crie Darkstar, uma ficha de criatura lendária Cão branca e preta 2/2.</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</si>
  <si>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</si>
  <si>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</si>
  <si>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This land enters tapped. When this land enters, you gain 1 life. {T}: Add {R} or {G}. / Planalto Acidentado entra no campo de batalha virado. Quando Planalto Acidentado entra no campo de batalha, você ganha 1 ponto de vida. {T}: Adicione {R} ou {G}.</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</si>
  <si>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</si>
  <si>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</si>
  <si>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Ruins of Oran-Rief / Ruínas de Oran-Rief</t>
  </si>
  <si>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</si>
  <si>
    <t>Rulik Mons, Warren Chief / Rulik Mons, Chefona do Viveiro</t>
  </si>
  <si>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</si>
  <si>
    <t>{1}{R}{G}{G}</t>
  </si>
  <si>
    <t>Rumbling Baloth</t>
  </si>
  <si>
    <t>Creature — Beast</t>
  </si>
  <si>
    <t>Rumbling Sentry / Sentinela Ribombante</t>
  </si>
  <si>
    <t>When this creature enters, scry 1. / Quando Sentinela Ribombante entrar no campo de batalha, use vidência 1.</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</si>
  <si>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</si>
  <si>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</si>
  <si>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Runaway Boulder</t>
  </si>
  <si>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</si>
  <si>
    <t>Rune-Sealed Wall</t>
  </si>
  <si>
    <t>Defender {T}: Surveil 1. (Look at the top card of your library. You may put it into your graveyard.)</t>
  </si>
  <si>
    <t>Runeclaw Bear / Urso Garra de Runa</t>
  </si>
  <si>
    <t>Magic 20105 (M15)</t>
  </si>
  <si>
    <t>Runesword</t>
  </si>
  <si>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</si>
  <si>
    <t>Runic Shot / Tiro Rúnico</t>
  </si>
  <si>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</si>
  <si>
    <t>Rupture Spire</t>
  </si>
  <si>
    <t>Rupture Spire enters the battlefield tapped. When Rupture Spire enters the battlefield, sacrifice it unless you pay {1}. {T}: Add one mana of any color to your mana pool.</t>
  </si>
  <si>
    <t>Rural Recruit / Recruta Rural</t>
  </si>
  <si>
    <t>Creature — Human Peasant / Criatura — Humano Plebeu</t>
  </si>
  <si>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</si>
  <si>
    <t>Russet Wolves / Lobos Castanhos</t>
  </si>
  <si>
    <t>Rust-Shield Rampager</t>
  </si>
  <si>
    <t>Creature — Raccoon Warrior</t>
  </si>
  <si>
    <t>Offspring 2 (You may pay an additional 2 as you cast this spell. If you do, when this creature enters, create a 1/1 token copy of it.) This creature can't be blocked by creatures with power 2 or less.</t>
  </si>
  <si>
    <t>Rusted Relic</t>
  </si>
  <si>
    <t>Metalcraft — Rusted Relic is a 5/5 Golem artifact creature as long as you control three or more artifacts.</t>
  </si>
  <si>
    <t>Rustwing Falcon / Falcão da Asa Rubiginosa</t>
  </si>
  <si>
    <t>Ruthless Negotiation</t>
  </si>
  <si>
    <t>Target opponent exiles a card from their hand. If this spell was cast from a graveyard, draw a card. Flashback {4}{B} (You may cast this card from your graveyard for its flashback cost. Then exile it.)</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</si>
  <si>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</si>
  <si>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</si>
  <si>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</si>
  <si>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</si>
  <si>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Rydia's Return / O Retorno de Rydia</t>
  </si>
  <si>
    <t>Escolha um — • As criaturas que você controla recebem +3/+3 até o final do turno. • Devolva até dois cards de permanente alvo de seu cemitério para sua mão.</t>
  </si>
  <si>
    <t>S.H.I.E.L.D. Deployment Drone / Drone de Implantação da S.H.I.E.L.D.</t>
  </si>
  <si>
    <t>Voar. Quando esta criatura entrar, crie uma ficha de criatura Soldado branca 1/1.</t>
  </si>
  <si>
    <t>Saber-Tooth Moose-Lion</t>
  </si>
  <si>
    <t>Creature — Elk Cat</t>
  </si>
  <si>
    <t>Reach Forestcycling {2} ({2}, Discard this card: Search your library for a Forest card, reveal it, put it into your hand, then shuffle.)</t>
  </si>
  <si>
    <t>Sabotender</t>
  </si>
  <si>
    <t>Alcance. Terrente — Sempre que um terreno entra sob o seu controle, esta criatura causa 1 de dano a cada oponente.</t>
  </si>
  <si>
    <t>Sabretooth Tiger / Tigre Dentes-de-sabre</t>
  </si>
  <si>
    <t>First strike / Iniciativa (Esta criatura causa dano de combate antes de criaturas sem a habilidade de iniciativa.)</t>
  </si>
  <si>
    <t>Sadistic Obsession / Obsessão Sádica</t>
  </si>
  <si>
    <t>Enchant creature Enchanted creature has "{B}, {T}: Put a -1/-1 counter on target creature." / Encantar criatura A criatura encantada tem "{B}, {T}: Coloque um marcador -1/-1 na criatura alvo."</t>
  </si>
  <si>
    <t>Safewright Cavalry</t>
  </si>
  <si>
    <t>This creature can't be blocked by more than one creature. {5}: Target Elf you control gets +2/+2 until end of turn.</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</si>
  <si>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</si>
  <si>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</si>
  <si>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</si>
  <si>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</si>
  <si>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Sagu Archer / Arqueiro de Sagu</t>
  </si>
  <si>
    <t>Creature — Snake Archer / Criatura — Naga Arqueiro</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</si>
  <si>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</si>
  <si>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Sahagin</t>
  </si>
  <si>
    <t>Creature — Merfolk Warrior</t>
  </si>
  <si>
    <t>Whenever you cast a noncreature spell, if at least four mana was spent to cast it, put a +1/+1 counter on this creature and it can't be blocked this turn.</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</si>
  <si>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</si>
  <si>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</si>
  <si>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</si>
  <si>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Salt Marsh / Pântano Salgado</t>
  </si>
  <si>
    <t>This land enters tapped. {T}: Add {U} or {B}. / Pântano Salgado entra em jogo virado. {T}: Adiciona {U} ou {B} à sua reserva de mana.</t>
  </si>
  <si>
    <t>Salta-fogo Goblin / Goblin Fireleaper</t>
  </si>
  <si>
    <t>{1}{R}: Salta-fogo Goblin recebe +1/+0 até o final do turno. Quando Salta-fogo Goblin ataca, ele causa uma quantidade de dano igual ao próprio poder à criatura alvo que um oponente controla.</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</si>
  <si>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</si>
  <si>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</si>
  <si>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</si>
  <si>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</si>
  <si>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</si>
  <si>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Samite Herbalist / Herborista Samita</t>
  </si>
  <si>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</si>
  <si>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</si>
  <si>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</si>
  <si>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</si>
  <si>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</si>
  <si>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</si>
  <si>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</si>
  <si>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</si>
  <si>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</si>
  <si>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Sandbenders' Storm</t>
  </si>
  <si>
    <t>Choose one — • Destroy target creature with power 4 or greater. • Earthbend 3. (Target land you control becomes a 0/0 creature with haste that's still a land. Put three +1/+1 counters on it. When it dies or is exiled, return it to the battlefield tapped.)</t>
  </si>
  <si>
    <t>Sandstone Oracle / Oráculo de Arenito</t>
  </si>
  <si>
    <t>Artifact Creature — Sphinx / Criatura Artefato — Esfinge</t>
  </si>
  <si>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</si>
  <si>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</si>
  <si>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</si>
  <si>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Sandworm</t>
  </si>
  <si>
    <t>Haste When this creature enters, destroy target land. Its controller may search their library for a basic land card, put it onto the battlefield tapped, then shuffle.</t>
  </si>
  <si>
    <t>Final Fantasy (FFV)</t>
  </si>
  <si>
    <t>Sanguine Syphoner</t>
  </si>
  <si>
    <t>Creature — Vampire Warlock</t>
  </si>
  <si>
    <t>Whenever this creature attacks, each opponent loses 1 life and you gain 1 life.</t>
  </si>
  <si>
    <t>Sanitarium Skeleton</t>
  </si>
  <si>
    <t>{2}{B}: Return Sanitarium Skeleton from your graveyard to your hand.</t>
  </si>
  <si>
    <t>Sanitarium Skeleton / Esqueleto do Sanatório</t>
  </si>
  <si>
    <t>{2}{B}: Return this card from your graveyard to your hand. / {2}{B}: Devolva Esqueleto do Sanatório de seu cemitério para sua mão.</t>
  </si>
  <si>
    <t>Sarpadian Simulacrum / Simulacro Sarpadiano</t>
  </si>
  <si>
    <t>Haste {3}{R}, Sacrifice this creature: It deals 4 damage to target creature. / Ímpeto {3}{R}, sacrifique Simulacro Sarpadiano: Ele causa 4 pontos de dano à criatura alvo.</t>
  </si>
  <si>
    <t>Saruli Caretaker / Guardiã de Saruli</t>
  </si>
  <si>
    <t>Creature — Dryad / Criatura — Dríade</t>
  </si>
  <si>
    <t>Defender. {T}, Tap an untapped creature you control: Add one mana of any color. / Defensor. {T}, vire uma criatura desvirada que você controla: Adicione um mana de qualquer cor.</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</si>
  <si>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</si>
  <si>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</si>
  <si>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Satyr Grovedancer / Sátiro Dançarino do Bosque</t>
  </si>
  <si>
    <t>Creature — Satyr Shaman / Criatura — Sátiro Xamã</t>
  </si>
  <si>
    <t>When this creature enters, put a +1/+1 counter on target creature. / Quando Sátiro Dançarino do Bosque entrar no campo de batalha, coloque um marcador +1/+1 na criatura alvo.</t>
  </si>
  <si>
    <t>Savage Hunger / Fome Selvagem</t>
  </si>
  <si>
    <t>Enchant creature Enchanted creature gets +1/+0 and has trample. Cycling {2} ({2}, Discard this card: Draw a card.) / Encantar criatura A criatura encantada recebe +1/+0 e tem atropelar. Reciclar {2} ({2}, Descarte este card: Compre um card.)</t>
  </si>
  <si>
    <t>Savannah Lions / Leões da Savana</t>
  </si>
  <si>
    <t>Savanti Romero, Time's Exile</t>
  </si>
  <si>
    <t>Legendary Creature — Demon Wizard</t>
  </si>
  <si>
    <t>Trample At the beginning of combat on your turn, put a +1/+1 counter on Savanti Romero. Then you draw X cards and lose X life, where X is the number of counters on Savanti Romero.</t>
  </si>
  <si>
    <t>Saved by the Shell</t>
  </si>
  <si>
    <t>This spell costs {1} less to cast if you control a Turtle. Put a +1/+1 counter on target creature you control. It gains trample, hexproof, and indestructible until end of turn.</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</si>
  <si>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</si>
  <si>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</si>
  <si>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Savor</t>
  </si>
  <si>
    <t>Target creature gets -2/-2 until end of turn. Create a Food token. (It's an artifact with "{2}, {T}, Sacrifice this token: You gain 3 life.")</t>
  </si>
  <si>
    <t>Sawblade Slinger / Atiradora de Serras</t>
  </si>
  <si>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</si>
  <si>
    <t>Say Its Name</t>
  </si>
  <si>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</si>
  <si>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</si>
  <si>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</si>
  <si>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</si>
  <si>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Scab-Clan Giant</t>
  </si>
  <si>
    <t>When this creature enters, it fights target creature an opponent controls chosen at random.</t>
  </si>
  <si>
    <t>Scale the Heights / Escalar as Alturas</t>
  </si>
  <si>
    <t>Put a +1/+1 counter on up to one target creature. You gain 2 life. You may play an additional land this turn. Draw a card. / Coloque um marcador +1/+1 em até uma criatura alvo. Você ganha 2 pontos de vida. Você pode jogar um terreno adicional neste turno. Compre um card.</t>
  </si>
  <si>
    <t>Scarblade Scout</t>
  </si>
  <si>
    <t>Lifelink. When this creature enters, mill two cards. (Put the top two cards of your library into your graveyard.)</t>
  </si>
  <si>
    <t>Scars of the Veteran / Cicatrizes do Veterano</t>
  </si>
  <si>
    <t>You may exile a white card from your hand rather than pay this spell's mana cost. Prevent the next 7 damage that would be dealt to any target this turn. If it's a creature, put a +0/+1 counter on it for each 1 damage prevented this way at the beginning of the next end step.</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</si>
  <si>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</si>
  <si>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</si>
  <si>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Scathe Zombies / Zumbis de Scathe</t>
  </si>
  <si>
    <t>Seventh Edition (7ED)</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</si>
  <si>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</si>
  <si>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</si>
  <si>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Scavenging Ghoul / Carniçal Necrófago</t>
  </si>
  <si>
    <t>At the beginning of each end step, put a corpse counter on this creature for each creature that died this turn. Remove a corpse counter from this creature: Regenerate this creature.</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</si>
  <si>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</si>
  <si>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</si>
  <si>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School of the Unseen / Escola do Ilusionismo</t>
  </si>
  <si>
    <t>{T}: Add one colorless mana to your mana pool. {2}, {T}: Add one mana of any color to your mana pool.</t>
  </si>
  <si>
    <t>Scion of Halaster / Rebento de Halaster</t>
  </si>
  <si>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</si>
  <si>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</si>
  <si>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</si>
  <si>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</si>
  <si>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</si>
  <si>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</si>
  <si>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Scorpion Sentinel / Sentinela Escorpião</t>
  </si>
  <si>
    <t>Criatura Artefato — Robô Escorpião</t>
  </si>
  <si>
    <t>Enquanto você controlar sete ou mais terrenos, esta criatura receberá +3/+0.</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</si>
  <si>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</si>
  <si>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</si>
  <si>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</si>
  <si>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</si>
  <si>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</si>
  <si>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Scrabbling Claws / Garras Esmiuçadoras</t>
  </si>
  <si>
    <t>{T}: Target player exiles a card from their graveyard. {1}, Sacrifice this artifact: Exile target card from a graveyard. Draw a card. / {T}: O jogador alvo exila um card do próprio cemitério. {1}, sacrifique Garras Esmiuçadoras: Exile o card alvo de um cemitério. Compre um card.</t>
  </si>
  <si>
    <t>Screeching Skaab / Skaab Guinchante</t>
  </si>
  <si>
    <t>When this creature enters, mill two cards. / Quando Skaab Guinchante entrar no campo de batalha, coloque os dois cards do topo de seu grimório em seu cemitério.</t>
  </si>
  <si>
    <t>Scrounging Bandar / Bandar Surrupiador</t>
  </si>
  <si>
    <t>Creature — Cat Monkey / Criatura — Felino Macaco</t>
  </si>
  <si>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</si>
  <si>
    <t>Scrounging Skyray</t>
  </si>
  <si>
    <t>Creature — Fish Pirate</t>
  </si>
  <si>
    <t>Flying Whenever you discard one or more cards, put that many +1/+1 counters on this creature. Cycling {2} ({2}, Discard this card: Draw a card.)</t>
  </si>
  <si>
    <t>Scurry of Gremlins / Fuga dos Gremlins</t>
  </si>
  <si>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</si>
  <si>
    <t>Scuttletide / Maré de Caranguejo</t>
  </si>
  <si>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</si>
  <si>
    <t>Scuttling Butler / Mordomo dos Passos Rápidos</t>
  </si>
  <si>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</si>
  <si>
    <t>Scythe Leopard</t>
  </si>
  <si>
    <t>Landfall — Whenever a land enters the battlefield under your control, Scythe Leopard gets +1/+1 until end of turn.</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</si>
  <si>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</si>
  <si>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</si>
  <si>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Seal of Cleansing / Selo da Purificação</t>
  </si>
  <si>
    <t>Sacrifice Seal of Cleansing: Destroy target artifact or enchantment.</t>
  </si>
  <si>
    <t>Sear</t>
  </si>
  <si>
    <t>Sear deals 4 damage to target creature or planeswalker.</t>
  </si>
  <si>
    <t>Searing Spear Askari / Askári da Lança Cauterizante</t>
  </si>
  <si>
    <t>Creature - Human Knight</t>
  </si>
  <si>
    <t>Flanking (Whenever a creature without flanking is assigned to block this creature, the blocking creature gets -1/-1 until end of turn.) {1}{R}: Searing Spear Askari cannot be blocked by only one creature this turn.</t>
  </si>
  <si>
    <t>Miragem</t>
  </si>
  <si>
    <t>Season of Renewal / Temporada de Renovação</t>
  </si>
  <si>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</si>
  <si>
    <t>Sedge Scorpion / Escorpião de Grama</t>
  </si>
  <si>
    <t>Creature — Scorpion / Criatura — Escorpião</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</si>
  <si>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</si>
  <si>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</si>
  <si>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Seek the Horizon / Procurar o Horizonte</t>
  </si>
  <si>
    <t>Search your library for up to three basic land cards, reveal them, put them into your hand, then shuffle. / Procure em seu grimório até três cards de terreno básico, revele-os e coloque-os em sua mão. Depois, embaralhe seu grimório.</t>
  </si>
  <si>
    <t>Seeker / Buscador</t>
  </si>
  <si>
    <t>Target creature cannot be blocked except by white creatures and artifact creatures.</t>
  </si>
  <si>
    <t>Seeker / Explorador</t>
  </si>
  <si>
    <t>Enchant creature Enchanted creature can't be blocked except by artifact creatures and/or white creatures.</t>
  </si>
  <si>
    <t>Seismic Rupture / Ruptura Sísmica</t>
  </si>
  <si>
    <t>Seismic Rupture deals 2 damage to each creature without flying. / Ruptura Sísmica causa 2 pontos de dano a cada criatura sem voar.</t>
  </si>
  <si>
    <t>Seismic Sense</t>
  </si>
  <si>
    <t>Look at the top X cards of your library, where X is the number of lands you control. You may reveal a creature or land card from among them and put it into your hand. Put the rest on the bottom of your library in a random order.</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</si>
  <si>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</si>
  <si>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</si>
  <si>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Seize the Storm / Apreender a Tempestade</t>
  </si>
  <si>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</si>
  <si>
    <t>Seizures / Apoplexia</t>
  </si>
  <si>
    <t>Enchant creature Whenever enchanted creature becomes tapped, this Aura deals 3 damage to that creature's controller unless that player pays {3}.</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</si>
  <si>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</si>
  <si>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</si>
  <si>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Self-Destruct / Autodestruição</t>
  </si>
  <si>
    <t>A criatura alvo que você controla causa X de dano a qualquer outro alvo e X de dano a si mesma, onde X é o poder dela.</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</si>
  <si>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</si>
  <si>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</si>
  <si>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Sengir Bats / Morcegos de Sengir</t>
  </si>
  <si>
    <t>Creature — Bat</t>
  </si>
  <si>
    <t>Flying Whenever a creature dealt damage by this creature this turn dies, put a +1/+1 counter on this creature.</t>
  </si>
  <si>
    <t>Sengir Vampire / Vampiro de Sengir</t>
  </si>
  <si>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</si>
  <si>
    <t>Sentinel of the Nameless City / Sentinela da Cidade Sem Nome</t>
  </si>
  <si>
    <t>Creature — Merfolk Warrior Scout / Criatura — Tritão Guerreiro Batedor</t>
  </si>
  <si>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</si>
  <si>
    <t>Sentinel Spider / Aranha Sentinela</t>
  </si>
  <si>
    <t>Vigilance, reach / Vigilância (Esta criatura não é virada para atacar.) Alcance (Esta criatura pode bloquear criaturas com voar.)</t>
  </si>
  <si>
    <t>Sentinela Forjada em Ouro</t>
  </si>
  <si>
    <t>Criatura Artefato — Quimera</t>
  </si>
  <si>
    <t>Voar</t>
  </si>
  <si>
    <t>Sentinela Selesnya / Selesnya Sentry</t>
  </si>
  <si>
    <t>Criatura — Elefante Soldado / Creature — Elephant Soldier</t>
  </si>
  <si>
    <t>{5}{G}: Regenere Sentinela Selesnya. / {5}{G}: Regenerate Selesnya Sentry.</t>
  </si>
  <si>
    <t>Sephiroth's Intervention / Intervenção de Sephiroth</t>
  </si>
  <si>
    <t>Destrua a criatura alvo. Você ganha 2 de vida.</t>
  </si>
  <si>
    <t>Serpent of the Pass</t>
  </si>
  <si>
    <t>Creature — Serpent</t>
  </si>
  <si>
    <t>If there are three or more Lesson cards in your graveyard, you may cast this spell as though it had flash. This spell costs {1} less to cast for each noncreature, nonland card in your graveyard.</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</si>
  <si>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</si>
  <si>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</si>
  <si>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</si>
  <si>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Serpentine Ambush / Emboscada Serpentina</t>
  </si>
  <si>
    <t>Until end of turn, target creature becomes a blue Serpent with base power and toughness 5/5. / Até o final do turno, a criatura alvo torna-se uma Serpente azul com poder e resistência básicos 5/5.</t>
  </si>
  <si>
    <t>Serra's Blessing</t>
  </si>
  <si>
    <t>Attacking doesn't cause creatures you control to tap.</t>
  </si>
  <si>
    <t>Serrated Biskelion</t>
  </si>
  <si>
    <t>{T}: Put a -1/-1 counter on Serrated Biskelion and a -1/-1 counter on target creature.</t>
  </si>
  <si>
    <t>Serrated Scorpion / Escorpião Serrilhado</t>
  </si>
  <si>
    <t>When this creature dies, it deals 2 damage to each opponent and you gain 2 life. / Quando Escorpião Serrilhado morre, ele causa 2 pontos de dano a cada oponente e você ganha 2 pontos de vida.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</si>
  <si>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</si>
  <si>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</si>
  <si>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</si>
  <si>
    <t>Servo Voltaico / Voltaic Servant</t>
  </si>
  <si>
    <t>Criatura Artefato — Constructo</t>
  </si>
  <si>
    <t>No início da sua etapa final, desvire o artefato alvo.</t>
  </si>
  <si>
    <t>Setessan Griffin / Grifo Setessano</t>
  </si>
  <si>
    <t>Flying {2}{G}{G}: This creature gets +2/+2 until end of turn. Activate only once each turn. / Voar {2}{G}{G}: Grifo Setessano recebe +2/+2 até o final do turno. Ative esta habilidade apenas uma vez a cada turno.</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</si>
  <si>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</si>
  <si>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</si>
  <si>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</si>
  <si>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</si>
  <si>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</si>
  <si>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</si>
  <si>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Sewer-veillance Cam</t>
  </si>
  <si>
    <t>Flash When this artifact enters or leaves the battlefield, you may tap or untap target creature. {3}{U}, Sacrifice this artifact: Draw two cards.</t>
  </si>
  <si>
    <t>Sex Appeal</t>
  </si>
  <si>
    <t>Prevent up to 3 damage total to any number of creatures and/or players. If there are more players in the room of the opposite sex, prevent up to 3 additional damage total to any number of creatures and/or players.</t>
  </si>
  <si>
    <t>White/Preto</t>
  </si>
  <si>
    <t>Shackle Slinger / Lançador de Algemas</t>
  </si>
  <si>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</si>
  <si>
    <t>Shackles / Grilhões</t>
  </si>
  <si>
    <t>Enchanted creature doesn't untap during its controller's untap step. {W}: Return Shackles to its owner's hand. / A criatura encantada não desvira durante a etapa de desvirar de seu controlador. {W}: Devolva Grilhões para a mão de seu dono.</t>
  </si>
  <si>
    <t>Shadow Urchin</t>
  </si>
  <si>
    <t>Creature — Ouphe</t>
  </si>
  <si>
    <t>Whenever this creature attacks, blight 1. (Put a -1/-1 counter on a creature you control.) Whenever a creature you control with one or more counters on it dies, exile that many cards from the top of your library. Until your next end step, you may play those cards.</t>
  </si>
  <si>
    <t>Shadow-Rite Priest / Sacerdote do Rito das Sombras</t>
  </si>
  <si>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</si>
  <si>
    <t>Shadowfax, Lord of Horses / Scadufax, Senhor dos Cavalos</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</si>
  <si>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</si>
  <si>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</si>
  <si>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Vermelho e Branco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</si>
  <si>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</si>
  <si>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</si>
  <si>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</si>
  <si>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Shambling Cie'th / Cie'th Cambaleante</t>
  </si>
  <si>
    <t>Criatura — Mutante Horror</t>
  </si>
  <si>
    <t>Esta criatura entra virada. Sempre que você conjurar uma mágica que não seja de criatura, você pode pagar {B}. Se fizer isso, devolva este card de seu cemitério para sua mão.</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</si>
  <si>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</si>
  <si>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</si>
  <si>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</si>
  <si>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</si>
  <si>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Shambling Suit / Armadura em Frangalhos</t>
  </si>
  <si>
    <t>Shambling Suit's power is equal to the number of artifacts and/or enchantments you control. / O poder de Armadura em Frangalhos é igual ao número de artefatos e/ou encantamentos que você controla.</t>
  </si>
  <si>
    <t>Shard of Broken Glass / Fragmento de Vidro</t>
  </si>
  <si>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</si>
  <si>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</si>
  <si>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</si>
  <si>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Rise of the Eldrazi (ROE)</t>
  </si>
  <si>
    <t>Shared Roots</t>
  </si>
  <si>
    <t>Search your library for a basic land card, put it onto the battlefield tapped, then shuffle.</t>
  </si>
  <si>
    <t>Shark Shredder, Killer Clone</t>
  </si>
  <si>
    <t>Legendary Creature — Shark Octopus Ninja</t>
  </si>
  <si>
    <t>Sneak {3}{B}{B} First strike Whenever Shark Shredder deals combat damage to a player, put up to one target creature card from that player's graveyard onto the battlefield under your control. It enters tapped and attacking that player.</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</si>
  <si>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</si>
  <si>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</si>
  <si>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</si>
  <si>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Sharlayan, Nation of Scholars / Sharlayan, Nação de Estudiosos</t>
  </si>
  <si>
    <t>Este terreno entra virado. {T}: Adicione {W} ou {U}.</t>
  </si>
  <si>
    <t>Shatter / Estilhaçar</t>
  </si>
  <si>
    <t>Destroy target artifact. / Destrói artefato-alvo.</t>
  </si>
  <si>
    <t>Destroy target artifact. / Destrua o artefato alvo.</t>
  </si>
  <si>
    <t>Shattering Blow / Golpe Despedaçador</t>
  </si>
  <si>
    <t>Exile target artifact. / Exile o artefato alvo.</t>
  </si>
  <si>
    <t>Shed Weakness / Eliminar Fraqueza</t>
  </si>
  <si>
    <t>Target creature gets +2/+2 until end of turn. You may remove a -1/-1 counter from it. / A criatura alvo recebe +2/+2 até o final do turno. Você pode remover um marcador -1/-1 dela.</t>
  </si>
  <si>
    <t>Sheltering Boughs / Ramos Protetores</t>
  </si>
  <si>
    <t>Enchant creature When this Aura enters, draw a card. Enchanted creature gets +1/+3. / Encantar criatura Quando Ramos Protetores entrar no campo de batalha, compre um card. A criatura encantada recebe +1/+3.</t>
  </si>
  <si>
    <t>Sheriff of Safe Passage / Xerife da Passagem Segura</t>
  </si>
  <si>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</si>
  <si>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</si>
  <si>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</si>
  <si>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Shield of Duty and Reason</t>
  </si>
  <si>
    <t>Enchanted creature has protection from green and from blue.</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</si>
  <si>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</si>
  <si>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</si>
  <si>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{2}{G/W}</t>
  </si>
  <si>
    <t>Shield-Wall Sentinel / Sentinela da Barreira de Escudos</t>
  </si>
  <si>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</si>
  <si>
    <t>Shigeki's Gambit / Presa de Shigeki</t>
  </si>
  <si>
    <t>Enchantment Creature — Snake Ninja / Criatura Encantamento — Cobra Ninja</t>
  </si>
  <si>
    <t>Shimian Night Stalker</t>
  </si>
  <si>
    <t>{B}, {T}: All damage that would be dealt to you this turn by target attacking creature is dealt to this creature instead.</t>
  </si>
  <si>
    <t>Chonicles</t>
  </si>
  <si>
    <t>Shimmercreep</t>
  </si>
  <si>
    <t>Creature — Elemental</t>
  </si>
  <si>
    <t>Menace. Vivid — When this creature enters, each opponent loses X life and you gain X life, where X is the number of colors among permanents you control.</t>
  </si>
  <si>
    <t>Shinra Reinforcements</t>
  </si>
  <si>
    <t>When this creature enters, mill three cards and you gain 3 life. (To mill three cards, put the top three cards of your library into your graveyard.)</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</si>
  <si>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</si>
  <si>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</si>
  <si>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</si>
  <si>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Shirei, Shizo's Caretaker / Shirei, Vigia de Shizo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</si>
  <si>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</si>
  <si>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Shock / Choque</t>
  </si>
  <si>
    <t>Choque causa 2 de dano à criatura ou ao jogador alvo.</t>
  </si>
  <si>
    <t>Shore Keeper / Guardião da Costa</t>
  </si>
  <si>
    <t>Creature — Trilobite / Criatura — Trilobita</t>
  </si>
  <si>
    <t>{7}{U}, {T}, Sacrifice this creature: Draw three cards. / {7}{U}, {T}, sacrifique Guardião da Costa: Compre três cards.</t>
  </si>
  <si>
    <t>Shore Lurker</t>
  </si>
  <si>
    <t>Creature — Merfolk Scout</t>
  </si>
  <si>
    <t>Flying When this creature enters, surveil 1. (Look at the top card of your library. You may put it into your graveyard.)</t>
  </si>
  <si>
    <t>Shredder, Unrelenting</t>
  </si>
  <si>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</si>
  <si>
    <t>Shredder's Armor</t>
  </si>
  <si>
    <t>Equipped creature gets +2/+1. When this Equipment enters, attach it to target creature you control. Equip—Sacrifice another nonland permanent. Activate only once each turn.</t>
  </si>
  <si>
    <t>Shredder's Revenge</t>
  </si>
  <si>
    <t>Choose one — • Target player discards two cards. • Target player draws two cards and loses 2 life.</t>
  </si>
  <si>
    <t>Shrewd Storyteller</t>
  </si>
  <si>
    <t>Creature — Human Survivor</t>
  </si>
  <si>
    <t>Survival — At the beginning of your second main phase, if this creature is tapped, put a +1/+1 counter on target creature.</t>
  </si>
  <si>
    <t>Shriekdiver / Guinchador de Mergulho</t>
  </si>
  <si>
    <t>Creature — Zombie Bird Warrior / Criatura — Zumbi Ave Guerreiro</t>
  </si>
  <si>
    <t>Flying {1}: This creature gains haste until end of turn. / Voar {1}: Guinchador de Mergulho ganha ímpeto até o final do turno.</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</si>
  <si>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</si>
  <si>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</si>
  <si>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Shrine Steward / Zelador do Sacrário</t>
  </si>
  <si>
    <t>When Shrine Steward enters the battlefield, you may search your library for an Aura or Shrine card, reveal it, put it into your hand, then shuffle.</t>
  </si>
  <si>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</si>
  <si>
    <t>Shrivel</t>
  </si>
  <si>
    <t>All creatures get -1/-1 until end of turn.</t>
  </si>
  <si>
    <t>Shroudstomper</t>
  </si>
  <si>
    <t>Deathtouch Whenever this creature enters or attacks, each opponent loses 2 life. You gain 2 life and draw a card.</t>
  </si>
  <si>
    <t>{3}{W}{W}{B}{B}</t>
  </si>
  <si>
    <t>Sickle Ripper / Estripador da Foice</t>
  </si>
  <si>
    <t>Creature — Elemental Warrior / Criatura — Elemental Guerreiro</t>
  </si>
  <si>
    <t>Wither (This deals damage to creatures in the form of -1/-1 counters.) / Murchar (Esta fonte causa dano a criaturas na forma de marcadores -1/-1.)</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</si>
  <si>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</si>
  <si>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</si>
  <si>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Sidequest: Card Collection / Missão Secundária: Coleção de Cards</t>
  </si>
  <si>
    <t>Quando este encantamento entrar, compre três cards e depois descarte dois cards. No início de sua etapa final, se houver oito ou mais cards em seu cemitério, transforme este encantamento.</t>
  </si>
  <si>
    <t>Sidequest: Card Collection // Magicked Card</t>
  </si>
  <si>
    <t>Enchantment // Artifact — Vehicle</t>
  </si>
  <si>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</si>
  <si>
    <t>Final Fantasy (FIN)</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</si>
  <si>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</si>
  <si>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</si>
  <si>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</si>
  <si>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</si>
  <si>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</si>
  <si>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</si>
  <si>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</si>
  <si>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</si>
  <si>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</si>
  <si>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</si>
  <si>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</si>
  <si>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Siege Zombie / Zumbi de Cerco</t>
  </si>
  <si>
    <t>Tap three untapped creatures you control: Each opponent loses 1 life. / Vire três criaturas desviradas que você controla: Cada oponente perde 1 ponto de vida.</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</si>
  <si>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</si>
  <si>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</si>
  <si>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Sightless Ghoul / Carniçal Cego</t>
  </si>
  <si>
    <t>Creature — Zombie Soldier / Criatura — Zumbi Soldado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</si>
  <si>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</si>
  <si>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</si>
  <si>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</si>
  <si>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</si>
  <si>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Sigil of the New Dawn / Chancela do Recomeço</t>
  </si>
  <si>
    <t>Whenever a creature is put into your graveyard from the battlefield, you may pay {1}{W}. If you do, return that card to your hand. / Toda vez que uma criatura for colocada em seu cemitério vinda de jogo, você pode pagar {1}{W}. Se o fizer, devolva aquele card para sua mão.</t>
  </si>
  <si>
    <t>Silence the Believers / Silenciar os Crentes</t>
  </si>
  <si>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</si>
  <si>
    <t>Silent Artisan / Artesão Silencioso</t>
  </si>
  <si>
    <t>Silent Dart / Dardo de Pulso</t>
  </si>
  <si>
    <t>{4}, {T}, Sacrifice this artifact: It deals 3 damage to target creature. / {4}, {T}, sacrifique Dardo de Pulso: Ele causa 3 pontos de dano à criatura alvo.</t>
  </si>
  <si>
    <t>Silhana Wayfinder / Trilheiro Silhana</t>
  </si>
  <si>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</si>
  <si>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</si>
  <si>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</si>
  <si>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</si>
  <si>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Silvercoat Lion / Leão Pele-de-Prata</t>
  </si>
  <si>
    <t>Silvergill Mentor</t>
  </si>
  <si>
    <t>As an additional cost to cast this spell, behold a Merfolk or pay {2}. (To behold a Merfolk, choose a Merfolk you control or reveal a Merfolk card from your hand.) When this creature enters, create a 1/1 white and blue Merfolk creature token.</t>
  </si>
  <si>
    <t>Silvergill Peddler</t>
  </si>
  <si>
    <t>Creature — Merfolk Citizen</t>
  </si>
  <si>
    <t>Whenever this creature becomes tapped, draw a card, then discard a card.</t>
  </si>
  <si>
    <t>Simian Sling / Lançador Símio</t>
  </si>
  <si>
    <t>Artifact Creature — Equipment Monkey / Criatura Artefato — Equipamento Macaco</t>
  </si>
  <si>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</si>
  <si>
    <t>Simulacrum / Simulacro</t>
  </si>
  <si>
    <t>You gain life equal to the damage dealt to you this turn. Simulacrum deals damage to target creature you control equal to the damage dealt to you this turn.</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</si>
  <si>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</si>
  <si>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</si>
  <si>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</si>
  <si>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</si>
  <si>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</si>
  <si>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</si>
  <si>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</si>
  <si>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</si>
  <si>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Sisters of the Flame / Irmãs da Chama</t>
  </si>
  <si>
    <t>{T}: Add {R}.</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</si>
  <si>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</si>
  <si>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</si>
  <si>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</si>
  <si>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Sizzling Changeling</t>
  </si>
  <si>
    <t>Changeling (This card is every creature type.) When this creature dies, exile the top card of your library. Until the end of your next turn, you may play that card.</t>
  </si>
  <si>
    <t>Skanos Dragonheart / Skanos Coração Dracônico</t>
  </si>
  <si>
    <t>Legendary Creature — Dragon Ranger / Criatura Lendária — Dragão Guardião</t>
  </si>
  <si>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</si>
  <si>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</si>
  <si>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</si>
  <si>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{6}{G}{G}</t>
  </si>
  <si>
    <t>Skarrgan Hellkite / Dragão Avérneo de Skarrgan</t>
  </si>
  <si>
    <t>Criatura — Dragão</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</si>
  <si>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</si>
  <si>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</si>
  <si>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Skarrgan Pit-Skulk / Esguio do Fosso Skarrgan</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</si>
  <si>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</si>
  <si>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Skateboard</t>
  </si>
  <si>
    <t>When this Equipment enters, tap target permanent. Equipped creature gets +1/+0 and has haste. Equip {1} ({1}: Attach to target creature you control. Equip only as a sorcery.)</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</si>
  <si>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</si>
  <si>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</si>
  <si>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Skirk Commando / Comando de Skirk</t>
  </si>
  <si>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</si>
  <si>
    <t>Skirk Marauder / Saqueador de Skirk</t>
  </si>
  <si>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</si>
  <si>
    <t>Arena League 2003 (PAL03)</t>
  </si>
  <si>
    <t>Skirk Outrider / Vanguardeiro de Skirk</t>
  </si>
  <si>
    <t>As long as you control a Beast, this creature gets +2/+2 and has trample. / Vanguardeiro de Skirk recebe +2/+2 e tem a habilidade de atropelar desde que você controle uma Besta.</t>
  </si>
  <si>
    <t>Skirk Volcanist / Vulcanólogo de Skirk</t>
  </si>
  <si>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</si>
  <si>
    <t>Skoa, Embermage / Skoa, Maga Ígnea</t>
  </si>
  <si>
    <t>Legendary Creature — Goblin Wizard / Criatura Lendária — Goblin Mago</t>
  </si>
  <si>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</si>
  <si>
    <t>Skull Catapult / Catapulta de Crânios</t>
  </si>
  <si>
    <t>{1}, {T}, Sacrifice a creature: This artifact deals 2 damage to any target.</t>
  </si>
  <si>
    <t>{1}, {T}, Sacrifice a creature: Skull Catapult deals 2 damage to target creature or player. / {1}, {T}, Sacrifique uma criatura: Catapulta de Crânios causa 2 pontos de dano à criatura ou jogador alvo.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</si>
  <si>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</si>
  <si>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</si>
  <si>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</si>
  <si>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Sky Crier / Serralheira dos Arranha-céus</t>
  </si>
  <si>
    <t>Reach. Whenever Sky Crier blocks a creature with flying, it gets +2/+0 until end of turn. / Alcance. Toda vez que Serralheira dos Arranha-céus bloqueia uma criatura com voar, Serralheira dos Arranha-céus recebe +2/+0 até o final do turno.</t>
  </si>
  <si>
    <t>Sky Diamond</t>
  </si>
  <si>
    <t>Sky Diamond comes into play tapped. {T}: Add {U} to your mana pool. Play this ability as a mana source.</t>
  </si>
  <si>
    <t>Sky Tether / Corrente Celeste</t>
  </si>
  <si>
    <t>Enchant creature Enchanted creature has defender and loses flying. / Encantar criatura A criatura encantada tem defensor e perde voar.</t>
  </si>
  <si>
    <t>Sky Theater Strix / Strix do Palco Celeste</t>
  </si>
  <si>
    <t>Flying Whenever you cast a noncreature spell, this creature gets +1/+0 until end of turn. / Voar Toda vez que você conjura uma mágica que não seja de criatura, Strix do Palco Celeste recebe +1/+0 até o final do turno.</t>
  </si>
  <si>
    <t>Skybox Ferry</t>
  </si>
  <si>
    <t>Flying Crew 2 (Tap any number of creatures you control with total power 2 or more: This Vehicle becomes an artifact creature until end of turn.) Cycling {2} ({2}, Discard this card: Draw a card.)</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</si>
  <si>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</si>
  <si>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</si>
  <si>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Skyraker Giant / Gigante Varredor do Céu</t>
  </si>
  <si>
    <t>Reach (This creature can block creatures with flying.) / Alcance (Esta criatura pode bloquear criaturas com voar.)</t>
  </si>
  <si>
    <t>Skyreach Manta</t>
  </si>
  <si>
    <t>Artifact Creature — Fish</t>
  </si>
  <si>
    <t>Sunburst (This enters the battlefield with a +1/+1 counter on it for each color of mana spent to cast it.) Flying</t>
  </si>
  <si>
    <t>Skyshaper / Modelador de Céus</t>
  </si>
  <si>
    <t>Sacrifice Skyshaper: All creatures you control gain flying until end of turn.</t>
  </si>
  <si>
    <t>Skyspear Cavalry / Cavalaria da Lança Celeste</t>
  </si>
  <si>
    <t>Flying Double strike (This creature deals both first-strike and regular combat damage.) / Voar Golpe duplo (Esta criatura causa tanto o dano de iniciativa quanto o de combate normal.)</t>
  </si>
  <si>
    <t>Skyway Sniper / Atiradora do Céu Aberto</t>
  </si>
  <si>
    <t>Reach (This creature can block creatures with flying.) {2}{G}: This creature deals 1 damage to target creature with flying. / Alcance (Esta criatura pode bloquear criaturas com voar.) {2}{G}: Atiradora do Céu Aberto causa 1 ponto de dano à criatura alvo com voar.</t>
  </si>
  <si>
    <t>Slash of Light / Golpe de Luz</t>
  </si>
  <si>
    <t>Golpe de Luz causa à criatura alvo uma quantidade de dano igual ao número de criaturas que você controla somado ao número de Equipamentos que você controla.</t>
  </si>
  <si>
    <t>Slate Street Ruffian / Rufião da Rua de Ardósia</t>
  </si>
  <si>
    <t>Whenever this creature becomes blocked, defending player discards a card. / Toda vez que Rufião da Rua de Ardósia é bloqueado, o jogador defensor descarta um card.</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</si>
  <si>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</si>
  <si>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</si>
  <si>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Slavering Branchsnapper</t>
  </si>
  <si>
    <t>Creature — Lizard</t>
  </si>
  <si>
    <t>Trample Forestcycling {2} ({2}, Discard this card: Search your library for a Forest card, reveal it, put it into your hand, then shuffle.)</t>
  </si>
  <si>
    <t>Sleep Magic / Magia do Sono</t>
  </si>
  <si>
    <t>Encantar criatura. Quando esta Aura entrar, vire a criatura encantada. A criatura encantada não desvire durante a etapa de desvirar de seu controlador. Quando for causado dano à criatura encantada, sacrifique esta Aura.</t>
  </si>
  <si>
    <t>Slice and Dice / Despedaçar</t>
  </si>
  <si>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</si>
  <si>
    <t>Sling-Gang Lieutenant / Tenente da Gangue Atiradeira</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</si>
  <si>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</si>
  <si>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Slithering Cryptid</t>
  </si>
  <si>
    <t>Creature — Fish Mutant</t>
  </si>
  <si>
    <t>{2}{G/U}</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</si>
  <si>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</si>
  <si>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</si>
  <si>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</si>
  <si>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</si>
  <si>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Smite / Castigo</t>
  </si>
  <si>
    <t>Destroy target blocked creature. / Destrua a criatura bloqueada alvo.</t>
  </si>
  <si>
    <t>Smiting Helix / Hélice Fulminante</t>
  </si>
  <si>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</si>
  <si>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</si>
  <si>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</si>
  <si>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Smoke Teller / Vidente da Fumaça</t>
  </si>
  <si>
    <t>{1}{U}: Look at target face-down creature. / {1}{U}: Olhe a criatura alvo voltada para baixo.</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</si>
  <si>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</si>
  <si>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</si>
  <si>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</si>
  <si>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</si>
  <si>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</si>
  <si>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</si>
  <si>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Snow Villiers / Snow Villiers</t>
  </si>
  <si>
    <t>Criatura Lendária — Humano Rebelde Monge</t>
  </si>
  <si>
    <t>Vigilância. O poder de Snow Villiers é igual ao número de criaturas que você controla.</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</si>
  <si>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</si>
  <si>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</si>
  <si>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So Tiny / Tão Pequenininho</t>
  </si>
  <si>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</si>
  <si>
    <t>Soaring Drake / Dragonete Planador</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</si>
  <si>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</si>
  <si>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</si>
  <si>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</si>
  <si>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Sokka, Bold Boomeranger</t>
  </si>
  <si>
    <t>When Sokka enters, discard up to two cards, then draw that many cards. Whenever you cast an artifact or Lesson spell, put a +1/+1 counter on Sokka.</t>
  </si>
  <si>
    <t>Sokka, Lateral Strategist</t>
  </si>
  <si>
    <t>Vigilance Whenever Sokka and at least one other creature attack, draw a card.</t>
  </si>
  <si>
    <t>{1}{W/U}{W/U}</t>
  </si>
  <si>
    <t>Sokka's Sword Training</t>
  </si>
  <si>
    <t>Target creature gets +2/+2 until end of turn. Create a Clue token. (It's an artifact with "{2}, Sacrifice this token: Draw a card.")</t>
  </si>
  <si>
    <t>Sol Ring</t>
  </si>
  <si>
    <t>{T}: Add {C}{C}.</t>
  </si>
  <si>
    <t>Commander (SOC)</t>
  </si>
  <si>
    <t>Solar Transformer / Transformador Solar</t>
  </si>
  <si>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</si>
  <si>
    <t>Sold Out</t>
  </si>
  <si>
    <t>Exile target creature. If it was dealt damage this turn, create a Clue token. (It's an artifact with "{2}, Sacrifice this token: Draw a card.")</t>
  </si>
  <si>
    <t>Soldevi Heretic / Herege Soldeviano</t>
  </si>
  <si>
    <t>{W}, {T}: Prevent the next 2 damage that would be dealt to target creature this turn. Target opponent may draw a card.</t>
  </si>
  <si>
    <t>Soldevi Simulacrum / Simulacro Soldeviano</t>
  </si>
  <si>
    <t>Artifact Creature — Soldier</t>
  </si>
  <si>
    <t>Cumulative upkeep {1} (At the beginning of your upkeep, put an age counter on this permanent, then sacrifice it unless you pay its upkeep cost for each age counter on it.) {1}: This creature gets +1/+0 until end of turn.</t>
  </si>
  <si>
    <t>Soldevi Steam Beast</t>
  </si>
  <si>
    <t>Whenever Soldevi Steam Beast becomes tapped, target opponent gains 2 life. {2}: Regenerate.</t>
  </si>
  <si>
    <t>Soldevi Steam Beast / Besta de Vapor Soldevi</t>
  </si>
  <si>
    <t>Artifact Creature — Beast / Criatura Artefato — Besta</t>
  </si>
  <si>
    <t>Whenever Soldevi Steam Beast becomes tapped, target opponent gains 2 life. {2}: Regenerate. / Sempre que Besta de Vapor Soldevi se torna virada, o oponente alvo ganha 2 pontos de vida. {2}: Regenerar.</t>
  </si>
  <si>
    <t>Soldier of the Grey Host / Soldado da Hoste Cinzenta</t>
  </si>
  <si>
    <t>Creature — Spirit Soldier / Criatura — Espírito Soldado</t>
  </si>
  <si>
    <t>Flash. Flying. When Soldier of the Grey Host enters the battlefield, target creature gets +2/+0 until end of turn. / Lampejo. Voar. Quando Soldado da Hoste Cinzenta entra no campo de batalha, a criatura alvo recebe +2/+0 até o final do turno.</t>
  </si>
  <si>
    <t>Solidarity of Heroes / Solidariedade dos Heróis</t>
  </si>
  <si>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</si>
  <si>
    <t>Commander 2016 (C16)</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</si>
  <si>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</si>
  <si>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</si>
  <si>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Soltari Lancer / Lanceiro Soltari</t>
  </si>
  <si>
    <t>Shadow (This creature can block or be blocked by only creatures with shadow). First strike when attacking. / Sombra (Esta criatura pode bloquear ou ser bloqueada apenas por criaturas com sombra). Iniciativa quando ataca.</t>
  </si>
  <si>
    <t>Soltari Monk</t>
  </si>
  <si>
    <t>Summon Cleric</t>
  </si>
  <si>
    <t>Protection from Preto; shadow (This creature can block or be blocked by only creatures with shadow.)</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</si>
  <si>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</si>
  <si>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</si>
  <si>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Sonar Strike</t>
  </si>
  <si>
    <t>Sonar Strike deals 4 damage to target attacking, blocking, or tapped creature. You gain 3 life if you control a Bat.</t>
  </si>
  <si>
    <t>Song of Freyalise / Canção de Freyalise</t>
  </si>
  <si>
    <t>Enchantment — Saga / Encantamento — Saga</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</si>
  <si>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</si>
  <si>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Sorcerer's Broom / Vassoura do Feiticeiro</t>
  </si>
  <si>
    <t>Whenever you sacrifice another permanent, you may pay {3}. If you do, create a token that's a copy of this creature. / Toda vez que sacrifica outra permanente, você pode pagar {3}. Se fizer isso, crie uma ficha que seja uma cópia de Vassoura do Feiticeiro.</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</si>
  <si>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</si>
  <si>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</si>
  <si>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</si>
  <si>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</si>
  <si>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Soul Enervation / Enervação da Alma</t>
  </si>
  <si>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</si>
  <si>
    <t>Soul Kiss / Beijo da Alma</t>
  </si>
  <si>
    <t>Enchant creature {B}, Pay 1 life: Enchanted creature gets +2/+2 until end of turn. Activate no more than three times each turn.</t>
  </si>
  <si>
    <t>Soul Net / Rede de Almas</t>
  </si>
  <si>
    <t>Whenever a creature dies, you may pay {1}. If you do, you gain 1 life.</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</si>
  <si>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</si>
  <si>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</si>
  <si>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Soul-Shackled Zombie</t>
  </si>
  <si>
    <t>When this creature enters, exile up to two target cards from a single graveyard. If at least one creature card was exiled this way, each opponent loses 2 life and you gain 2 life.</t>
  </si>
  <si>
    <t>Soul's Might / Poder da Alma</t>
  </si>
  <si>
    <t>Put X +1/+1 counters on target creature, where X is that creature's power. / Coloque X marcadores +1/+1 na criatura alvo, sendo X igual ao poder daquela criatura.</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</si>
  <si>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</si>
  <si>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</si>
  <si>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Soulcipher Board / Tábua do Código Espiritual</t>
  </si>
  <si>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</si>
  <si>
    <t>Soulflayer / Flagelador de Alma</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</si>
  <si>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</si>
  <si>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</si>
  <si>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</si>
  <si>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</si>
  <si>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Spara's Adjudicators / Árbitros de Spara</t>
  </si>
  <si>
    <t>Creature — Cat Citizen / Criatura — Felino Cidadão</t>
  </si>
  <si>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</si>
  <si>
    <t>Spare from Evil / Poupar do Mal</t>
  </si>
  <si>
    <t>Creatures you control gain protection from non-Human creatures until end of turn. / As criaturas que você controla ganham proteção contra criaturas que não sejam do tipo Humano até o final do turno.</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</si>
  <si>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</si>
  <si>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</si>
  <si>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Sparkmage Apprentice / Aprendiz de Piromante de Centelhas</t>
  </si>
  <si>
    <t>Quando Aprendiz de Piromante de Centelhas entra no campo de batalha, ele causa 1 de dano à criatura ou ao jogador alvo.</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</si>
  <si>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</si>
  <si>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</si>
  <si>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</si>
  <si>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2{B}{B}</t>
  </si>
  <si>
    <t>Spawn of Thraxes / Prole de Traxes</t>
  </si>
  <si>
    <t>Voar Quando Prole de Traxes entra no campo de batalha, ele causa ao jogador ou à criatura alvo uma quantidade de dano igual ao número de Montanhas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</si>
  <si>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</si>
  <si>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Spawnwrithe / Serpentóide</t>
  </si>
  <si>
    <t>Trample. Whenever Spawnwrithe deals combat damage to a player, put a token into play that's a copy of Spawnwrithe. / Atropelar. Toda vez que Serpentóide causar dano de combate a um jogador, coloque em jogo uma ficha que seja uma cópia de Serpentóide.</t>
  </si>
  <si>
    <t>Specimen Collector / Coletora de Espécimes</t>
  </si>
  <si>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</si>
  <si>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</si>
  <si>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</si>
  <si>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</si>
  <si>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</si>
  <si>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Spectral Snatcher</t>
  </si>
  <si>
    <t>Ward—Discard a card. (Whenever this creature becomes the target of a spell or ability an opponent controls, counter it unless that player discards a card.) Swampcycling {2} ({2}, Discard this card: Search your library for a Swamp card, reveal it, put it into your hand, then shuffle.)</t>
  </si>
  <si>
    <t>Spell Pierce / Perfurar Mágica</t>
  </si>
  <si>
    <t>Counter target noncreature spell unless its controller pays {2}. / Anule a mágica não de criatura alvo, a menos que seu controlador pague {2}.</t>
  </si>
  <si>
    <t>Store Championships (SCH)</t>
  </si>
  <si>
    <t>Spellbook Seeker / Buscador de Grimórios</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</si>
  <si>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</si>
  <si>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Spellskite / Pique do Trovador Mágico</t>
  </si>
  <si>
    <t>Equipped creature has first strike and gets +X/+0, where X is the number of instant and sorcery cards in your graveyard. Equip {2}</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</si>
  <si>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</si>
  <si>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</si>
  <si>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</si>
  <si>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Spicy Oatmeal Pizza</t>
  </si>
  <si>
    <t>When this artifact enters, it deals 4 damage to any target and 3 damage to you. {2}, {T}, Sacrifice this artifact: You gain 3 life.</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</si>
  <si>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</si>
  <si>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</si>
  <si>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Spider-Bot / Aranha-Robô</t>
  </si>
  <si>
    <t>Criatura Artefato — Aranha Robô Olheiro</t>
  </si>
  <si>
    <t>Alcance. Quando esta criatura entrar, você poderá procurar em seu grimório por um card de terreno básico, revelá-lo, depois embaralhar e colocar aquele card no topo.</t>
  </si>
  <si>
    <t>Spider-Gwen, Free Spirit / Spider-Gwen, Espírito Livre</t>
  </si>
  <si>
    <t>Criatura Lendária — Aranha Humano Herói</t>
  </si>
  <si>
    <t>Alcance. Sempre que Spider-Gwen tornar-se virada, você pode descartar um card. Se fizer isso, compre um card.</t>
  </si>
  <si>
    <t>Spider-Man, Web-Slinger / Homem-Aranha, Lançador de Teias</t>
  </si>
  <si>
    <t>Lançamento de Teia {W} (Você pode conjurar esta mágica por {W} se você também devolver uma criatura virada que você controla para a mão de seu dono.)</t>
  </si>
  <si>
    <t>Spiked Pit Trap / Armadilha do Poço com Estacas</t>
  </si>
  <si>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</si>
  <si>
    <t>Spikeshot Goblin / Goblin Atira-Ferrões</t>
  </si>
  <si>
    <t>{R}, {T}: This creature deals damage equal to its power to any target. / {R}, {T}: Goblin Atira-Ferrões causa uma quantidade de dano igual ao seu poder à criatura alvo ou ao jogador alvo.</t>
  </si>
  <si>
    <t>Spin Out</t>
  </si>
  <si>
    <t>Destroy target creature or Vehicle.</t>
  </si>
  <si>
    <t>Spire Golem</t>
  </si>
  <si>
    <t>Affinity for Islands (This spell costs 1 less to play for each Island you control.) Flying</t>
  </si>
  <si>
    <t>Spire Mangler / Desmembrador da Torre</t>
  </si>
  <si>
    <t>Flash Flying When this creature enters, target creature you control with flying gets +2/+0 until end of turn. / Lampejo Voar Quando Desmembrador da Torre entra no campo de batalha, a criatura alvo que você controla com voar recebe +2/+0 até o final do turno.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</si>
  <si>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</si>
  <si>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</si>
  <si>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Mirrodin Besieged (MBS)</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</si>
  <si>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</si>
  <si>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</si>
  <si>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</si>
  <si>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Spirit of the Hunt / Espírito da Caça</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</si>
  <si>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</si>
  <si>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Spirit Shackle / Grilhões do Espírito</t>
  </si>
  <si>
    <t>Enchant creature Whenever enchanted creature becomes tapped, put a -0/-2 counter on it.</t>
  </si>
  <si>
    <t>Spitebellows / Bocarras Hostis</t>
  </si>
  <si>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</si>
  <si>
    <t>Spiteflame Witch / Bruxa da Chama Maliciosa</t>
  </si>
  <si>
    <t>{B}{R}: Each player loses 1 life. / {B}{R}: Cada jogador perde 1 ponto de vida.</t>
  </si>
  <si>
    <t>{1}{B/R}</t>
  </si>
  <si>
    <t>Spiteful Blow / Golpe Malévolo</t>
  </si>
  <si>
    <t>Destroy target creature and target land. / Destrua a criatura alvo e o terreno alvo.</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</si>
  <si>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</si>
  <si>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</si>
  <si>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Spitfire Handler / Manuseador de Cospe-Fogos</t>
  </si>
  <si>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</si>
  <si>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</si>
  <si>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</si>
  <si>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Spitting Earth / Golfada de Terra</t>
  </si>
  <si>
    <t>Spitting Earth deals damage to target creature equal to the number of Mountains you control. / Golfada de Terra causa à criatura alvo uma quantidade de dano igual ao número de Montanhas que você controla.</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</si>
  <si>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</si>
  <si>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</si>
  <si>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Splitskin Doll</t>
  </si>
  <si>
    <t>When this creature enters, draw a card. Then discard a card unless you control another creature with power 2 or less.</t>
  </si>
  <si>
    <t>Spontaneous Mutation / Mutação Espontânea</t>
  </si>
  <si>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</si>
  <si>
    <t>Spore Crawler / Rastejante dos Esporos</t>
  </si>
  <si>
    <t>When Spore Crawler dies, draw a card. / Quando Rastejante dos Esporos morrer, compre um card.</t>
  </si>
  <si>
    <t>Squad Rallier</t>
  </si>
  <si>
    <t>{2}{W}: Look at the top four cards of your library. You may reveal a creature card with power 2 or less from among them and put it into your hand. Put the rest on the bottom of your library in a random order.</t>
  </si>
  <si>
    <t>Squall Leonhart // Danitha Capashen, Paragon / Squall Leonhart // Danitha Capashen, Exemplar</t>
  </si>
  <si>
    <t>Iniciativa, vigilância, vínculo com a vida. As mágicas de Aura e de Equipamento que você conjura custam {1} a menos para serem conjuradas.</t>
  </si>
  <si>
    <t>Squee, the Immortal / Squee, o Imortal</t>
  </si>
  <si>
    <t>You may cast this card from your graveyard or from exile. / Você pode conjurar Squee, o Imortal, a partir de seu cemitério ou do exílio.</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</si>
  <si>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</si>
  <si>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</si>
  <si>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Squire's Lightblade / Lâmina de Luz do Escudeiro</t>
  </si>
  <si>
    <t>Lampejo. Quando este Equipamento entrar, anexe-o à criatura alvo que você controla. Aquela criatura ganha iniciativa até o final do turno. A criatura equipada recebe +1/+0. Equipar {3}</t>
  </si>
  <si>
    <t>Squirrelanoids</t>
  </si>
  <si>
    <t>Creature — Squirrel Mutant</t>
  </si>
  <si>
    <t>Deathtouch</t>
  </si>
  <si>
    <t>Sram's Expertise / Especialidade de Sram</t>
  </si>
  <si>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</si>
  <si>
    <t>Stadium Tidalmage / Mago das Marés do Estádio</t>
  </si>
  <si>
    <t>Criatura — Djinn Feiticeiro</t>
  </si>
  <si>
    <t>Sempre que esta criatura entrar ou atacar, você pode comprar um card. Se fizer isso, descarte um card.</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</si>
  <si>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</si>
  <si>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</si>
  <si>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Stalwarts of Osgiliath / Destemidos de Osgiliath</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</si>
  <si>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</si>
  <si>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Stampede Rider / Ginete da Debandada</t>
  </si>
  <si>
    <t>Creature — Satyr / Criatura — Sátiro</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</si>
  <si>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</si>
  <si>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Stampeding Horncrest / Cristocórneo Desembestado</t>
  </si>
  <si>
    <t>This creature has haste as long as you control another Dinosaur. / Cristocórneo Desembestado terá ímpeto enquanto você controlar outro Dinossauro.</t>
  </si>
  <si>
    <t>Stampeding Scurryfoot</t>
  </si>
  <si>
    <t>Creature — Mouse</t>
  </si>
  <si>
    <t>Exhaust — {3}{G}: Put a +1/+1 counter on this creature. Create a 3/3 green Elephant creature token. (Activate each exhaust ability only once.)</t>
  </si>
  <si>
    <t>Starfighter Pilot / Piloto de Caça Estelar</t>
  </si>
  <si>
    <t>Criatura — Humano Piloto</t>
  </si>
  <si>
    <t>Sempre que esta criatura tornar-se virada, vigie 1. (Para vigiar 1, olhe o card do topo de seu grimório. Você pode colocá-lo em seu cemitério.)</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</si>
  <si>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</si>
  <si>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</si>
  <si>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Stark Industries Executive / Executivo das Indústrias Stark</t>
  </si>
  <si>
    <t>Criatura — Humano Conselheiro</t>
  </si>
  <si>
    <t>{2}, {T}: Crie uma ficha de Tesouro. (Ela é um artefato com "{T}, Sacrifique esta ficha: Adicione um mana de qualquer cor.")</t>
  </si>
  <si>
    <t>Starlit Soothsayer</t>
  </si>
  <si>
    <t>Flying At the beginning of your end step, if you gained or lost life this turn, surveil 1. (Look at the top card of your library. You may put it into your graveyard.)</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</si>
  <si>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</si>
  <si>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</si>
  <si>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</si>
  <si>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Startled Relic Sloth / Preguiça Relíquia Assustada</t>
  </si>
  <si>
    <t>Criatura — Preguiça Besta</t>
  </si>
  <si>
    <t>Atropelar, vínculo com a vida. No início do combate no seu turno, exile até um card alvo de um cemitério.</t>
  </si>
  <si>
    <t>2{R}{W}</t>
  </si>
  <si>
    <t>Staunch Throneguard / Guarda do Trono Inabalável</t>
  </si>
  <si>
    <t>Vigilance When this creature enters, you become the monarch. / Vigilância Quando Guarda do Trono Inabalável entra no campo de batalha, você se torna o monarca.</t>
  </si>
  <si>
    <t>Stave Off / Rechaçar</t>
  </si>
  <si>
    <t>A criatura alvo ganha proteção contra a cor de sua escolha até o final do turno. (Ela não pode ser bloqueada, alvo, receber dano ou ser encantada por nada daquela cor.)</t>
  </si>
  <si>
    <t>Steam Augury / Augúrio de Vapor</t>
  </si>
  <si>
    <t>Revele os cinco cards do topo de seu grimório e separe-os em dois montes. Um oponente escolhe um daqueles montes. Coloque aquele monte em sua mão e o outro em seu cemitério.</t>
  </si>
  <si>
    <t>2UR</t>
  </si>
  <si>
    <t>Steel Sabotage / Sabotagem de Aço</t>
  </si>
  <si>
    <t>Choose one — • Counter target artifact spell. • Return target artifact to its owner's hand. / Escolha um — Anule a mágica de artefato alvo; ou devolva o artefato alvo para a mão de seu dono.</t>
  </si>
  <si>
    <t>Steelclad Spirit / Espírito da Couraça de Aço</t>
  </si>
  <si>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</si>
  <si>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</si>
  <si>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</si>
  <si>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</si>
  <si>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</si>
  <si>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</si>
  <si>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</si>
  <si>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Stench of Evil / Exalações do Mal</t>
  </si>
  <si>
    <t>Destroy all Plains. For each land destroyed this way, Stench of Evil deals 1 damage to that land's controller unless they pay {2}.</t>
  </si>
  <si>
    <t>Stockman, Mad Fly-entist</t>
  </si>
  <si>
    <t>Legendary Creature — Insect Mutant Scientist</t>
  </si>
  <si>
    <t>Flying When Stockman enters, draw a card, then discard a card. Islandcycling {2} ({2}, Discard this card: Search your library for an Island card, reveal it, put it into your hand, then shuffle.)</t>
  </si>
  <si>
    <t>Stomped by the Foot</t>
  </si>
  <si>
    <t>Kicker—Sacrifice an artifact or creature. (You may sacrifice an artifact or creature in addition to any other costs as you cast this spell.) Target creature gets -2/-2 until end of turn. If this spell was kicked, that creature gets -5/-5 until end of turn instead.</t>
  </si>
  <si>
    <t>Stone Giant / Gigante de Pedra</t>
  </si>
  <si>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</si>
  <si>
    <t>Stone Rain / Chuva de Pedras</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</si>
  <si>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</si>
  <si>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</si>
  <si>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</si>
  <si>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Stonefury / Litofúria</t>
  </si>
  <si>
    <t>Stonefury deals damage to target creature equal to the number of lands you control. / Litofúria causa à criatura alvo uma quantidade de dano igual ao número de terrenos que você controla.</t>
  </si>
  <si>
    <t>Stonehands / Mãos de Pedra</t>
  </si>
  <si>
    <t>Enchant creature Enchanted creature gets +0/+2. {R}: Enchanted creature gets +1/+0 until end of turn.</t>
  </si>
  <si>
    <t>Stonewise Fortifier / Fortificador Petrisábio</t>
  </si>
  <si>
    <t>{4}{W}: Prevent all damage that would be dealt to this creature by target creature this turn. / {4}{W}: Previna todo o dano que seria causado a Fortificador Petrisábio pela criatura alvo neste turno.</t>
  </si>
  <si>
    <t>Stonewood Invoker / Invocador da Selva de Pedras</t>
  </si>
  <si>
    <t>Creature — Elf Mutant / Criatura — Elfo Mutante</t>
  </si>
  <si>
    <t>{7}{G}: This creature gets +5/+5 until end of turn. / {7}{G}: Invocador da Selva de Pedras recebe +5/+5 até o final do turno.</t>
  </si>
  <si>
    <t>Stonework Packbeast / Besta de Carga Pétrea</t>
  </si>
  <si>
    <t>Stonework Packbeast is also a Cleric, Rogue, Warrior, and Wizard. {2}: Add one mana of any color.</t>
  </si>
  <si>
    <t>Storm of Steel / Tempestade de Aço</t>
  </si>
  <si>
    <t>Storm of Steel causa 2 pontos de dano a cada um de um ou dois alvos.</t>
  </si>
  <si>
    <t>Storm Spirit / Espírito da Tempestade</t>
  </si>
  <si>
    <t>Flying {T}: This creature deals 2 damage to target creature.</t>
  </si>
  <si>
    <t>{3}{G}{W}{U}</t>
  </si>
  <si>
    <t>Storm-Kiln Artist / Artista da Fornalha Tempestuosa</t>
  </si>
  <si>
    <t>Creature — Dwarf Shaman / Criatura — Anão Xamã</t>
  </si>
  <si>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</si>
  <si>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</si>
  <si>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</si>
  <si>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Stormchaser Chimera / Quimera Caçadora de Tempestade</t>
  </si>
  <si>
    <t>Creature — Chimera / Criatura — Quimera</t>
  </si>
  <si>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</si>
  <si>
    <t>{2}{U}{R}</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</si>
  <si>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</si>
  <si>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</si>
  <si>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Stormrider Spirit / Espírito Ginete de Tempestade</t>
  </si>
  <si>
    <t>Flash Flying / Lampejo Voar</t>
  </si>
  <si>
    <t>Story Seeker / Buscadora de Histórias</t>
  </si>
  <si>
    <t>Creature — Dwarf Cleric / Criatura — Anão Clérigo</t>
  </si>
  <si>
    <t>Lifelink / Vínculo com a vida</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</si>
  <si>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</si>
  <si>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</si>
  <si>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</si>
  <si>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Stratosoarer</t>
  </si>
  <si>
    <t>Flying. When this creature enters, target creature gains flying until end of turn. Basic landcycling {1}{U} ({1}{U}, Discard this card: Search your library for a basic land card, reveal it, put it into your hand, then shuffle.)</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</si>
  <si>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</si>
  <si>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</si>
  <si>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Streaking Oilgorger</t>
  </si>
  <si>
    <t>Creature — Vampire</t>
  </si>
  <si>
    <t>Flying, haste Start your engines! (If you have no speed, it starts at 1. It increases once on each of your turns when an opponent loses life. Max speed is 4.) Max speed — This creature has lifelink.</t>
  </si>
  <si>
    <t>Streetwise Negotiator / Negociadora das Ruas</t>
  </si>
  <si>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</si>
  <si>
    <t>Strength from the Fallen / Força dos Caídos</t>
  </si>
  <si>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</si>
  <si>
    <t>Strength in Numbers / Força em Números</t>
  </si>
  <si>
    <t>Until end of turn, target creature gains trample and gets +X/+X, where X is the number of attacking creatures. / Até o final do turno, a criatura alvo ganha atropelar e recebe +X/+X, sendo X o número de criaturas atacantes.</t>
  </si>
  <si>
    <t>Strength of Arms / Força de Armas</t>
  </si>
  <si>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</si>
  <si>
    <t>Strength of the Coalition / Força da Coalizão</t>
  </si>
  <si>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</si>
  <si>
    <t>Strife Scholar / Erudito do Conflito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</si>
  <si>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</si>
  <si>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Strix Lookout</t>
  </si>
  <si>
    <t>Flying, vigilance (Attacking doesn't cause this creature to tap.) {1}{U}, {T}: Draw a card, then discard a card.</t>
  </si>
  <si>
    <t>Strongarm Monk / Monge Braço-forte</t>
  </si>
  <si>
    <t>Whenever you cast a noncreature spell, creatures you control get +1/+1 until end of turn. / Toda vez que você conjura uma mágica que não seja de criatura, as criaturas que você controla recebem +1/+1 até o final do turno.</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</si>
  <si>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</si>
  <si>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</si>
  <si>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Stuffed Bear / Urso Empalhado</t>
  </si>
  <si>
    <t>{2}: Stuffed Bear becomes a 4/4 green Bear artifact creature until end of turn.</t>
  </si>
  <si>
    <t>Stun / Atordoar</t>
  </si>
  <si>
    <t>Target creature can't block this turn. Draw a card. / A criatura alvo não pode bloquear neste turno. Compre um card.</t>
  </si>
  <si>
    <t>Subira, Tulzidi Caravanner / Subira, Caravaneira Tulzidi</t>
  </si>
  <si>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</si>
  <si>
    <t>Sugar Rush / Frenesi do Açúcar</t>
  </si>
  <si>
    <t>Target creature gets +3/+0 until end of turn. Draw a card. / A criatura alvo recebe +3/+0 até o final do turno. Compre um card.</t>
  </si>
  <si>
    <t>Suki, Kyoshi Warrior</t>
  </si>
  <si>
    <t>Suki's power is equal to the number of creatures you control. Whenever Suki attacks, create a 1/1 white Ally creature token that's tapped and attacking.</t>
  </si>
  <si>
    <t>{2}{G/W}{G/W}</t>
  </si>
  <si>
    <t>Sulfurous Blast / Explosão Sulfurosa</t>
  </si>
  <si>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</si>
  <si>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</si>
  <si>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</si>
  <si>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</si>
  <si>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Summary Dismissal / Dispensa Sumária</t>
  </si>
  <si>
    <t>Exile all other spells and counter all abilities. / Exile todas as outras mágicas e anule todas as habilidades.</t>
  </si>
  <si>
    <t>Summit Prowler / Espreitador do Cume</t>
  </si>
  <si>
    <t>Creature — Yeti / Criatura — Yeti</t>
  </si>
  <si>
    <t>Summit Sentinel</t>
  </si>
  <si>
    <t>Creature — Elemental Soldier</t>
  </si>
  <si>
    <t>When this creature dies, draw a card.</t>
  </si>
  <si>
    <t>Summon: Choco/Mog</t>
  </si>
  <si>
    <t>Enchantment Creature — Saga Bird Moogle</t>
  </si>
  <si>
    <t>(As this Saga enters and after your draw step, add a lore counter. Sacrifice after IV.) I, II, III, IV — Stampede! — Other creatures you control get +1/+0 until end of turn.</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</si>
  <si>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</si>
  <si>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</si>
  <si>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</si>
  <si>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</si>
  <si>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</si>
  <si>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</si>
  <si>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</si>
  <si>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</si>
  <si>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</si>
  <si>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Summon: G.F. Ifrit</t>
  </si>
  <si>
    <t>Enchantment Creature — Saga Demon</t>
  </si>
  <si>
    <t>(As this Saga enters and after your draw step, add a lore counter. Sacrifice after IV.) I, II — You may discard a card. If you do, draw a card. III, IV — Add R.</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</si>
  <si>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</si>
  <si>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</si>
  <si>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</si>
  <si>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</si>
  <si>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</si>
  <si>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</si>
  <si>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Sun Warriors</t>
  </si>
  <si>
    <t>Firebending X, where X is the number of creatures you control. (Whenever this creature attacks, add X {R}. This mana lasts until end of combat.) {5}: Create a 1/1 white Ally creature token.</t>
  </si>
  <si>
    <t>Sun-Blessed Healer</t>
  </si>
  <si>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</si>
  <si>
    <t>Sun-Blessed Peak</t>
  </si>
  <si>
    <t>This land enters tapped. {T}: Add {R} or {W}. {4}, {T}, Sacrifice this land: Draw a card.</t>
  </si>
  <si>
    <t>Sun-Crested Pterodon / Pterodonte Crista-solar</t>
  </si>
  <si>
    <t>Flying This creature has vigilance as long as you control another Dinosaur. / Voar Pterodonte Crista-solar terá vigilância enquanto você controlar outro Dinossauro.</t>
  </si>
  <si>
    <t>Sun-Crowned Hunters / Caçadores Coroa-de-sol</t>
  </si>
  <si>
    <t>Enrage — Whenever this creature is dealt damage, it deals 3 damage to target opponent or planeswalker. / Enfurecer —Toda vez que Caçadores Coroa-de-sol sofre dano, ele causa 3 pontos de dano ao oponente alvo.</t>
  </si>
  <si>
    <t>Sun-Dappled Celebrant</t>
  </si>
  <si>
    <t>Convoke (Your creatures can help cast this spell. Each creature you tap while casting this spell pays for {1} or one mana of that creature's color.) Vigilance</t>
  </si>
  <si>
    <t>Sunblade Samurai / Samurai da Lâmina Solar</t>
  </si>
  <si>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</si>
  <si>
    <t>Sunder Shaman / Xamã Rachador</t>
  </si>
  <si>
    <t>Creature — Giant Shaman / Criatura — Gigante Xamã</t>
  </si>
  <si>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</si>
  <si>
    <t>{R}{R}{G}{G}</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</si>
  <si>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</si>
  <si>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</si>
  <si>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</si>
  <si>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</si>
  <si>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</si>
  <si>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Sunshower Druid</t>
  </si>
  <si>
    <t>Creature — Frog Druid</t>
  </si>
  <si>
    <t>When this creature enters, put a +1/+1 counter on target creature and you gain 1 life.</t>
  </si>
  <si>
    <t>Sunstar Lightsmith / Forjador de Luz de Solestrela</t>
  </si>
  <si>
    <t>Criatura — Humano Artífice</t>
  </si>
  <si>
    <t>Sempre que você conjurar sua segunda mágica a cada turno, coloque um marcador +1/+1 nesta criatura e compre um card.</t>
  </si>
  <si>
    <t>Suplex / Suplex</t>
  </si>
  <si>
    <t>Escolha um — • Suplex causa 3 de dano à criatura alvo. Se aquela criatura fosse morrer este turno, em vez disso, exile-a. • Exile o artefato alvo.</t>
  </si>
  <si>
    <t>Supply-Line Cranes / Grous de Suprimento</t>
  </si>
  <si>
    <t>Flying When this creature enters, put a +1/+1 counter on target creature. / Voar Quando Grous de Suprimento entrar no campo de batalha, coloque um marcador +1/+1 na criatura alvo.</t>
  </si>
  <si>
    <t>Supreme Will / Vontade Suprema</t>
  </si>
  <si>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</si>
  <si>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</si>
  <si>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</si>
  <si>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Sure Strike / Golpe Certeiro</t>
  </si>
  <si>
    <t>Target creature gets +3/+0 and gains first strike until end of turn. (It deals combat damage before creatures without first strike.) / A criatura alvo recebe +3/+0 e ganha iniciativa até o final do turno.</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</si>
  <si>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</si>
  <si>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</si>
  <si>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Surrak, the Hunt Caller / Surrak, o Convocador da Caçada</t>
  </si>
  <si>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</si>
  <si>
    <t>Svyelunite Temple / Templo Svyelunita</t>
  </si>
  <si>
    <t>Svyelunite Temple comes into play tapped. {T}: Add {U} to your mana pool. {T}, Sacrifice Svyelunite Temple: Add {U}{U} to your mana pool.</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</si>
  <si>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</si>
  <si>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</si>
  <si>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Swampsnare Trap</t>
  </si>
  <si>
    <t>This spell costs {1} less to cast if it targets a creature with flying. Enchant creature Enchanted creature gets -5/-3.</t>
  </si>
  <si>
    <t>Swarmborn Giant / Gigante do Enxame</t>
  </si>
  <si>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</si>
  <si>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</si>
  <si>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</si>
  <si>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Swift Justice / Justiça Veloz</t>
  </si>
  <si>
    <t>Até o final do turno, a criatura alvo recebe +1/+0 e ganha iniciativa e vínculo com a vida.</t>
  </si>
  <si>
    <t>Swift Kick / Chute Veloz</t>
  </si>
  <si>
    <t>Target creature you control gets +1/+0 until end of turn. It fights target creature you don't control. / A criatura alvo que você controla recebe +1/+0 até o final do turno. Ela luta com a criatura alvo que você não controla.</t>
  </si>
  <si>
    <t>Swiftwing Assailant</t>
  </si>
  <si>
    <t>Creature — Bird Warrior</t>
  </si>
  <si>
    <t>Flying Start your engines! (If you have no speed, it starts at 1. It increases once on each of your turns when an opponent loses life. Max speed is 4.) Max speed — This creature gets +0/+1 and has vigilance.</t>
  </si>
  <si>
    <t>Swirling Sandstorm / Redemoinho de Areia</t>
  </si>
  <si>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</si>
  <si>
    <t>Judgment (JUD)</t>
  </si>
  <si>
    <t>Sylvan Ranger / Guardiã das Matas</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</si>
  <si>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</si>
  <si>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Sylvan Safekeeper / Guardião da Floresta</t>
  </si>
  <si>
    <t>{0}, Sacrifice a land: Target creature you control gains shroud until end of turn. / {0}, Sacrifique um terreno: A criatura alvo que você controla ganha manto até o final do turno.</t>
  </si>
  <si>
    <t>Sylvan Scrying / Auspício Silvestre</t>
  </si>
  <si>
    <t>Search your library for a land card, reveal it, and put it into your hand. Then shuffle. / Procure um card de terreno em seu grimório, revele-o e coloque-o em sua mão. Depois, embaralhe seu grimório.</t>
  </si>
  <si>
    <t>Symbiotic Beast / Besta Simbiótica</t>
  </si>
  <si>
    <t>Creature — Insect Beast / Criatura — Inseto Besta</t>
  </si>
  <si>
    <t>When this creature dies, create four 1/1 green Insect creature tokens. / Quando Besta Simbiótica morrer, crie quatro fichas de criatura Inseto verde 1/1.</t>
  </si>
  <si>
    <t>Syncopate / Sincopar</t>
  </si>
  <si>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</si>
  <si>
    <t>{X}{U}</t>
  </si>
  <si>
    <t>Syncopate / Síncope</t>
  </si>
  <si>
    <t>Anule a mágica alvo, a menos que seu controlador pague {X}. Se aquela mágica for anulada deste modo, exile-a em vez de colocá-la no cemitério de seu dono.</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</si>
  <si>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</si>
  <si>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</si>
  <si>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Syr Alin, the Lion's Claw / Syr Alin, a Garra do Leão</t>
  </si>
  <si>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</si>
  <si>
    <t>Syr Armont, the Redeemer / Syr Armont, a Redentora</t>
  </si>
  <si>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</si>
  <si>
    <t>Syr Faren, the Hengehammer / Syr Faren, Martelo do Círculo</t>
  </si>
  <si>
    <t>Whenever Syr Faren attacks, another target attacking creature gets +X/+X until end of turn, where X is Syr Faren's power. / Toda vez que Syr Faren, Martelo do Círculo, ataca, outra criatura atacante alvo recebe +X/+X até o final do turno, sendo X o poder de Syr Faren.</t>
  </si>
  <si>
    <t>Taborax, Hope's Demise / Taborax, Fim da Esperança</t>
  </si>
  <si>
    <t>Legendary Creature — Demon Cleric / Criatura Lendária — Demônio Clérigo</t>
  </si>
  <si>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</si>
  <si>
    <t>Tainted Treats</t>
  </si>
  <si>
    <t>Destroy target artifact or creature. If its mana value was 4 or less, create a Food token. (It's an artifact with "{2}, {T}, Sacrifice this token: You gain 3 life.")</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</si>
  <si>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</si>
  <si>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</si>
  <si>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Talassido Vigia-costa</t>
  </si>
  <si>
    <t>Criatura — Tritão Ladino</t>
  </si>
  <si>
    <t>Talassido Vigia-costa não pode ser bloqueado.</t>
  </si>
  <si>
    <t>Tale of Tinúviel / História de Tinúviel</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</si>
  <si>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</si>
  <si>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Tales of Master Seshiro // Seshiro's Living Legacy / Contos do Mestre Seshiro // Legado Vivo de Seshiro</t>
  </si>
  <si>
    <t>Enchantment — Saga // Enchantment Creature — Snake Warrior / Encantamento — Saga</t>
  </si>
  <si>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</si>
  <si>
    <t>Talho das Sombras / Deadly Derision</t>
  </si>
  <si>
    <t>Esta mágica não pode ser anulada. A criatura alvo recebe -X/-X até o final do turno. / This spell can't be countered. Target creature gets -X/-X until end of turn.</t>
  </si>
  <si>
    <t>Tall as a Beanstalk / Alto como um Pé de Feijão</t>
  </si>
  <si>
    <t>Enchant creature. Enchanted creature gets +3/+3, has reach, and is a Giant in addition to its other types. / Encantar criatura. A criatura encantada recebe +3/+3, tem alcance e é um Gigante além de seus outros tipos.</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</si>
  <si>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</si>
  <si>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</si>
  <si>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</si>
  <si>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Tambor de Folha Primaveril / Springleaf Drum</t>
  </si>
  <si>
    <t>Especial</t>
  </si>
  <si>
    <t>{T}, Vire uma criatura desvirada que você controla: Adicione um mana de qualquer cor.</t>
  </si>
  <si>
    <t>Secret Lair Play (SLP)</t>
  </si>
  <si>
    <t>Tamiyo's Logbook / Livro de Registros de Tamiyo</t>
  </si>
  <si>
    <t>Artifact — Book / Artefato</t>
  </si>
  <si>
    <t>{5}{U}, {T}: Draw a card. This ability costs {1} less to activate for each other artifact you control. / {5}{U}, {T}: Compre um card. Esta habilidade custa {1} a menos para ser ativada para cada outro artefato que você controla.</t>
  </si>
  <si>
    <t>Tannuk, Memorial Ensign</t>
  </si>
  <si>
    <t>Legendary Creature — Kavu Pilot</t>
  </si>
  <si>
    <t>Landfall — Whenever a land you control enters, Tannuk deals 1 damage to each opponent. If this is the second time this ability has resolved this turn, draw a card.</t>
  </si>
  <si>
    <t>Task Force / Força Tarefa</t>
  </si>
  <si>
    <t>Creature — Human Rebel</t>
  </si>
  <si>
    <t>Whenever this creature becomes the target of a spell or ability, it gets +0/+3 until end of turn.</t>
  </si>
  <si>
    <t>Tawnos's Wand / Cetro de Tawnos</t>
  </si>
  <si>
    <t>{2}, {T}: Target creature with power 2 or less can't be blocked this turn.</t>
  </si>
  <si>
    <t>Tawnos's Weaponry / Arsenal de Tawnos</t>
  </si>
  <si>
    <t>You may choose not to untap this artifact during your untap step. {2}, {T}: Target creature gets +1/+1 for as long as this artifact remains tapped.</t>
  </si>
  <si>
    <t>Tazeem Raptor / Raptor de Tazeem</t>
  </si>
  <si>
    <t>Flying When this creature enters, you may return a land you control to its owner's hand. / Voar Quando Raptor de Tazeem entra no campo de batalha, você pode devolver um terreno que você controla para a mão de seu dono.</t>
  </si>
  <si>
    <t>TCRI Building</t>
  </si>
  <si>
    <t>This land enters tapped. When this land enters, you gain 1 life. {T}: Add {U} or {R}.</t>
  </si>
  <si>
    <t>Tectonic Hazard / Risco Tectônico</t>
  </si>
  <si>
    <t>Tectonic Hazard deals 1 damage to each opponent and each creature they control. / Risco Tectônico causa 1 ponto de dano a cada oponente e a cada criatura que ele controla.</t>
  </si>
  <si>
    <t>Teeterpeak Ambusher / Emboscador dos Picos Vacilantes</t>
  </si>
  <si>
    <t>{2}{R}: This creature gets +2/+0 until end of turn. / {2}{R}: Emboscador dos Picos Vacilantes recebe +2/+0 até o final do turno.</t>
  </si>
  <si>
    <t>Telethopter / Telethóptero</t>
  </si>
  <si>
    <t>Tap a creature you control: Telethopter gains flying until end of turn.</t>
  </si>
  <si>
    <t>Telim'Tor / TelimíTor</t>
  </si>
  <si>
    <t>Legendary Creature — Human Knight</t>
  </si>
  <si>
    <t>Flanking (Whenever a creature without flanking blocks this creature, the blocking creature gets -1/-1 until end of turn.) Whenever Telim'Tor attacks, all attacking creatures with flanking get +1/+1 until end of turn.</t>
  </si>
  <si>
    <t>Tellah, Great Sage / Tellah, Grande Sábio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</si>
  <si>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</si>
  <si>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</si>
  <si>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Temp of the Damned / Temporário dos Malditos</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</si>
  <si>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</si>
  <si>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</si>
  <si>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Tempest Hart // Scan the Clouds / Cervo da Tempestade // Varredura das Nuvens</t>
  </si>
  <si>
    <t>Creature — Elemental Elk // Instant — Adventure / Criatura — Elemental Alce</t>
  </si>
  <si>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</si>
  <si>
    <t>{3}{G} // {1}{U}</t>
  </si>
  <si>
    <t>Temple Thief / Ladrão de Templos</t>
  </si>
  <si>
    <t>This creature can't be blocked by enchanted creatures or enchantment creatures. / Ladrão de Templos não pode ser bloqueado por criaturas encantadas nem criaturas encantamento.</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</si>
  <si>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</si>
  <si>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</si>
  <si>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Azul / Blue</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</si>
  <si>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</si>
  <si>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</si>
  <si>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Temur Charm / Amuleto Temur</t>
  </si>
  <si>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</si>
  <si>
    <t>{G}{U}{R}</t>
  </si>
  <si>
    <t>Tend the Sprigs</t>
  </si>
  <si>
    <t>Search your library for a basic land card, put it onto the battlefield tapped, then shuffle. Then if you control seven or more lands and/or Treefolk, create a 3/4 green Treefolk creature token with reach. (It can block creatures with flying.)</t>
  </si>
  <si>
    <t>Tender Wildguide</t>
  </si>
  <si>
    <t>Creature — Possum Druid</t>
  </si>
  <si>
    <t>Offspring {2} (You may pay an additional {2} as you cast this spell. If you do, when this creature enters, create a 1/1 token copy of it.) {T}: Add one mana of any color. {T}: Put a +1/+1 counter on this creature.</t>
  </si>
  <si>
    <t>Tenderize</t>
  </si>
  <si>
    <t>Terminal de Rede / Network Terminal</t>
  </si>
  <si>
    <t>{T}: Adicione um mana de qualquer cor. {1}, {T}, vire outro artefato desvirado que você controla: Compre um card e depois descarte um card.</t>
  </si>
  <si>
    <t>Terramorphic Expanse / Imensidão Terramórfica</t>
  </si>
  <si>
    <t>{T}, Sacrifique Imensidão Terramórfica: Procure em seu grimório por um card de terreno básico e coloque-o no campo de batalha virado. Depois, embaralhe seu grimório.</t>
  </si>
  <si>
    <t>Terramorphic Expanse / Vastidão Morfoterrena</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</si>
  <si>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</si>
  <si>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Terror</t>
  </si>
  <si>
    <t>Destroy target nonartifact, nonblack creature. It can't be regenerated. / Destrua a criatura alvo que não seja preta e nem artefato. Ela não pode ser regenerada.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</si>
  <si>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</si>
  <si>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</si>
  <si>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</si>
  <si>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Testament Bearer / Porta-testamento</t>
  </si>
  <si>
    <t>When this creature dies, look at the top three cards of your library. Put one of them into your hand and the rest into your graveyard. / Quando Porta-testamento morrer, olhe os três cards do topo de seu grimório. Coloque um deles em sua mão e o restante em seu cemitério.</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</si>
  <si>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</si>
  <si>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</si>
  <si>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Thaumaton Torpedo / Torpede de Taumaton</t>
  </si>
  <si>
    <t>{6}, {T}, Sacrifique este artefato: Destrua a permanente não de terreno alvo. Esta habilidade custa {3} a menos para ser ativada se você atacou com uma Nave Espacial neste turno.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</si>
  <si>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</si>
  <si>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</si>
  <si>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</si>
  <si>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Thawbringer / Trazedor do Degelo</t>
  </si>
  <si>
    <t>Criatura — Inseto Patrulheiro</t>
  </si>
  <si>
    <t>Quando esta criatura entrar ou morrer, vigie 1. (Olhe o card do topo de seu grimório. Você pode colocá-lo em seu cemitério.)</t>
  </si>
  <si>
    <t>The Binding of the Titans / O Aprisionamento dos Titãs</t>
  </si>
  <si>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</si>
  <si>
    <t>The Brute / O Bruto</t>
  </si>
  <si>
    <t>Enchant creature Enchanted creature gets +1/+0. {R}{R}{R}: Regenerate enchanted creature. / A criatura-alvo ganha +1/+0. {R}{R}{R}: Regenera a criatura-alvo encantada pelo Bruto.</t>
  </si>
  <si>
    <t>The Cheese Stands Alone</t>
  </si>
  <si>
    <t>If you control no cards in play other than The Cheese Stands Alone and have no cards in your hand, you win the game.</t>
  </si>
  <si>
    <t>The Cloning of Shredder</t>
  </si>
  <si>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</si>
  <si>
    <t>The Crystal's Chosen / Os Escolhidos do Cristal</t>
  </si>
  <si>
    <t>Crie quatro fichas de criatura Herói incolor 1/1. Depois, coloque um marcador +1/+1 em cada criatura que você controla.</t>
  </si>
  <si>
    <t>5{W}{W}</t>
  </si>
  <si>
    <t>The Dross Pits / Os Poços de Dross</t>
  </si>
  <si>
    <t>Land — Sphere / Terreno — Esfera</t>
  </si>
  <si>
    <t>This land enters tapped. {T}: Add {B}. {1}{B}, {T}, Sacrifice this land: Draw a card. / Os Poços de Dross entra no campo de batalha virado. {T}: Adicione {B}. {1}{B}, {T}, sacrifique Os Poços de Dross: Compre um card.</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</si>
  <si>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</si>
  <si>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</si>
  <si>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The Fallen</t>
  </si>
  <si>
    <t>At the beginning of your upkeep, this creature deals 1 damage to each opponent and planeswalker it has dealt damage to this game.</t>
  </si>
  <si>
    <t>{1}{B}{B}{B}</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</si>
  <si>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</si>
  <si>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</si>
  <si>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The First Eruption / A Primeira Erupção</t>
  </si>
  <si>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</si>
  <si>
    <t>The First Iroan Games / Os Primeiros Jogos Iroanos</t>
  </si>
  <si>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</si>
  <si>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</si>
  <si>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</si>
  <si>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The Gold Saucer / O Gold Saucer</t>
  </si>
  <si>
    <t>{T}: Adicione {C}. {2}, {T}: Jogue uma moeda. Se você ganhar na moeda, crie uma ficha de Tesouro. {3}, {T}, Sacrifique dois artefatos: Compre um card.</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</si>
  <si>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</si>
  <si>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</si>
  <si>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</si>
  <si>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The Hive / A Colméia</t>
  </si>
  <si>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</si>
  <si>
    <t>The Imperial City of Archades // Wall of Omens / A Cidade Imperial de Archades // Barreira de Augúrios</t>
  </si>
  <si>
    <t>Criatura — Barreira</t>
  </si>
  <si>
    <t>Defensor. Quando esta criatura entrar, compre um card.</t>
  </si>
  <si>
    <t>The Lady of the Mountain</t>
  </si>
  <si>
    <t>Her given name has been lost in the mists of time. Legend says that her silent vigil will one day be ended by the one who, pure of heart and spirit, calls out that name again.</t>
  </si>
  <si>
    <t>{4}{G}{R}</t>
  </si>
  <si>
    <t>The Last Ronin's Technique</t>
  </si>
  <si>
    <t>Sneak {1}{W} (You may cast this spell for {1}{W} if you also return an unblocked attacker you control to hand during the declare blockers step.) Create three 1/1 white Ninja Turtle Spirit creature tokens. If this spell's sneak cost was paid, they enter tapped and attacking.</t>
  </si>
  <si>
    <t>The Lunar Whale / A Baleia Lunar</t>
  </si>
  <si>
    <t>Voar. Você pode olhar o card do topo de seu grimório a qualquer momento. Enquanto A Baleia Lunar tiver atacado neste turno, você poderá jogar o card do topo de seu grimório. Tripular 1</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</si>
  <si>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</si>
  <si>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</si>
  <si>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Masters of Evil / Os Mestres do Terror</t>
  </si>
  <si>
    <t>Outros Vilões que você controla recebem +2/+1. {1}{B}, Descarte este card: Procure em seu grimório por um card de Plano, revele-o, coloque-o em sua mão e depois embaralhe.</t>
  </si>
  <si>
    <t>5{B}</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</si>
  <si>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</si>
  <si>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</si>
  <si>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The Neutrinos</t>
  </si>
  <si>
    <t>Legendary Creature — Elf Rebel</t>
  </si>
  <si>
    <t>Flying Alliance — Whenever another creature you control enters, The Neutrinos get +1/+0 until end of turn. Whenever The Neutrinos attack, exile up to one target creature you own, then return it to the battlefield under your control tapped and attacking.</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</si>
  <si>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</si>
  <si>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</si>
  <si>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The Regalia / O Regalia</t>
  </si>
  <si>
    <t>Ímpeto. Sempre que O Regalia atacar, revele cards do topo de seu grimório até revelar um card de terreno. Coloque aquele card no campo de batalha virado e o restante no fundo de seu grimório em uma ordem aleatória. Tripular 1</t>
  </si>
  <si>
    <t>The Scorpion God / O Deus Escorpião</t>
  </si>
  <si>
    <t>Legendary Creature — God / Criatura Lendária — Deus</t>
  </si>
  <si>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</si>
  <si>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</si>
  <si>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</si>
  <si>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</si>
  <si>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The Spirit Oasis</t>
  </si>
  <si>
    <t>When The Spirit Oasis enters, draw a card for each Shrine you control. Whenever another Shrine you control enters, draw a card.</t>
  </si>
  <si>
    <t>The Three Seasons / As Três Estações</t>
  </si>
  <si>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</si>
  <si>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</si>
  <si>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</si>
  <si>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</si>
  <si>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</si>
  <si>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The Wilds / As Terras Selvagens</t>
  </si>
  <si>
    <t>Plane — Eldraine / Plano — Eldraine</t>
  </si>
  <si>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</si>
  <si>
    <t>March of the Machine Commander (MOC)</t>
  </si>
  <si>
    <t>The Witch's Vanity / A Vaidade da Bruxa</t>
  </si>
  <si>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</si>
  <si>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</si>
  <si>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</si>
  <si>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Forgotten Realms Commander</t>
  </si>
  <si>
    <t>Théoden, Rei de Rohan / Théoden, King of Rohan</t>
  </si>
  <si>
    <t>Toda vez que Théoden, Rei de Rohan, ou outro Humano entra no campo de batalha sob seu controle, a criatura alvo ganha golpe duplo até o final do turno.</t>
  </si>
  <si>
    <t>1{R}{W}</t>
  </si>
  <si>
    <t>Thermal Glider / Planador Térmico</t>
  </si>
  <si>
    <t>Flying, protection from red. / Voar, proteção contra o vermelho.</t>
  </si>
  <si>
    <t>Thieving Magpie / Gralha Larápia</t>
  </si>
  <si>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</si>
  <si>
    <t>Thieving Otter / Lontra Ladra</t>
  </si>
  <si>
    <t>Creature — Otter / Criatura — Lontra</t>
  </si>
  <si>
    <t>Whenever this creature deals damage to an opponent, draw a card. / Toda vez que Lontra Ladra causar dano a um oponente, compre um card.</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</si>
  <si>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</si>
  <si>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</si>
  <si>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</si>
  <si>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Third Path Savant / Erudito da Terceira Via</t>
  </si>
  <si>
    <t>{7}: Draw two cards. / {7}: Compre dois cards.</t>
  </si>
  <si>
    <t>Thirst for Identity</t>
  </si>
  <si>
    <t>Draw three cards. Then discard two cards unless you discard a creature card.</t>
  </si>
  <si>
    <t>Thornweald Archer / Arqueiro de Espinoflora</t>
  </si>
  <si>
    <t>Reach (This creature can block creatures with flying.) Deathtouch (Any amount of damage this deals to a creature is enough to destroy it.) / Alcance, toque mortífero</t>
  </si>
  <si>
    <t>Thought Collapse / Colapso do Pensamento</t>
  </si>
  <si>
    <t>Counter target spell. Its controller mills three cards. / Anule a mágica alvo. Seu controlador coloca os três cards do topo do próprio grimório no próprio cemitério.</t>
  </si>
  <si>
    <t>Thought Scour / Purgar Pensamento</t>
  </si>
  <si>
    <t>Target player mills two cards. Draw a card. / O jogador alvo coloca os dois cards do topo do grimório dele no próprio cemitério. Compre um card.</t>
  </si>
  <si>
    <t>Thought Shucker</t>
  </si>
  <si>
    <t>Creature — Rat Rogue</t>
  </si>
  <si>
    <t>Threshold — {1}{U}: Put a +1/+1 counter on this creature and draw a card. Activate only if there are seven or more cards in your graveyard and only once.</t>
  </si>
  <si>
    <t>Thoughtrender Lamia / Lâmia Enlouquecedora</t>
  </si>
  <si>
    <t>Enchantment Creature — Lamia / Criatura Encantamento — Lâmia</t>
  </si>
  <si>
    <t>Constellation — Whenever this creature or another enchantment you control enters, each opponent discards a card. / Constelação — Toda vez que Lâmia Enlouquecedora ou outro encantamento entra no campo de batalha sob seu controle, cada oponente descarta um card.</t>
  </si>
  <si>
    <t>Thoughtweft Charge</t>
  </si>
  <si>
    <t>Target creature gets +3/+3 until end of turn. If a creature entered the battlefield under your control this turn, draw a card.</t>
  </si>
  <si>
    <t>Thoughtweft Imbuer</t>
  </si>
  <si>
    <t>Whenever a creature you control attacks alone, it gets +X/+X until end of turn, where X is the number of Kithkin you control.</t>
  </si>
  <si>
    <t>Thoughtweft Lieutenant</t>
  </si>
  <si>
    <t>Whenever this creature or another Kithkin you control enters, target creature you control gets +1/+1 and gains trample until end of turn.</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</si>
  <si>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</si>
  <si>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</si>
  <si>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</si>
  <si>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Thrash of Raptors / Bando de Raptores</t>
  </si>
  <si>
    <t>As long as you control another Dinosaur, this creature gets +2/+0 and has trample. / Enquanto você controlar outro Dinossauro, Bando de Raptores receberá +2/+0 e terá atropelar.</t>
  </si>
  <si>
    <t>Threats Around Every Corner</t>
  </si>
  <si>
    <t>When this enchantment enters, manifest dread. Whenever a face-down permanent you control enters, search your library for a basic land card, put it onto the battlefield tapped, then shuffle.</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</si>
  <si>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</si>
  <si>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</si>
  <si>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</si>
  <si>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Thriving Skyclaw / Garra-aérea Vigorosa</t>
  </si>
  <si>
    <t>Creature — Cat Dragon / Criatura — Felino Dragão</t>
  </si>
  <si>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</si>
  <si>
    <t>Throne of Bone / Trono de Ossos</t>
  </si>
  <si>
    <t>Whenever a player casts a black spell, you may pay {1}. If you do, you gain 1 life. / Toda vez que um jogador jogar uma mágica preta, você pode pagar {1}. Se o fizer, você ganha 1 ponto de vida.</t>
  </si>
  <si>
    <t>Thrull Retainer / Lacaio Thrull</t>
  </si>
  <si>
    <t>Enchant creature Enchanted creature gets +1/+1. Sacrifice this Aura: Regenerate enchanted creature.</t>
  </si>
  <si>
    <t>Thrum of the Vestige / Rumor do Vestígio</t>
  </si>
  <si>
    <t>Rumor do Vestígio causa 3 de dano a qualquer alvo.</t>
  </si>
  <si>
    <t>Thryx, the Sudden Storm / Trix, a Tempestade Repentina</t>
  </si>
  <si>
    <t>Legendary Creature — Elemental Giant / Criatura Lendária — Elemental Gigante</t>
  </si>
  <si>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</si>
  <si>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</si>
  <si>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</si>
  <si>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</si>
  <si>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</si>
  <si>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</si>
  <si>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Thundering Broodwagon</t>
  </si>
  <si>
    <t>Menace, reach When this Vehicle enters, destroy target nonland permanent an opponent controls with mana value 4 or less. Crew 3 Cycling {2} ({2}, Discard this card: Draw a card.)</t>
  </si>
  <si>
    <t>{2}{B}{B}{G}{G}</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</si>
  <si>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</si>
  <si>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</si>
  <si>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Thundering Rebuke / Repreensão Trovejante</t>
  </si>
  <si>
    <t>Thundering Rebuke deals 4 damage to target creature or planeswalker. / Repreensão Trovejante causa 4 pontos de dano à criatura ou ao planeswalker alvo.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</si>
  <si>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</si>
  <si>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</si>
  <si>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</si>
  <si>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</si>
  <si>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</si>
  <si>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Ticked Off / Irritado</t>
  </si>
  <si>
    <t>A criatura alvo ganha golpe duplo até o final do turno. (Ela causa tanto dano de iniciativa quanto dano de combate normal.)</t>
  </si>
  <si>
    <t>Tidus, Blitzball Star / Tidus, Astro do Blitzball</t>
  </si>
  <si>
    <t>Sempre que um artefato que você controla entrar, coloque um marcador +1/+1 em Tidus. Sempre que Tidus atacar, vire a criatura alvo que um oponente controla.</t>
  </si>
  <si>
    <t>1{W}{U}</t>
  </si>
  <si>
    <t>Branco/Azul</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</si>
  <si>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</si>
  <si>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</si>
  <si>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Tiger-Dillo</t>
  </si>
  <si>
    <t>Creature — Cat Armadillo</t>
  </si>
  <si>
    <t>This creature can't attack or block unless you control another creature with power 4 or greater.</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</si>
  <si>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</si>
  <si>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</si>
  <si>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</si>
  <si>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Tilling Treefolk / Ent Lavrador</t>
  </si>
  <si>
    <t>When Tilling Treefolk enters the battlefield, you may return up to two target land cards from your graveyard to your hand. / Quando Ent Lavrador entra em jogo, você pode devolver para a sua mão até dois cards de terreno alvo de seu cemitério.</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</si>
  <si>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</si>
  <si>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</si>
  <si>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Timberland Guide / Guia das Matas</t>
  </si>
  <si>
    <t>When Timberland Guide enters the battlefield, put a +1/+1 counter on target creature. / Quando Guia das Matas entrar no campo de batalha, coloque um marcador +1/+1 na criatura alvo.</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</si>
  <si>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</si>
  <si>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</si>
  <si>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Tithe Drinker / Sugador de Dízimo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</si>
  <si>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</si>
  <si>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Tithebearer Giant / Gigante Porta-dízimos</t>
  </si>
  <si>
    <t>Creature — Giant Warrior / Criatura — Gigante Guerreiro</t>
  </si>
  <si>
    <t>When this creature enters, you draw a card and you lose 1 life. / Quando Gigante Porta-dízimos entra no campo de batalha, você compra um card e perde 1 ponto de vida.</t>
  </si>
  <si>
    <t>Tobias Andrion</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</si>
  <si>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</si>
  <si>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</si>
  <si>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Tolarian Scholar / Escolástico Tolariano</t>
  </si>
  <si>
    <t>Tolarian Sentinel / Sentinela Tolariana</t>
  </si>
  <si>
    <t>Creature — Human Spellshaper / Criatura — Humano Magimodelador</t>
  </si>
  <si>
    <t>Flying {U}, {T}, Discard a card: Return target permanent you control to its owner's hand. / Voar {U}, {T}, descarte um card: Devolva a permanente alvo que você controla para a mão de seu dono.</t>
  </si>
  <si>
    <t>Tolarian Terror / Terror Tolariano</t>
  </si>
  <si>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</si>
  <si>
    <t>{6}{U}</t>
  </si>
  <si>
    <t>Tome Anima / Anima dos Tomos</t>
  </si>
  <si>
    <t>This creature can't be blocked as long as you've drawn two or more cards this turn. / Anima dos Tomos não pode ser bloqueado desde que você tenha comprado dois ou mais cards neste turno.</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</si>
  <si>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</si>
  <si>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</si>
  <si>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Tome Raider / Saqueadora de Tomos</t>
  </si>
  <si>
    <t>Flying When this creature enters, draw a card. / Voar Quando Saqueadora de Tomos entrar no campo de batalha, compre um card.</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</si>
  <si>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</si>
  <si>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</si>
  <si>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</si>
  <si>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Tonel-mãe Phyrexiano / Phyrexian Vatmother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</si>
  <si>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</si>
  <si>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</si>
  <si>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</si>
  <si>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</si>
  <si>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</si>
  <si>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Topiary Lecturer / Conferencista de Topiaria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</si>
  <si>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</si>
  <si>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Topiary Stomper / Pisoteador de Topiaria</t>
  </si>
  <si>
    <t>Creature — Plant Dinosaur / Criatura — Planta Dinossauro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</si>
  <si>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</si>
  <si>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Topple the Statue / Derrubar a Estátua</t>
  </si>
  <si>
    <t>Tap target permanent. If it's an artifact, destroy it. Draw a card. / Vire a permanente alvo. Se ela for um artefato, destrua-a. Compre um card.</t>
  </si>
  <si>
    <t>Toque de Luvalua / Touch of Moonglove</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</si>
  <si>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</si>
  <si>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Tor Giant / Gigante dos Picos Rochosos</t>
  </si>
  <si>
    <t>Tor Wauki</t>
  </si>
  <si>
    <t>{T}: Tor Wauki deals 2 damage to target attacking or blocking creature.</t>
  </si>
  <si>
    <t>{2}{B}{B}{R}</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</si>
  <si>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</si>
  <si>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</si>
  <si>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</si>
  <si>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</si>
  <si>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</si>
  <si>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</si>
  <si>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Tori D'Avenant, Fury Rider / Tori D'Avenant, Ginete da Fúria</t>
  </si>
  <si>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</si>
  <si>
    <t>{1}{R}{R}{W}</t>
  </si>
  <si>
    <t>Tormented Thoughts / Pensamentos Atormentados</t>
  </si>
  <si>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</si>
  <si>
    <t>Tormenting Voice / Voz Atormentadora</t>
  </si>
  <si>
    <t>As an additional cost to cast this spell, discard a card. Draw two cards. / Como custo adicional para conjurar esta mágica, descarte um card. Compre dois cards.</t>
  </si>
  <si>
    <t xml:space="preserve">Renascer de Zendikar </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</si>
  <si>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</si>
  <si>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</si>
  <si>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</si>
  <si>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Torture / Tortura</t>
  </si>
  <si>
    <t>Enchant creature {1}{B}: Put a -1/-1 counter on enchanted creature. / Encantar criatura {1}{B}: Coloque um marcador -1/-1 na criatura encantada.</t>
  </si>
  <si>
    <t>Touch of Death / Toque da Morte</t>
  </si>
  <si>
    <t>Touch of Death deals 1 damage to target player or planeswalker. You gain 1 life. Draw a card at the beginning of the next turn's upkeep.</t>
  </si>
  <si>
    <t>Tough Cookie / Biscoito Durão</t>
  </si>
  <si>
    <t>Artifact Creature — Food Golem / Criatura Artefato — Comida Golem</t>
  </si>
  <si>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</si>
  <si>
    <t>Tourach's Chant</t>
  </si>
  <si>
    <t>At the beginning of your upkeep, sacrifice this enchantment unless you pay {B}. Whenever a player puts a Forest onto the battlefield, this enchantment deals 3 damage to that player unless they put a -1/-1 counter on a creature they control.</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</si>
  <si>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</si>
  <si>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</si>
  <si>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Toxic Scorpion / Escorpião Tóxico</t>
  </si>
  <si>
    <t>Deathtouch When this creature enters, another target creature you control gains deathtouch until end of turn. / Toque mortífero Quando Escorpião Tóxico entra no campo de batalha, outra criatura alvo que você controla ganha toque mortífero até o final do turno.</t>
  </si>
  <si>
    <t>Toxin Analysis</t>
  </si>
  <si>
    <t>Target creature gains deathtouch and lifelink until end of turn. Investigate. (Create a Clue token. It's an artifact with "{2}, Sacrifice this token: Draw a card.")</t>
  </si>
  <si>
    <t>Track Down / Atiradora do Céu Aberto</t>
  </si>
  <si>
    <t>Reach. {2}{G}: Atiradora do Céu Aberto deals 1 damage to target creature with flying. / Alcance. {2}{G}: Atiradora do Céu Aberto causa 1 ponto de dano à criatura alvo com voar.</t>
  </si>
  <si>
    <t>Tractor Beam / Raio Trator</t>
  </si>
  <si>
    <t>Encantar criatura ou Nave Espacial. Quando esta Aura entrar, vire a permanente encantada. Você controla a permanente encantada. A permanente encantada não é desvirada durante a etapa de desvirar de seu controlador.</t>
  </si>
  <si>
    <t>Trained Armodon / Armodonte Adestrado</t>
  </si>
  <si>
    <t>Duels of the Planeswalkers (DPA)</t>
  </si>
  <si>
    <t>Trained Caracal / Caracal Treinado</t>
  </si>
  <si>
    <t>Lifelink (Damage dealt by this creature also causes you to gain that much life.) / Vínculo com a vida (O dano causado por esta criatura faz com que você ganhe uma quantidade equivalente de pontos de vida.)</t>
  </si>
  <si>
    <t>Traje Bruto / Brute Suit</t>
  </si>
  <si>
    <t>Vigilância, Tripular 1 (Vire qualquer número de criaturas que você controla com total de poder igual ou superior a 1: Este Veículo torna-se uma criatura artefato até o final do turno.)</t>
  </si>
  <si>
    <t>Tranquil Cove / Angra Tranquila</t>
  </si>
  <si>
    <t>This land enters tapped. When this land enters, you gain 1 life. {T}: Add {W} or {U}. / Angra Tranquila entra no campo de batalha virada. Quando Angra Tranquila entra no campo de batalha, você ganha 1 ponto de vida. {T}: Adicione {W} ou {U}.</t>
  </si>
  <si>
    <t>Transformação Divina / Divine Transformation</t>
  </si>
  <si>
    <t>A criatura-alvo ganha +3/+3. / Target creature gets +3/+3.</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</si>
  <si>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</si>
  <si>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</si>
  <si>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</si>
  <si>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Transmutation</t>
  </si>
  <si>
    <t>Switch target creature's power and toughness until end of turn.</t>
  </si>
  <si>
    <t>Traumatic Visions / Visões Traumáticas</t>
  </si>
  <si>
    <t>Anule a mágica alvo. Reciclar terreno básico {1}{U} ({1}{U}, Descarte este card: Procure em seu grimório por um card de terreno básico, revele-o e coloque-o em sua mão. Depois, embaralhe seu grimório.)</t>
  </si>
  <si>
    <t>3UU</t>
  </si>
  <si>
    <t>Travel the Overworld / Viajar pelo Mundo Superior</t>
  </si>
  <si>
    <t>Afinidade com Cidades (Esta mágica custa {1} a menos para ser conjurada para cada Cidade que você controla.) Compre quatro cards.</t>
  </si>
  <si>
    <t>Traveling Minister / Ministro Itinerante</t>
  </si>
  <si>
    <t>{T}: Target creature gets +1/+0 until end of turn. You gain 1 life. Activate only as a sorcery. / {T}: A criatura alvo recebe +1/+0 até o final do turno. Você ganha 1 ponto de vida. Ative somente como um feitiço.</t>
  </si>
  <si>
    <t>Traveling Philosopher / Filósofo Viajante</t>
  </si>
  <si>
    <t>Treetop Freedom Fighters</t>
  </si>
  <si>
    <t>Haste When this creature enters, create a 1/1 white Ally creature token.</t>
  </si>
  <si>
    <t>Trenching Steed / Corcel de Trincheira</t>
  </si>
  <si>
    <t>Sacrifice a land: Trenching Steed gets +0/+3 until end of turn. / Sacrifique um terreno: Corcel de Trincheira recebe +0/+3 até o final do turno.</t>
  </si>
  <si>
    <t>Treno, Dark City / Treno, Cidade Sombria</t>
  </si>
  <si>
    <t>Este terreno entra virado. {T}: Adicione {U} ou {B}.</t>
  </si>
  <si>
    <t>Trial of Agony</t>
  </si>
  <si>
    <t>Choose two target creatures controlled by the same opponent. That player chooses one of those creatures. Trial of Agony deals 5 damage to that creature, and the other can't block this turn.</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</si>
  <si>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</si>
  <si>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</si>
  <si>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Tributary Vaulter</t>
  </si>
  <si>
    <t>Flying. Whenever this creature becomes tapped, another target Merfolk you control gets +2/+0 until end of turn.</t>
  </si>
  <si>
    <t>Triceraton Regenta / Regenta Triceráton</t>
  </si>
  <si>
    <t>Criatura — Dinossauro Nobre</t>
  </si>
  <si>
    <t>Vigilância (Atacar não faz esta criatura ser virada.) Sempre que esta criatura atacar, desvire até uma outra criatura alvo.</t>
  </si>
  <si>
    <t>Trilheira Wose / Wose Pathfinder</t>
  </si>
  <si>
    <t>{T}: Adicione um mana de qualquer cor. {6}{G}, {T}: Outra criatura alvo recebe +3/+3 e ganha atropelar até o final do turno.</t>
  </si>
  <si>
    <t>Trip Noose / Nó de Viagem</t>
  </si>
  <si>
    <t>{2}, {T}: Tap target creature.</t>
  </si>
  <si>
    <t>Trip Up</t>
  </si>
  <si>
    <t>Target nonland permanent's owner puts it on their choice of the top or bottom of their library. Cycling {2} ({2}, Discard this card: Draw a card.)</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</si>
  <si>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</si>
  <si>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</si>
  <si>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</si>
  <si>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</si>
  <si>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</si>
  <si>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Triton Cavalry / Cavalaria Talassida</t>
  </si>
  <si>
    <t>Criatura — Tritão Soldado</t>
  </si>
  <si>
    <t>Heroico — Toda vez que você conjura uma mágica cujo alvo seja Cavalaria Talassida, você poderá devolver o encantamento alvo para a mão de seu dono.</t>
  </si>
  <si>
    <t>Triturador de Códices / Codex Shredder</t>
  </si>
  <si>
    <t>{T}: O jogador alvo coloca o card do topo do grimório dele no próprio cemitério. {5}, {T}, Sacrifique Triturador de Códices: Devolva o card alvo de seu cemitério para sua mão.</t>
  </si>
  <si>
    <t>Tromokratis</t>
  </si>
  <si>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</si>
  <si>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</si>
  <si>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</si>
  <si>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</si>
  <si>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</si>
  <si>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</si>
  <si>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Truck Toss / Arremesso de Caminhão</t>
  </si>
  <si>
    <t>Esta mágica custa {2} a menos para ser conjurada se você controlar um Veículo. Arremesso de Caminhão causa 4 de dano a qualquer alvo.</t>
  </si>
  <si>
    <t>Truefire Captain / Capitã do Fogo Genuíno</t>
  </si>
  <si>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</si>
  <si>
    <t>{R}{R}{W}{W}</t>
  </si>
  <si>
    <t>Trumpet Blast / Soar da Trombeta</t>
  </si>
  <si>
    <t>Attacking creatures get +2/+0 until end of turn. / As criaturas atacantes recebem +2/+0 até o final do turno.</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</si>
  <si>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</si>
  <si>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</si>
  <si>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Trusty Boomerang</t>
  </si>
  <si>
    <t>Equipped creature has "{1}, {T}: Tap target creature. Return Trusty Boomerang to its owner's hand." Equip {1} ({1}: Attach to target creature you control. Equip only as a sorcery.)</t>
  </si>
  <si>
    <t>Tuktuk Rubblefort / Forte dos Escombros Tuktuk</t>
  </si>
  <si>
    <t>Defender, reach Creatures you control have haste. / Defensor, alcance As criaturas que você controla têm ímpeto.</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</si>
  <si>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</si>
  <si>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</si>
  <si>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</si>
  <si>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</si>
  <si>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</si>
  <si>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</si>
  <si>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</si>
  <si>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Tundra Wolves / Lobos da Tundra</t>
  </si>
  <si>
    <t>First strike</t>
  </si>
  <si>
    <t>Tunnel / Túnel</t>
  </si>
  <si>
    <t>Destroy target Wall. It can't be regenerated. / Enterra a barreira-alvo.</t>
  </si>
  <si>
    <t>Tunnel Rats</t>
  </si>
  <si>
    <t>{4}{B}: Return this card from your graveyard to the battlefield tapped.</t>
  </si>
  <si>
    <t>Tunnel Surveyor</t>
  </si>
  <si>
    <t>Creature — Human Detective</t>
  </si>
  <si>
    <t>When this creature enters, create a 1/1 white Glimmer enchantment creature token.</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</si>
  <si>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</si>
  <si>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</si>
  <si>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</si>
  <si>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</si>
  <si>
    <t>Turn Aside / Desviar Olhar</t>
  </si>
  <si>
    <t>Counter target spell that targets a permanent you control. / Anule a mágica alvo que tenha como alvo uma permanente que você controla.</t>
  </si>
  <si>
    <t>Turn Inside Out</t>
  </si>
  <si>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</si>
  <si>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</si>
  <si>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</si>
  <si>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</si>
  <si>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Turtle Blimp</t>
  </si>
  <si>
    <t>Flying When this Vehicle enters, create a 2/2 red Mutant creature token. Crew 2 (Tap any number of creatures you control with total power 2 or more: This Vehicle becomes an artifact creature until end of turn.)</t>
  </si>
  <si>
    <t>Turtle Lair</t>
  </si>
  <si>
    <t>{T}: Add {C}. {T}: Add one mana of any color. Spend this mana only to cast a Ninja or Turtle spell. {3}, {T}: Target Ninja or Turtle can't be blocked this turn.</t>
  </si>
  <si>
    <t>Turtle Power!</t>
  </si>
  <si>
    <t>Flash Turtles you control get +2/+2.</t>
  </si>
  <si>
    <t>Turtle Tracks / Rastros de Tartaruga</t>
  </si>
  <si>
    <t>Qualquer número de jogadores alvo pode, cada um, procurar em seu próprio grimório por um card de terreno básico, colocá-lo no campo de batalha sob o controle deles e depois embaralhar.</t>
  </si>
  <si>
    <t>Turtle Van</t>
  </si>
  <si>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</si>
  <si>
    <t>Turtle-Duck</t>
  </si>
  <si>
    <t>Creature — Turtle Bird</t>
  </si>
  <si>
    <t>{3}: Until end of turn, this creature has base power 4 and gains trample.</t>
  </si>
  <si>
    <t>Tuya Bearclaw / Tuya Garra de Urso</t>
  </si>
  <si>
    <t>Whenever Tuya Bearclaw attacks, it gets +X/+X until end of turn, where X is the greatest power among other creatures you control. / Toda vez que Tuya Garra de Urso ataca, ela recebe +X/+X até o final do turno, sendo X o maior poder entre os das outras criaturas que você controla.</t>
  </si>
  <si>
    <t>Tweeze</t>
  </si>
  <si>
    <t>Tweeze deals 3 damage to any target. You may discard a card. If you do, draw a card.</t>
  </si>
  <si>
    <t>Twist Reality</t>
  </si>
  <si>
    <t>Choose one — • Counter target spell. • Manifest dread. (Look at the top two cards of your library. Put one onto the battlefield face down as a 2/2 creature and the other into your graveyard. Turn it face up any time for its mana cost if it's a creature card.)</t>
  </si>
  <si>
    <t>Twisted Abomination / Abominação Distorcida</t>
  </si>
  <si>
    <t>Creature — Zombie Mutant / Criatura — Mutante Zumbi</t>
  </si>
  <si>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</si>
  <si>
    <t>Premium Deck Series: Graveborn</t>
  </si>
  <si>
    <t>Ty Lee, Artful Acrobat</t>
  </si>
  <si>
    <t>Legendary Creature — Human Performer</t>
  </si>
  <si>
    <t>Prowess (Whenever you cast a noncreature spell, this creature gets +1/+1 until end of turn.) Whenever Ty Lee attacks, you may pay {1}. When you do, target creature can't block this turn.</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</si>
  <si>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</si>
  <si>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</si>
  <si>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</si>
  <si>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Tyrox, Saurid Tyrant</t>
  </si>
  <si>
    <t>Legendary Creature — Dinosaur Warrior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</si>
  <si>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</si>
  <si>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</si>
  <si>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</si>
  <si>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</si>
  <si>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Uglúk da Mão Branca / Uglúk of the White Hand</t>
  </si>
  <si>
    <t>Toda vez que outra criatura que você controla morrer, coloque um marcador +1/+1 em Uglúk da Mão Branca. Se aquela criatura for um Goblin ou Orc, em vez disso, coloque dois marcadores +1/+1 em Uglúk.</t>
  </si>
  <si>
    <t>Ulamog's Crusher / Esmagador de Ulamog</t>
  </si>
  <si>
    <t>Annihilator 2. Ulamog's Crusher attacks each combat if able. / Aniquilador 2. Esmagador de Ulamog ataca a cada combate, se estiver apto.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</si>
  <si>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</si>
  <si>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</si>
  <si>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</si>
  <si>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</si>
  <si>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</si>
  <si>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</si>
  <si>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</si>
  <si>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Azul/Preto</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</si>
  <si>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</si>
  <si>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</si>
  <si>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</si>
  <si>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Unable to Scream</t>
  </si>
  <si>
    <t>Enchant creature Enchanted creature loses all abilities and is a Toy artifact creature with base power and toughness 0/2 in addition to its other types. As long as enchanted creature is face down, it can't be turned face up.</t>
  </si>
  <si>
    <t>Unbury</t>
  </si>
  <si>
    <t>Choose one — Return target creature card from your graveyard to your hand. Return two target creature cards that share a creature type from your graveyard to your hand.</t>
  </si>
  <si>
    <t>Uncharted Voyage</t>
  </si>
  <si>
    <t>Target creature's owner puts it on their choice of the top or bottom of their library. Surveil 1. (Look at the top card of your library. You may put it into your graveyard.)</t>
  </si>
  <si>
    <t>Uncle Istvan / Tio Istvan</t>
  </si>
  <si>
    <t>Creature — Human / Criatura — Humano</t>
  </si>
  <si>
    <t>Prevent all damage that would be dealt to this creature by creatures. / Previne todo o dano que seria causado por criaturas a Tio Istvan.</t>
  </si>
  <si>
    <t>Undercity Dire Rat / Rato Atroz da Cidade Baixa</t>
  </si>
  <si>
    <t>Criatura — Rato</t>
  </si>
  <si>
    <t>Rabo de Rato — Quando esta criatura morrer, crie uma ficha de Tesouro. (Ela é um artefato com "{T}, Sacrifique esta ficha: Adicione um mana de qualquer cor.")</t>
  </si>
  <si>
    <t>Undercity Scavenger / Necrófago do Submundo</t>
  </si>
  <si>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</si>
  <si>
    <t>Underworld Coinsmith / Moedeiro do Submundo</t>
  </si>
  <si>
    <t>Enchantment Creature — Human Cleric / Criatura Encantamento — Humano Clérigo</t>
  </si>
  <si>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</si>
  <si>
    <t>Uneasy Alliance</t>
  </si>
  <si>
    <t>Enchant creature Enchanted creature can't attack or block. {5}, Sacrifice this Aura: Exile enchanted creature. You create a 1/1 black Ninja creature token. Activate only as a sorcery.</t>
  </si>
  <si>
    <t>Unesh, Criosphinx Sovereign / Unesh, Soberano Crioesfinge</t>
  </si>
  <si>
    <t>Legendary Creature — Sphinx / Criatura Lendária — Esfinge</t>
  </si>
  <si>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</si>
  <si>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</si>
  <si>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</si>
  <si>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Unforgiving Aim</t>
  </si>
  <si>
    <t>Choose one — • Destroy target creature with flying. • Destroy target enchantment. • Create a 2/2 black and green Elf creature token.</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</si>
  <si>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</si>
  <si>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</si>
  <si>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</si>
  <si>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Unholy Officiant / Celebrante Profano</t>
  </si>
  <si>
    <t>Vigilance {4}{W}: Put a +1/+1 counter on this creature. / Vigilância {4}{W}: Coloque um marcador +1/+1 em Celebrante Profano.</t>
  </si>
  <si>
    <t>Unholy Strength / Força Profana</t>
  </si>
  <si>
    <t>Enchanted creature gets +2/+1.</t>
  </si>
  <si>
    <t>Enchant creature Enchanted creature gets +2/+1. / Encantar criatura A criatura encantada recebe +2/+1.</t>
  </si>
  <si>
    <t>Universal Solvent / Solvente Universal</t>
  </si>
  <si>
    <t>{7}, {T}, Sacrifice this artifact: Destroy target permanent. / {7}, {T}, sacrifique Solvente Universal: Destrua a permanente alvo.</t>
  </si>
  <si>
    <t>{7}, {T}, Sacrifice Universal Solvent: Destroy target permanent.</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</si>
  <si>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</si>
  <si>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</si>
  <si>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Unmake / Inexistir</t>
  </si>
  <si>
    <t>Exile target creature. / Remova do jogo a criatura alvo.</t>
  </si>
  <si>
    <t>Unnatural Moonrise / Nascer da Lua Antinatural</t>
  </si>
  <si>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</si>
  <si>
    <t>Unraveling Mummy / Múmia Desenrolada</t>
  </si>
  <si>
    <t>{1}{W}: Target attacking Zombie gains lifelink until end of turn. {1}{B}: Target attacking Zombie gains deathtouch until end of turn. / {1}{W}: O Zumbi atacante alvo ganha vínculo com a vida até o final do turno. {1}{B}: O Zumbi atacante alvo ganha toque mortífero até o final do turno.</t>
  </si>
  <si>
    <t>Unscrupulous Contractor / Mercenário Inescrupuloso</t>
  </si>
  <si>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</si>
  <si>
    <t>Unsettling Twins</t>
  </si>
  <si>
    <t>When this creature enters, manifest dread. (Look at the top two cards of your library. Put one onto the battlefield face down as a 2/2 creature and the other into your graveyard. Turn it face up any time for its mana cost if it's a creature card.)</t>
  </si>
  <si>
    <t>Unstable Amulet / Amuleto Instável</t>
  </si>
  <si>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</si>
  <si>
    <t>Unstable Obelisk / Obelisco Instável</t>
  </si>
  <si>
    <t>{T}: Add {C}. {7}, {T}, Sacrifice this artifact: Destroy target permanent. / {T}: Adicione {C}. {7}, {T}, sacrifique Obelisco Instável: Destrua a permanente alvo.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</si>
  <si>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</si>
  <si>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</si>
  <si>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</si>
  <si>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</si>
  <si>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</si>
  <si>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Unsummon / Esconjurar</t>
  </si>
  <si>
    <t>Return target creature to its owner's hand. / Devolva a criatura alvo para a mão de seu dono.</t>
  </si>
  <si>
    <t>Unwelcome Sprite</t>
  </si>
  <si>
    <t>Flying. Whenever you cast a spell during an opponent's turn, surveil 2. (Look at the top two cards of your library. You may put any number of them into your graveyard and the rest on top of your library in any order.)</t>
  </si>
  <si>
    <t>Unyielding Krumar / Krumar Inexorável</t>
  </si>
  <si>
    <t>{1}{W}: This creature gains first strike until end of turn. / {1}{W}: Krumar Inexorável ganha iniciativa até o final do turno.</t>
  </si>
  <si>
    <t>Uproot / Desenraizar</t>
  </si>
  <si>
    <t>Put target land on top of its owner's library. / Coloque o terreno alvo no topo do grimório de seu dono.</t>
  </si>
  <si>
    <t>Urabrask's Anointer / Ungidor de Urabrask</t>
  </si>
  <si>
    <t>Artifact Creature — Phyrexian Wizard / Criatura Artefato — Phyrexiano Mago</t>
  </si>
  <si>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</si>
  <si>
    <t>Urban Utopia / Utopia Urbana</t>
  </si>
  <si>
    <t>Enchant land When this Aura enters, draw a card. Enchanted land has "{T}: Add one mana of any color." / Encantar terreno Quando Utopia Urbana entrar no campo de batalha, compre um card. O terreno encantado tem "{T}: Adicione um mana de qualquer cor".</t>
  </si>
  <si>
    <t>Urna de Fogo Divino / Divine Fire Urn</t>
  </si>
  <si>
    <t>{2}: Adicione um mana de qualquer cor. {6}, {T}, sacrifique Urna de Fogo Divino: Destrua a criatura ou o encantamento alvo.</t>
  </si>
  <si>
    <t>Urza, Prince of Kroog / Urza, Príncipe de Kroog</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</si>
  <si>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</si>
  <si>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Urza's Avenger / Vingador de Urza</t>
  </si>
  <si>
    <t>Artifact Creature — Shapeshifter</t>
  </si>
  <si>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</si>
  <si>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Urza's Mine / Miniera di Urza</t>
  </si>
  <si>
    <t>Land / Terra</t>
  </si>
  <si>
    <t>{T}: Add {C} to your mana pool. If you control an Urza's Tower and an Urza's Power Plant, add {C}{C} to your mana pool instead.</t>
  </si>
  <si>
    <t>Uthden Troll / Trol de Uthden</t>
  </si>
  <si>
    <t>{R}: Regenerate this creature. / {R}: Regenere Trol de Uthden.</t>
  </si>
  <si>
    <t>Utopia Vow / Promessa Utópica</t>
  </si>
  <si>
    <t>Enchant creature Enchanted creature can't attack or block. Enchanted creature has "{T}: Add one mana of any color." / Encantar criatura A criatura encantada não pode atacar nem bloquear. A criatura encantada tem "{T}: Adicione um mana de qualquer cor".</t>
  </si>
  <si>
    <t>Utrom Scientists</t>
  </si>
  <si>
    <t>Artifact Creature — Utrom Robot Scientist</t>
  </si>
  <si>
    <t>When this creature enters, tap up to one target creature and put a stun counter on it. (If a permanent with a stun counter would become untapped, remove one from it instead.)</t>
  </si>
  <si>
    <t>Utter Insignificance / Insignificância Mor</t>
  </si>
  <si>
    <t>Flash Enchant creature Enchanted creature loses all abilities and has base power and toughness 1/1. {2}{C}: Exile enchanted creature. / Lampejo Encantar criatura A criatura encantada perde todas as habilidades e tem poder e resistência básicos 1/1. {2}{C}: Exile a criatura encantada.</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</si>
  <si>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</si>
  <si>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</si>
  <si>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</si>
  <si>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</si>
  <si>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*/5</t>
  </si>
  <si>
    <t>Valeron Outlander / Forasteiro de Valeron</t>
  </si>
  <si>
    <t>Protection from black / Proteção contra o preto</t>
  </si>
  <si>
    <t>Conflux (CON)</t>
  </si>
  <si>
    <t>Valgavoth's Faithful</t>
  </si>
  <si>
    <t>{3}{B}, Sacrifice this creature: Return target creature card from your graveyard to the battlefield. Activate only as a sorcery.</t>
  </si>
  <si>
    <t>Valiant Knight / Cavaleira Valente</t>
  </si>
  <si>
    <t>Other Knights you control get +1/+1. {3}{W}{W}: Knights you control gain double strike until end of turn. / Os outros Cavaleiros que você controla recebem +1/+1. {3}{W}{W}: Os Cavaleiros que você controla ganham golpe duplo até o final do turno.</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</si>
  <si>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</si>
  <si>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</si>
  <si>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Vampire Bats / Morcegos Vampiros</t>
  </si>
  <si>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</si>
  <si>
    <t>Vampire Nighthawk / Vampiro Falcão-da-Noite</t>
  </si>
  <si>
    <t>Creature — Vampire Shaman / Criatura — Vampiro Xamã</t>
  </si>
  <si>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</si>
  <si>
    <t>Vampire Opportunist / Oportunista Vampira</t>
  </si>
  <si>
    <t>{6}{B}: Each opponent loses 2 life and you gain 2 life. / {6}{B}: Cada oponente perde 2 pontos de vida e você ganha 2 pontos de vida.</t>
  </si>
  <si>
    <t>Vampire Slayer / Matadora de Vampiros</t>
  </si>
  <si>
    <t>Whenever this creature deals damage to a Vampire, destroy that creature. / Toda vez que Matadora de Vampiros causar dano a um Vampiro, destrua aquela criatura.</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</si>
  <si>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</si>
  <si>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</si>
  <si>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</si>
  <si>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</si>
  <si>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</si>
  <si>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</si>
  <si>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</si>
  <si>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</si>
  <si>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</si>
  <si>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</si>
  <si>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</si>
  <si>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</si>
  <si>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</si>
  <si>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</si>
  <si>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Vanguard Seraph</t>
  </si>
  <si>
    <t>Creature — Angel Warrior</t>
  </si>
  <si>
    <t>Flying Whenever you gain life for the first time each turn, surveil 1. (Look at the top card of your library. You may put it into your graveyard.)</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</si>
  <si>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</si>
  <si>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</si>
  <si>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</si>
  <si>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</si>
  <si>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</si>
  <si>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</si>
  <si>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Vanish from Sight</t>
  </si>
  <si>
    <t>Target nonland permanent's owner puts it on their choice of the top or bottom of their library. Surveil 1. (Look at the top card of your library. You may put it into your graveyard.)</t>
  </si>
  <si>
    <t>Varchild's Crusader / Cruzado de Varchild</t>
  </si>
  <si>
    <t>{0}: This creature can't be blocked this turn except by Walls. Sacrifice this creature at the beginning of the next end step.</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</si>
  <si>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</si>
  <si>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</si>
  <si>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Vat of Rebirth / Tanque de Renascimento</t>
  </si>
  <si>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</si>
  <si>
    <t>Vault Robber / Ladrão de Catacumba</t>
  </si>
  <si>
    <t>Creature — Dwarf Rogue / Criatura — Anão Ladino</t>
  </si>
  <si>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</si>
  <si>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</si>
  <si>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</si>
  <si>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Vector, Imperial Capital / Vector, Capital Imperial</t>
  </si>
  <si>
    <t>Este terreno entra virado. {T}: Adicione {B} ou {R}.</t>
  </si>
  <si>
    <t>Vedalken Mesmerist / Mesmerista Vedalkeano</t>
  </si>
  <si>
    <t>Whenever this creature attacks, target creature an opponent controls gets -2/-0 until end of turn. / Toda vez que Mesmerista Vedalkeano ataca, a criatura alvo que um oponente controla recebe -2/-0 até o final do turno.</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</si>
  <si>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</si>
  <si>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</si>
  <si>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</si>
  <si>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</si>
  <si>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Vengeful Tracker / Rastreador Vingativo</t>
  </si>
  <si>
    <t>Whenever an opponent sacrifices an artifact, this creature deals 2 damage to them. / Toda vez que um oponente sacrifica um artefato, Rastreador Vingativo causa 2 pontos de dano àquele jogador.</t>
  </si>
  <si>
    <t>Venomous Brutalizer / Brutalizador Peçonhento</t>
  </si>
  <si>
    <t>Creature — Phyrexian Knight / Criatura — Phyrexiano Cavaleiro</t>
  </si>
  <si>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</si>
  <si>
    <t>Venus, Torn Between Worlds</t>
  </si>
  <si>
    <t>Legendary Creature — Mutant Frog Turtle</t>
  </si>
  <si>
    <t>Whenever Venus is dealt damage, put that many +1/+1 counters on her. (She must survive the damage to get the counters.) Whenever a creature you control with a counter on it deals combat damage to a player, you may pay {U}. If you do, draw a card.</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</si>
  <si>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</si>
  <si>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</si>
  <si>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Verdeloth the Ancient / Verdeloth, o Antigo</t>
  </si>
  <si>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</si>
  <si>
    <t>Vertigo / Vertigem</t>
  </si>
  <si>
    <t>Vertigo deals 2 damage to target creature with flying. That creature loses flying until end of turn.</t>
  </si>
  <si>
    <t>Veteran Survivor</t>
  </si>
  <si>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</si>
  <si>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</si>
  <si>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</si>
  <si>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</si>
  <si>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</si>
  <si>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Viashino Branchrider / Surfista da Mata Viashino</t>
  </si>
  <si>
    <t>Creature — Lizard Warrior / Criatura — Viashino Guerreiro</t>
  </si>
  <si>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</si>
  <si>
    <t>Viashino Fangtail / Viashino Cauda Canina</t>
  </si>
  <si>
    <t>Creature — Lizard Warrior / Criatura - Guerreiro Viashino</t>
  </si>
  <si>
    <t>{T}: This creature deals 1 damage to any target. / {T}: Viashino Cauda Canina causa 1 ponto de dano à criatura alvo ou ao jogador alvo.</t>
  </si>
  <si>
    <t>Vibrant Cityscape / Paisagem Urbana Vibrante</t>
  </si>
  <si>
    <t>{T}, Sacrifique este terreno: Procure em seu grimório por um card de terreno básico, coloque-o no campo de batalha virado e depois embaralhe.</t>
  </si>
  <si>
    <t>Teenage Mutant Ninja Turtles (TMC)</t>
  </si>
  <si>
    <t>Vicious Clown</t>
  </si>
  <si>
    <t>Creature — Human Clown</t>
  </si>
  <si>
    <t>Whenever another creature you control with power 2 or less enters, this creature gets +2/+0 until end of turn.</t>
  </si>
  <si>
    <t>Victim of Night</t>
  </si>
  <si>
    <t>Destroy target non-Vampire, non-Werewolf, non-Zombie creature.</t>
  </si>
  <si>
    <t>Duel Decks: Blessed vs. Cursed (DDG)</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</si>
  <si>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</si>
  <si>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</si>
  <si>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</si>
  <si>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Vilespawn Spider / Aranha da Prole Maligna</t>
  </si>
  <si>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</si>
  <si>
    <t>Village Rites</t>
  </si>
  <si>
    <t>As an additional cost to cast this spell, sacrifice a creature. Draw two cards.</t>
  </si>
  <si>
    <t>Villagers of Estwald / Aldeões de Estwald</t>
  </si>
  <si>
    <t>Creature — Human Werewolf / Criatura — Humano Lobisomem</t>
  </si>
  <si>
    <t>At the beginning of each upkeep, if no spells were cast last turn, transform Villagers of Estwald. / No início de cada manutenção, se nenhuma mágica tiver sido conjurada no último turno, transforme Aldeões de Estwald.</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</si>
  <si>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</si>
  <si>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</si>
  <si>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</si>
  <si>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</si>
  <si>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</si>
  <si>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</si>
  <si>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</si>
  <si>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</si>
  <si>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Vindictive Vampire / Vampira Vingativa</t>
  </si>
  <si>
    <t>Criatura — Vampiro</t>
  </si>
  <si>
    <t>Toda vez que outra criatura que você controla morre, Vampira Vingativa causa 1 ponto de dano a cada oponente e você ganha 1 ponto de vida.</t>
  </si>
  <si>
    <t>Vindictive Warden</t>
  </si>
  <si>
    <t>Menace (This creature can't be blocked except by two or more creatures.) Firebending 1 (Whenever this creature attacks, add {R}. This mana lasts until end of combat.) {3}: This creature deals 1 damage to each opponent.</t>
  </si>
  <si>
    <t>Vinereap Mentor</t>
  </si>
  <si>
    <t>Creature — Squirrel Druid</t>
  </si>
  <si>
    <t>When Vinereap Mentor enters or dies, create a Food token. (It's an artifact with "2, {T}, Sacrifice this artifact: You gain 3 life.")</t>
  </si>
  <si>
    <t>Viridian Longbow / Arco Longo Viridiano</t>
  </si>
  <si>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</si>
  <si>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</si>
  <si>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</si>
  <si>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Virulent Emissary</t>
  </si>
  <si>
    <t>Creature — Elf Assassin</t>
  </si>
  <si>
    <t>Rare (Promo)</t>
  </si>
  <si>
    <t>Deathtouch. Whenever another creature you control enters, you gain 1 life.</t>
  </si>
  <si>
    <t>Lorwyn Eclipsed (ECL) (Promo)</t>
  </si>
  <si>
    <t>Visão Longínqua Élfica / Elven Farsight</t>
  </si>
  <si>
    <t>Use vidência 3. Depois, você pode revelar o card do topo de seu grimório. Se for um card de criatura, compre um card.</t>
  </si>
  <si>
    <t>Visionary's Dance</t>
  </si>
  <si>
    <t>Create two 3/3 blue and red Elemental creature tokens with flying. {2}, Discard this card: Look at the top two cards of your library. Put one of them into your hand and the other into your graveyard.</t>
  </si>
  <si>
    <t>{5}{U}{R}</t>
  </si>
  <si>
    <t>Visions of Villainy / Visões de Vilania</t>
  </si>
  <si>
    <t>Esta mágica custa {1} a menos para ser conjurada se você controlar um Vilão. Você compra dois cards e perde 2 de vida.</t>
  </si>
  <si>
    <t>Vito's Inquisitor / Inquisidora de Vito</t>
  </si>
  <si>
    <t>{B}, Sacrifice another creature or artifact: Put a +1/+1 counter on this creature. It gains menace until end of turn. / {B}, sacrifique outra criatura ou outro artefato: Coloque um marcador +1/+1 em Inquisidora de Vito. Ele ganha ameaçar até o final do turno.</t>
  </si>
  <si>
    <t>Vitral do Pacto das Guildas / Glass of the Guildpact</t>
  </si>
  <si>
    <t>As criaturas multicoloridas que você controla recebem +1/+1.</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</si>
  <si>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</si>
  <si>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</si>
  <si>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</si>
  <si>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</si>
  <si>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</si>
  <si>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</si>
  <si>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Vizier of Tumbling Sands / Vizir das Areias Correntes</t>
  </si>
  <si>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</si>
  <si>
    <t>Vizkopa Vampire / Vampiro do Vizkopa</t>
  </si>
  <si>
    <t>Voda Sea Scavenger / Necrófago do Mar de Voda</t>
  </si>
  <si>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</si>
  <si>
    <t>Vohar, Profanador Vodaliano / Vohar, Vodalian Desecrator</t>
  </si>
  <si>
    <t>Criatura Lendária — Phyrexiano Tritão Mago / Legendary Creature — Phyrexian Merfolk Wizard</t>
  </si>
  <si>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</si>
  <si>
    <t>Vohar, Vodalian Desecrator / Vohar, Profanador Vodaliano</t>
  </si>
  <si>
    <t>Legendary Creature — Phyrexian Merfolk Wizard / Criatura Lendária — Phyrexiano Tritão Mago</t>
  </si>
  <si>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</si>
  <si>
    <t>Volcanic Villain / Vilã Vulcânica</t>
  </si>
  <si>
    <t>Criatura — Elemental Vilão</t>
  </si>
  <si>
    <t>Ímpeto. Fortalecer — {5}{R}: Coloque dois marcadores +1/+1 nesta criatura. (Ative cada habilidade de fortalecer apenas uma vez. Reduza o custo pelo custo de mana dela se ela entrou neste turno.)</t>
  </si>
  <si>
    <t>Voldaren Epicure / Epicurista Voldaren</t>
  </si>
  <si>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</si>
  <si>
    <t>Voldaren Stinger / Ferroadora Voldaren</t>
  </si>
  <si>
    <t>This creature has first strike as long as it's attacking. {2}{R}: This creature gets +2/+0 until end of turn. / Ferroadora Voldaren tem iniciativa enquanto estiver atacando. {2}{R}: Ferroadora Voldaren recebe +2/+0 até o final do turno.</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</si>
  <si>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</si>
  <si>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</si>
  <si>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</si>
  <si>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</si>
  <si>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</si>
  <si>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Volshe Tideturner / Inversora de Marés Volshe</t>
  </si>
  <si>
    <t>{T}: Add {U}. Spend this mana only to cast an instant or sorcery spell or a kicked spell. / {T}: Adicione {U}. Gaste este mana somente para conjurar uma mágica instantânea, um feitiço ou uma mágica reforçada.</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</si>
  <si>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</si>
  <si>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</si>
  <si>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Vontade do Flamividente</t>
  </si>
  <si>
    <t>Encantar criatura que você controla A criatura encantada recebe +1/+1. Toda vez que a criatura encantada causa dano de combate a um jogador, você pode sacrificar Vontade do Flamividente. Se fizer isso, destrua o artefato alvo.</t>
  </si>
  <si>
    <t>Voracious Dragon / Dragão Voraz</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</si>
  <si>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</si>
  <si>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Voracious Tome-Skimmer</t>
  </si>
  <si>
    <t>Flying Whenever you cast a spell during an opponent's turn, you may pay 1 life. If you do, draw a card.</t>
  </si>
  <si>
    <t>{U/B}{U/B}{U/B}</t>
  </si>
  <si>
    <t>Vorstclaw / Garra Voraz</t>
  </si>
  <si>
    <t>Creature — Elemental Horror / Criatura — Elemental Horror</t>
  </si>
  <si>
    <t>Vote Out / Eliminar pelo Voto</t>
  </si>
  <si>
    <t>Convocar (Suas criaturas podem ajudar a conjurar esta mágica. Cada criatura que você vira ao conjurar esta mágica paga por {1} ou por um mana da cor daquela criatura.) Destrua a criatura alvo.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</si>
  <si>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</si>
  <si>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</si>
  <si>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</si>
  <si>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Vryn Wingmare / Égua Alada de Vryn</t>
  </si>
  <si>
    <t>Flying Noncreature spells cost {1} more to cast. / Voar As mágicas que não sejam de criatura custam {1} a mais para serem conjuradas.</t>
  </si>
  <si>
    <t>Vulpine Goliath / Golias Vulpino</t>
  </si>
  <si>
    <t>Vulturous Aven / Aviano Rapace</t>
  </si>
  <si>
    <t>Creature — Bird Shaman / Criatura — Ave Xamã</t>
  </si>
  <si>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</si>
  <si>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</si>
  <si>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</si>
  <si>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Wakandan Royal Guard / Guarda Real de Wakanda</t>
  </si>
  <si>
    <t>Criatura — Humano Soldado Herói</t>
  </si>
  <si>
    <t>Vigilância. Quando esta criatura entrar, coloque um marcador +1/+1 na criatura alvo. Se aquela criatura for outro Herói, em vez disso, coloque dois marcadores +1/+1 nela.</t>
  </si>
  <si>
    <t>Walking Sarcophagus</t>
  </si>
  <si>
    <t>Artifact Creature — Zombie Cat</t>
  </si>
  <si>
    <t>Start your engines! (If you have no speed, it starts at 1. It increases once on each of your turns when an opponent loses life. Max speed is 4.) Max speed — This creature gets +1/+2.</t>
  </si>
  <si>
    <t>Walking Wall / Barreira Ambulante</t>
  </si>
  <si>
    <t>Defender {3}: This creature gets +3/-1 until end of turn and can attack this turn as though it didn't have defender. Activate only once each turn.</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</si>
  <si>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</si>
  <si>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</si>
  <si>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</si>
  <si>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Walking Wall / Muro Andarilho</t>
  </si>
  <si>
    <t>Counts as a wall, {3}: Walking Wall gets +3/-1 until end of turn and can attack this turn. Walking Wall cannot attack the turn it comes under your control. Use this ability only once a turn.</t>
  </si>
  <si>
    <t>Wall of Bone / Barreira de Ossos</t>
  </si>
  <si>
    <t>Creature — Skeleton Wall / Criatura — Esqueleto Barreira</t>
  </si>
  <si>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</si>
  <si>
    <t>Wall of Denial / Barreira da Negação</t>
  </si>
  <si>
    <t>Defender, flying Shroud (This creature can't be the target of spells or abilities.) / Defensor, voar, manto</t>
  </si>
  <si>
    <t>0/8</t>
  </si>
  <si>
    <t>Wall of Dust / Barreira de Pó</t>
  </si>
  <si>
    <t>Defender (This creature can't attack.) Whenever this creature blocks a creature, that creature can't attack during its controller's next turn.</t>
  </si>
  <si>
    <t>Wall of Fire / Barreira de Fogo</t>
  </si>
  <si>
    <t>Defender (This creature can't attack.) {R}: This creature gets +1/+0 until end of turn. / Defensor (Esta criatura não pode atacar.) {R}: Barreira de Fogo recebe +1/+0 até o final do turno.</t>
  </si>
  <si>
    <t>Wall of Heat</t>
  </si>
  <si>
    <t>Defender (This creature can't attack.)</t>
  </si>
  <si>
    <t>Wall of Lava / Barreira de Lava</t>
  </si>
  <si>
    <t>Defender (This creature can't attack.) {R}: This creature gets +1/+1 until end of turn.</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</si>
  <si>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</si>
  <si>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</si>
  <si>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Wall of Opposition</t>
  </si>
  <si>
    <t>Defender (This creature can't attack.) {1}: This creature gets +1/+0 until end of turn.</t>
  </si>
  <si>
    <t>Wall of Shadows</t>
  </si>
  <si>
    <t>Defender (This creature can't attack.) Prevent all damage that would be dealt to this creature by creatures it's blocking. This creature can't be the target of spells that can target only Walls or of abilities that can target only Walls.</t>
  </si>
  <si>
    <t>Wall of Spears / Barreira de Lanças</t>
  </si>
  <si>
    <t>Defender (This creature can't attack.) First strike / (As Barreiras não podem atacar.) Iniciativa (Esta criatura causa dano de combate antes de criaturas sem a habilidade de iniciativa.)</t>
  </si>
  <si>
    <t>Wall of Stone / Barreira de Pedra</t>
  </si>
  <si>
    <t>Defender (This creature can't attack.) / (As Barreiras não podem atacar.)</t>
  </si>
  <si>
    <t>Walltop Sentries</t>
  </si>
  <si>
    <t>Reach, deathtouch When this creature dies, if there's a Lesson card in your graveyard, you gain 2 life.</t>
  </si>
  <si>
    <t>Wander Off / Desviar-se</t>
  </si>
  <si>
    <t>Exile target creature. / Exile a criatura alvo.</t>
  </si>
  <si>
    <t>Wanderbrine Preacher</t>
  </si>
  <si>
    <t>Creature — Merfolk Cleric</t>
  </si>
  <si>
    <t>Whenever this creature becomes tapped, you gain 2 life.</t>
  </si>
  <si>
    <t>Wanderbrine Rootcutters / Corta-Raízes de Salmorerrante</t>
  </si>
  <si>
    <t>This creature can't be blocked by green creatures. / Corta-Raízes de Salmorerrante não pode ser bloqueado por criaturas verdes.</t>
  </si>
  <si>
    <t>{2}{U/B}{U/B}</t>
  </si>
  <si>
    <t>Wanderer's Intervention / Intervenção da Errante</t>
  </si>
  <si>
    <t>Wanderer's Intervention deals 4 damage to target attacking or blocking creature. / Intervenção da Errante causa 4 pontos de dano à criatura atacante ou bloqueadora alvo.</t>
  </si>
  <si>
    <t>Wandering Mind / Mente Vagante</t>
  </si>
  <si>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</si>
  <si>
    <t>Wandering Musicians</t>
  </si>
  <si>
    <t>Creature — Human Bard Ally</t>
  </si>
  <si>
    <t>Whenever this creature attacks, creatures you control get +1/+0 until end of turn.</t>
  </si>
  <si>
    <t>{3}{R/W}</t>
  </si>
  <si>
    <t>Wanderlight Spirit / Espírito da Luz Vagante</t>
  </si>
  <si>
    <t>Flying This creature can block only creatures with flying. / Voar Espírito da Luz Vagante só pode bloquear criaturas com voar.</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</si>
  <si>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</si>
  <si>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</si>
  <si>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War Chariot</t>
  </si>
  <si>
    <t>{3}, {T}: Target creature gains trample until end of turn.</t>
  </si>
  <si>
    <t>War Elephant / Elefante de Guerra</t>
  </si>
  <si>
    <t>Summon Elephant</t>
  </si>
  <si>
    <t>Banding, trample</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</si>
  <si>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</si>
  <si>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</si>
  <si>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</si>
  <si>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</si>
  <si>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War Squeak</t>
  </si>
  <si>
    <t>Enchant creature When this Aura enters, target creature an opponent controls can't block this turn. Enchanted creature gets +1/+1 and has haste.</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</si>
  <si>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</si>
  <si>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</si>
  <si>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War-Wing Siren / Sirena Asa-de-guerra</t>
  </si>
  <si>
    <t>Criatura — Sirena Soldado</t>
  </si>
  <si>
    <t>Voar Heroico — Toda vez que você conjura uma mágica cujo alvo seja Sirena Asa-de-guerra, coloque um marcador +1/+1 em Sirena Asa-de-guerra.</t>
  </si>
  <si>
    <t>Warbreak Trumpeter / Trombeteiro Irrompe-Guerra</t>
  </si>
  <si>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</si>
  <si>
    <t>Warclamp Mastiff / Mastim Torno-de-Guerra</t>
  </si>
  <si>
    <t>First strike (This creature deals combat damage before creatures without first strike.) / Iniciativa (Esta criatura causa dano de combate antes das criaturas sem iniciativa.)</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</si>
  <si>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</si>
  <si>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</si>
  <si>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</si>
  <si>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Warlord's Fury / Fúria da Senhora da Guerra</t>
  </si>
  <si>
    <t>Creatures you control gain first strike until end of turn. Draw a card. / As criaturas que você controla ganham iniciativa até o final do turno. Compre um card.</t>
  </si>
  <si>
    <t>Warp Artifact / Deformar Artefato</t>
  </si>
  <si>
    <t>Enchant artifact At the beginning of the upkeep of enchanted artifact's controller, this Aura deals 1 damage to that player.</t>
  </si>
  <si>
    <t>Warrant // Warden / Permissão // Proteção</t>
  </si>
  <si>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</si>
  <si>
    <t>{W/U}{W/U} // {3}{W}{U}</t>
  </si>
  <si>
    <t>Warrior's Charge</t>
  </si>
  <si>
    <t>All your creatures get +1/+1 until the end of the turn.</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</si>
  <si>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</si>
  <si>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</si>
  <si>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Wartime Protestors</t>
  </si>
  <si>
    <t>Haste Whenever another Ally you control enters, put a +1/+1 counter on that creature and it gains haste until end of turn.</t>
  </si>
  <si>
    <t>Wary Farmer</t>
  </si>
  <si>
    <t>At the beginning of your end step, if another creature entered the battlefield under your control this turn, surveil 1. (Look at the top card of your library. You may put it into your graveyard.)</t>
  </si>
  <si>
    <t>{1}{G/W}{G/W}</t>
  </si>
  <si>
    <t>Wary Thespian / Ator Desconfiado</t>
  </si>
  <si>
    <t>Creature — Cat Druid / Criatura — Felino Druida</t>
  </si>
  <si>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</si>
  <si>
    <t>Wash Away / Lavar</t>
  </si>
  <si>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</si>
  <si>
    <t>Wasp Lancer / Lanceiro de Vespa</t>
  </si>
  <si>
    <t>Wasteland Strangler / Estrangulador dos Ermos</t>
  </si>
  <si>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</si>
  <si>
    <t>Water Tribe Captain</t>
  </si>
  <si>
    <t>{5}: Creatures you control get +1/+1 until end of turn.</t>
  </si>
  <si>
    <t>Water Tribe Rallier</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</si>
  <si>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</si>
  <si>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Waterbending Lesson</t>
  </si>
  <si>
    <t>Draw three cards. Then discard a card unless you waterbend {2}. (While paying a waterbend cost, you can tap your artifacts and creatures to help. Each one pays for {1}.)</t>
  </si>
  <si>
    <t>Waterbending Scroll</t>
  </si>
  <si>
    <t>{6}, {T}: Draw a card. This ability costs {1} less to activate for each Island you control.</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</si>
  <si>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</si>
  <si>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</si>
  <si>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Weakness / Fraqueza</t>
  </si>
  <si>
    <t>Enchant creature Enchanted creature gets -2/-1. / Encantar criatura A criatura encantada recebe -2/-1.</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</si>
  <si>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</si>
  <si>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</si>
  <si>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Weapon Rack / Cavalete de Armas</t>
  </si>
  <si>
    <t>Weapon Rack enters the battlefield with three +1/+1 counters on it. {T}: Move a +1/+1 counter from Weapon Rack onto target creature. Activate only as a sorcery.</t>
  </si>
  <si>
    <t>Weapons Vendor / Vendedor de Armas</t>
  </si>
  <si>
    <t>Quando esta criatura entrar, compre um card. No início do combate no seu turno, se você controlar um Equipamento, você pode pagar {1}. Quando fizer isso, anexe o Equipamento alvo que você controla à criatura alvo que você controla.</t>
  </si>
  <si>
    <t>Weary Prisoner / Prisioneira Fatigada</t>
  </si>
  <si>
    <t>Defender Daybound (If a player casts no spells during their own turn, it becomes night next turn.) / Defensor Diurno (Se um jogador não conjura nenhuma mágica durante o próprio turno, torna-se noite no turno seguinte.)</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</si>
  <si>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</si>
  <si>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</si>
  <si>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West Wind Avatar</t>
  </si>
  <si>
    <t>Creature — Cat Spirit Avatar</t>
  </si>
  <si>
    <t>Trample Whenever this creature enters or attacks, you may sacrifice a token or a land. If you do, you gain 3 life. Disappear — At the beginning of your end step, if a permanent left the battlefield under your control this turn, draw a card.</t>
  </si>
  <si>
    <t>Wetland Sambar / Sâmbar do Charco</t>
  </si>
  <si>
    <t>Whalebone Glider / Planador de Ossos de Baleia</t>
  </si>
  <si>
    <t>{2}, {T}: Target creature with power 3 or less gains flying until end of turn.</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</si>
  <si>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</si>
  <si>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</si>
  <si>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Whisper of the Dross / Sussurro de Dross</t>
  </si>
  <si>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</si>
  <si>
    <t>Whisper, Blood Liturgist / Sussurro, Liturgista do Sangue</t>
  </si>
  <si>
    <t>Legendary Creature — Human Cleric / Criatura Lendária — Humano Clérigo</t>
  </si>
  <si>
    <t>{T}, Sacrifice two creatures: Return target creature card from your graveyard to the battlefield. / {T}, sacrifique duas criaturas: Devolva o card de criatura alvo de seu cemitério para o campo de batalha.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</si>
  <si>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</si>
  <si>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</si>
  <si>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</si>
  <si>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</si>
  <si>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White Auracite / Auracita Branca</t>
  </si>
  <si>
    <t>Quando este artefato entrar, exile a permanente alvo que não seja um terreno que um oponente controla até que este artefato deixe o campo de batalha. {T}: Adicione {W}.</t>
  </si>
  <si>
    <t>2{W}{W}</t>
  </si>
  <si>
    <t>White Lotus Hideout</t>
  </si>
  <si>
    <t>{T}: Add {C}. {T}: Add one mana of any color. Spend this mana only to cast a Lesson or Shrine spell. {1}, {T}: Add one mana of any color.</t>
  </si>
  <si>
    <t>White Lotus Reinforcements</t>
  </si>
  <si>
    <t>Vigilance Other Allies you control get +1/+1.</t>
  </si>
  <si>
    <t>Whitemane Lion / Leão de Juba Branca</t>
  </si>
  <si>
    <t>Flash When this creature enters, return a creature you control to its owner's hand. / Lampejo Quando Leão de Juba Branca entrar no campo de batalha, devolva uma criatura que você controla para a mão de seu dono.</t>
  </si>
  <si>
    <t>Whitewater Naiads / Náiades das Corredeiras</t>
  </si>
  <si>
    <t>Constelação — Toda vez que Náiades das Corredeiras ou outro encantamento entrar no campo de batalha sob seu controle, a criatura alvo não poderá ser bloqueada neste turno.</t>
  </si>
  <si>
    <t>Wicked Slumber / Sono Maldito</t>
  </si>
  <si>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</si>
  <si>
    <t>Wicker Witch / Bruxa de Vime</t>
  </si>
  <si>
    <t>Wickerfolk Indomitable</t>
  </si>
  <si>
    <t>Artifact Creature — Scarecrow</t>
  </si>
  <si>
    <t>You may cast this card from your graveyard by paying 2 life and sacrificing an artifact or creature in addition to paying its other costs.</t>
  </si>
  <si>
    <t>Wild Aesthir</t>
  </si>
  <si>
    <t>Criatura — Aesthir / Summon Aesthir</t>
  </si>
  <si>
    <t>Flying, first strike {W}{W}: +2/+0 until end of turn. You cannot spend more than {W}{W} in this way each turn.</t>
  </si>
  <si>
    <t>Wild Beastmaster / Mestra de Feras Selvagem</t>
  </si>
  <si>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</si>
  <si>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</si>
  <si>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</si>
  <si>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Wildvine Pummeler</t>
  </si>
  <si>
    <t>Creature — Giant Berserker</t>
  </si>
  <si>
    <t>Vivid — This spell costs {1} less to cast for each color among permanents you control. Reach, trample</t>
  </si>
  <si>
    <t>Wildwood Tracker / Rastreador do Bosque Selvagem</t>
  </si>
  <si>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</si>
  <si>
    <t>Will of the All-Hunter / Vontade do Onicaçador</t>
  </si>
  <si>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</si>
  <si>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</si>
  <si>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</si>
  <si>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</si>
  <si>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</si>
  <si>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Wind Drake / Dragonete do Vento</t>
  </si>
  <si>
    <t>Labirinto do Dragão</t>
  </si>
  <si>
    <t>Windurst, Federation Center / Windurst, Centro da Federação</t>
  </si>
  <si>
    <t>Este terreno entra virado. {T}: Adicione {G} ou {W}.</t>
  </si>
  <si>
    <t>Wingnut, Bat on the Belfry</t>
  </si>
  <si>
    <t>Legendary Creature — Bat Mutant</t>
  </si>
  <si>
    <t>Alliance — Whenever another creature you control enters, Wingnut gains your choice of flying, menace, or haste until end of turn. Whenever Wingnut attacks, each other attacking creature gets +1/+0 until end of turn.</t>
  </si>
  <si>
    <t>Wings of Aesthir / Asas de Aesthir</t>
  </si>
  <si>
    <t>Enchant creature Enchanted creature gets +1/+0 and has flying and first strike.</t>
  </si>
  <si>
    <t>Winter's Intervention</t>
  </si>
  <si>
    <t>Winter's Intervention deals 2 damage to target creature. You gain 2 life.</t>
  </si>
  <si>
    <t>Witch Hunter</t>
  </si>
  <si>
    <t>Criatura — Caçador / Summon Hunter</t>
  </si>
  <si>
    <t>{T}: Witch Hunter deals 1 damage to target player. {1}{W}{W}, {T}: Return target creature any opponent controls to owner's hand.</t>
  </si>
  <si>
    <t>Witch's Cauldron / Caldeirão da Bruxa</t>
  </si>
  <si>
    <t>{1}{B}, {T}, Sacrifice a creature: You gain 1 life and draw a card. / {1}{B}, {T}: sacrifique uma criatura: Você ganha 1 ponto de vida e compra um card.</t>
  </si>
  <si>
    <t>Witch's Familiar / Familiar da Bruxa</t>
  </si>
  <si>
    <t>Creature — Frog / Criatura — Sapo</t>
  </si>
  <si>
    <t>Witch's Web / Teia da Bruxa</t>
  </si>
  <si>
    <t>Target creature gets +3/+3 and gains reach until end of turn. Untap it. / A criatura alvo recebe +3/+3 e ganha alcance até o final do turno. Desvire-a.</t>
  </si>
  <si>
    <t>Witching Well / Poço das Bruxarias</t>
  </si>
  <si>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</si>
  <si>
    <t>Withering Wisps / Ardentias Mortíferas</t>
  </si>
  <si>
    <t>At the beginning of the end step, if no creatures are on the battlefield, sacrifice this enchantment. {B}: This enchantment deals 1 damage to each creature and each player. Activate no more times each turn than the number of snow Swamps you control.</t>
  </si>
  <si>
    <t>Witness Protection / Proteção de Testemunhas</t>
  </si>
  <si>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</si>
  <si>
    <t>Woeleecher / Suga-Desgraça</t>
  </si>
  <si>
    <t>{W}, {T}: Remove a -1/-1 counter from target creature. If you do, you gain 2 life. / {W}, {T}: Remova um marcador -1/-1 da criatura alvo. Se fizer isso, você ganhará 2 pontos de vida.</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</si>
  <si>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</si>
  <si>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</si>
  <si>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</si>
  <si>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Wolfbitten Captive / Prisioneiro Mordido</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</si>
  <si>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</si>
  <si>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</si>
  <si>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</si>
  <si>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</si>
  <si>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</si>
  <si>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Wooden Sphere / Esfera de Madeira</t>
  </si>
  <si>
    <t>Whenever a player casts a green spell, you may pay {1}. If you do, you gain 1 life. / Toda vez que um jogador jogar uma mágica verde, você pode pagar {1}. Se o fizer, você ganha 1 ponto de vida.</t>
  </si>
  <si>
    <t>Word of Binding / Palavras de Poder</t>
  </si>
  <si>
    <t>Tap X target creatures.</t>
  </si>
  <si>
    <t>Word of Blasting / Palavra de Detonação</t>
  </si>
  <si>
    <t>Destroy target Wall. It can't be regenerated. Word of Blasting deals damage equal to that Wall's mana value to the Wall's controller.</t>
  </si>
  <si>
    <t>World Map</t>
  </si>
  <si>
    <t>1, T, Sacrifice this artifact: Search your library for a basic land card, reveal it, put it into your hand, then shuffle. 3, T, Sacrifice this artifact: Search your library for a land card, reveal it, put it into your hand, then shuffle.</t>
  </si>
  <si>
    <t>Final Fantasy (FFI)</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</si>
  <si>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</si>
  <si>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</si>
  <si>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</si>
  <si>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Worthy Knight / Cavaleira Digna</t>
  </si>
  <si>
    <t>Whenever you cast a Knight spell, create a 1/1 white Human creature token. / Toda vez que você conjurar uma mágica de Cavaleiro, crie uma ficha de criatura branca 1/1 do tipo Humano.</t>
  </si>
  <si>
    <t>Wrench / Chave Ajustável</t>
  </si>
  <si>
    <t>Artifact — Clue Equipment / Artefato — Pista Equipamento</t>
  </si>
  <si>
    <t>Equipped creature gets +1/+1 and has vigilance and "{3}, {T}: Tap target creature." {2}, Sacrifice this Equipment: Draw a card. Equip {2} / A criatura equipada recebe +1/+1 e tem vigilância e "{3}, {T}: Vire a criatura alvo". {2}, sacrifique Chave Ajustável: Compre um card. Equipar {2}</t>
  </si>
  <si>
    <t>Wretched Throng / Multidão Abominável</t>
  </si>
  <si>
    <t>Creature — Zombie Horror / Criatura — Zumbi Horror</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</si>
  <si>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</si>
  <si>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Writhing Necromass / Necromassa Contorcida</t>
  </si>
  <si>
    <t>Creature — Zombie Giant / Criatura — Zumbi Gigante</t>
  </si>
  <si>
    <t>This spell costs {1} less to cast for each creature card in your graveyard. Deathtouch / Esta mágica custa {1} a menos para ser conjurada para cada card de criatura em seu cemitério. Toque mortífero</t>
  </si>
  <si>
    <t>Wumpus Aberration / Wumpus Aberração</t>
  </si>
  <si>
    <t>Creature — Eldrazi Beast / Criatura — Eldrazi Besta</t>
  </si>
  <si>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</si>
  <si>
    <t>Wurmwall Sweeper</t>
  </si>
  <si>
    <t>Artifact — Spacecraft</t>
  </si>
  <si>
    <t>When this Spacecraft enters, surveil 2. Station (Tap another creature you control: Put charge counters equal to its power on this Spacecraft. Station only as a sorcery. It's an artifact creature at 4+.) Flying</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</si>
  <si>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</si>
  <si>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</si>
  <si>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Xu-Ifit, Osteoharmonist</t>
  </si>
  <si>
    <t>Legendary Creature — Human Wizard</t>
  </si>
  <si>
    <t>{T}: Return target creature card from your graveyard to the battlefield. It's a Skeleton in addition to its other types and has no abilities. Activate only as a sorcery.</t>
  </si>
  <si>
    <t>Yahenni, Undying Partisan / Yahenni, Guerrilheiro Imortal</t>
  </si>
  <si>
    <t>Legendary Creature — Aetherborn Vampire / Criatura Lendária — Etergênito Vampiro</t>
  </si>
  <si>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</si>
  <si>
    <t>Yahenni's Expertise / Especialidade de Yahenni</t>
  </si>
  <si>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</si>
  <si>
    <t>Yargle, Glutton of Urborg / Yargle, Glutão de Urborg</t>
  </si>
  <si>
    <t>Legendary Creature — Frog Spirit / Criatura Lendária — Sapo Espírito</t>
  </si>
  <si>
    <t>Yavimaya Elder / Ancião de Yavimaya</t>
  </si>
  <si>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</si>
  <si>
    <t>Yavimaya Iconoclast / Iconoclasta de Yavimaya</t>
  </si>
  <si>
    <t>Creature — Elf / Criatura — Elfo</t>
  </si>
  <si>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</si>
  <si>
    <t>Yawgmoth's Vile Offering / Oferenda Vil de Yawgmoth</t>
  </si>
  <si>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</si>
  <si>
    <t>Yip Yip!</t>
  </si>
  <si>
    <t>Target creature you control gets +2/+2 until end of turn. If that creature is an Ally, it also gains flying until end of turn.</t>
  </si>
  <si>
    <t>Yoked Plowbeast / Besta Lavradora Bridada</t>
  </si>
  <si>
    <t>Cycling {2} ({2}, Discard this card: Draw a card.) / Reciclar {2} ({2}, Descarte este card: Compre um card.)</t>
  </si>
  <si>
    <t>Yotia Declares War / Yotia Declara Guerra</t>
  </si>
  <si>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</si>
  <si>
    <t>Yotian Soldier / Soldado Yotiano</t>
  </si>
  <si>
    <t>Vigilance / Soldado Yotiano não é virado para atacar.</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</si>
  <si>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</si>
  <si>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</si>
  <si>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</si>
  <si>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</si>
  <si>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You're Not Alone</t>
  </si>
  <si>
    <t>Target creature gets +2/+2 until end of turn. If you control three or more creatures, it gets +4/+4 until end of turn instead.</t>
  </si>
  <si>
    <t>Young Pyromancer / Piromante Jovem</t>
  </si>
  <si>
    <t>Whenever you cast an instant or sorcery spell, create a 1/1 red Elemental creature token. / Toda vez que você conjurar uma mágica instantânea ou feitiço, coloque no campo de batalha uma ficha de criatura vermelha 1/1 do tipo Elemental.</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</si>
  <si>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</si>
  <si>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</si>
  <si>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Yuyan Archers</t>
  </si>
  <si>
    <t>Creature — Human Archer</t>
  </si>
  <si>
    <t>Reach When this creature enters, you may discard a card. If you do, draw a card.</t>
  </si>
  <si>
    <t>Zack Fair / Zack Fair</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</si>
  <si>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</si>
  <si>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Zaffai and the Tempests</t>
  </si>
  <si>
    <t>Legendary Creature — Human Bard Sorcerer</t>
  </si>
  <si>
    <t>Once during each of your turns, you may cast an instant or sorcery spell from your hand without paying its mana cost.</t>
  </si>
  <si>
    <t>Zahid, Djinn of the Lamp / Zahid, Gênio da Lâmpada</t>
  </si>
  <si>
    <t>Legendary Creature — Djinn / Criatura Lendária — Gênio</t>
  </si>
  <si>
    <t>You may pay {3}{U} and tap an untapped artifact you control rather than pay this spell's mana cost. Flying / Você pode pagar {3}{U} e virar um artefato desvirado sob seu controle em vez de pagar o custo de mana desta mágica. Voar</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</si>
  <si>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</si>
  <si>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</si>
  <si>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</si>
  <si>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</si>
  <si>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</si>
  <si>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Zealous Strike / Golpe Zeloso</t>
  </si>
  <si>
    <t>Target creature gets +2/+2 and gains first strike until end of turn. / A criatura alvo recebe +2/+2 e ganha iniciativa até o final do turno.</t>
  </si>
  <si>
    <t>Zelyon Sword</t>
  </si>
  <si>
    <t>You may choose not to untap this artifact during your untap step. {3}, {T}: Target creature gets +2/+0 for as long as this artifact remains tapped.</t>
  </si>
  <si>
    <t>Zero Point Ballad / Balada do Ponto Zero</t>
  </si>
  <si>
    <t>Destrua todas as criaturas com resistência X ou menos. Você perde X pontos de vida. Se X for 6 ou mais, devolva um card de criatura colocado em um cemitério desta forma para o campo de batalha sob o seu controle.</t>
  </si>
  <si>
    <t>Zhalfirin Decoy / Chamariz Zhalfiriano</t>
  </si>
  <si>
    <t>{T}: Tap target creature. Activate only if you had a creature enter the battlefield under your control this turn. / {T}: Vire a criatura alvo. Ative esta habilidade somente se uma criatura tiver entrado no campo de batalha sob o seu controle neste turno.</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</si>
  <si>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</si>
  <si>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</si>
  <si>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Zhentarim Bandit / Bandido Zentharim</t>
  </si>
  <si>
    <t>Creature — Halfling Rogue / Criatura — Pequenino Ladino</t>
  </si>
  <si>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</si>
  <si>
    <t>Zhur-Taa Goblin / Goblin Zhur-Taa</t>
  </si>
  <si>
    <t>Riot (This creature enters with your choice of a +1/+1 counter or haste.) / Tumulto (Esta criatura entra no campo de batalha com um marcador +1/+1 ou ímpeto, à sua escolha.)</t>
  </si>
  <si>
    <t>Zibelina de Bronze / Bronze Sable</t>
  </si>
  <si>
    <t>Artifact Creature — Sable / Criatura Artefato — Zibelina</t>
  </si>
  <si>
    <t>Not found / Não encontrada</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</si>
  <si>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</si>
  <si>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</si>
  <si>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</si>
  <si>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</si>
  <si>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</si>
  <si>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</si>
  <si>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Zog, Triceraton Castaway</t>
  </si>
  <si>
    <t>Legendary Creature — Dinosaur Soldier</t>
  </si>
  <si>
    <t>Reach, trample When Zog enters, target creature can't block this turn. Mountaincycling {2} ({2}, Discard this card: Search your library for a Mountain card, reveal it, put it into your hand, then shuffle.)</t>
  </si>
  <si>
    <t>Zombie Goliath / Golias Zumbi</t>
  </si>
  <si>
    <t>Zombie Musher</t>
  </si>
  <si>
    <t>Snow Creature — Zombie</t>
  </si>
  <si>
    <t>Snow landwalk. {S}: Regenerate Zombie Musher. ({S} can be paid with one mana from a snow permanent.)</t>
  </si>
  <si>
    <t>Zoo Escapees</t>
  </si>
  <si>
    <t>Creature — Boar Rhino</t>
  </si>
  <si>
    <t>When this creature leaves the battlefield, create a Mutagen token. (It's an artifact with "{1}, {T}, Sacrifice this token: Put a +1/+1 counter on target creature. Activate only as a sorcery.")</t>
  </si>
  <si>
    <t>Zuko, Conflicted</t>
  </si>
  <si>
    <t>At the beginning of your first main phase, choose one that hasn't been chosen and you lose 2 life — • Draw a card. • Put a +1/+1 counter on Zuko. • Add {R}. • Exile Zuko, then return him to the battlefield under an opponent's control.</t>
  </si>
  <si>
    <t>Zuko, Exiled Prince</t>
  </si>
  <si>
    <t>Firebending 3 (Whenever this creature attacks, add {R}{R}{R}. This mana lasts until end of combat.) {3}: Exile the top card of your library. You may play that card this turn.</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</si>
  <si>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</si>
  <si>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</si>
  <si>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</si>
  <si>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</si>
  <si>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Nettle Swine / Suíno da Urtiga</t>
  </si>
  <si>
    <t>Creature — Boar / Criatura — Javali</t>
  </si>
  <si>
    <t>Druid of the Cowl / Druida do Capote</t>
  </si>
  <si>
    <t>Krosan Druid / Druida Krosana</t>
  </si>
  <si>
    <t>Creature — Centaur Druid / Criatura — Centauro Druida</t>
  </si>
  <si>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</si>
  <si>
    <t>Baloth Gorger / Devorador Baloth</t>
  </si>
  <si>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</si>
  <si>
    <t>Corrosive Ooze / Lodo Corrosivo</t>
  </si>
  <si>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</si>
  <si>
    <t>Axebane Beast / Fera de Danação dos Machados</t>
  </si>
  <si>
    <t>Winding Way / Caminho Tortuoso</t>
  </si>
  <si>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</si>
  <si>
    <t>Ancient Brontodon / Brontodonte Ancestral</t>
  </si>
  <si>
    <t>Pounce / Dar o Bote</t>
  </si>
  <si>
    <t>Target creature you control fights target creature you don't control. (Each deals damage equal to its power to the other.) / A criatura alvo que você controla luta com a criatura alvo que você não controla. (Cada uma causa à outra uma quantidade de dano igual ao seu poder.)</t>
  </si>
  <si>
    <t>Jungle Delver / Incursor das Selvas</t>
  </si>
  <si>
    <t>{3}{G}: Put a +1/+1 counter on this creature. / {3}{G}: Coloque um marcador +1/+1 em Incursor das Selvas.</t>
  </si>
  <si>
    <t>Ixalli's Diviner / Adivinha de Ixalli</t>
  </si>
  <si>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</si>
  <si>
    <t>Tishana's Wayfinder / Trilheira de Tishana</t>
  </si>
  <si>
    <t>Creature — Merfolk Scout / Criatura — Tritão Batedor</t>
  </si>
  <si>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</si>
  <si>
    <t>Aerial Predation / Predação Aérea</t>
  </si>
  <si>
    <t>Destroy target creature with flying. You gain 2 life. / Destrua a criatura alvo com voar. Você ganha 2 pontos de vida.</t>
  </si>
  <si>
    <t>Trollhide / Couro de Trol</t>
  </si>
  <si>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</si>
  <si>
    <t>Stonefare Crocodile / Crocodilo de Petreovila</t>
  </si>
  <si>
    <t>Creature — Crocodile / Criatura — Crocodilo</t>
  </si>
  <si>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</si>
  <si>
    <t>Predator's Rapport / Afinidade do Predador</t>
  </si>
  <si>
    <t>Choose target creature you control. You gain life equal to that creature's power plus its toughness. / Escolha uma criatura alvo que você controla. Você ganha uma quantidade de pontos de vida igual à soma do poder e da resistência daquela criatura.</t>
  </si>
  <si>
    <t>Greenside Watcher / Vigia do Verde</t>
  </si>
  <si>
    <t>{T}: Untap target Gate. / {T}: Desvire o Portão alvo.</t>
  </si>
  <si>
    <t>Spiked Baloth / Baloth Espiculado</t>
  </si>
  <si>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</si>
  <si>
    <t>Jade Bearer / Portadora do Jade</t>
  </si>
  <si>
    <t>When this creature enters, put a +1/+1 counter on another target Merfolk you control. / Quando Portadora do Jade entrar no campo de batalha, coloque um marcador +1/+1 em outro Tritão alvo que você controla.</t>
  </si>
  <si>
    <t>Hunt the Weak / Caçar os Fracos</t>
  </si>
  <si>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</si>
  <si>
    <t>Naturalize / Naturalizar</t>
  </si>
  <si>
    <t>Destroy target artifact or enchantment. / Destrua o artefato ou o encantamento alvo.</t>
  </si>
  <si>
    <t>Giltgrove Stalker / Espreitadora do Bosque D'ouro</t>
  </si>
  <si>
    <t>This creature can't be blocked by creatures with power 2 or less. / Espreitadora do Bosque D'ouro não pode ser bloqueada por criaturas com poder igual ou inferior a 2.</t>
  </si>
  <si>
    <t>Dance of the Tumbleweeds / Dança dos Arbustos Rolantes</t>
  </si>
  <si>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</si>
  <si>
    <t>Solitary Hunter / Caçador Solitário</t>
  </si>
  <si>
    <t>Creature — Human Warrior Werewolf / Criatura — Humano Guerreiro Lobisomem</t>
  </si>
  <si>
    <t>At the beginning of each upkeep, if no spells were cast last turn, transform this creature. / No início de cada manutenção, se nenhuma mágica tiver sido conjurada no último turno, transforme Caçador Solitário.</t>
  </si>
  <si>
    <t>Shredding Winds / Ventos Cortantes</t>
  </si>
  <si>
    <t>Shredding Winds deals 7 damage to target creature with flying. / Ventos Cortantes causa 7 pontos de dano à criatura alvo com voar.</t>
  </si>
  <si>
    <t>Urban Burgeoning / Crescimento Urbano</t>
  </si>
  <si>
    <t>Enchant land Enchanted land has "Untap this land during each other player's untap step." / Encantar terreno O terreno encantado tem "Desvire este terreno durante a etapa de desvirar de cada outro jogador."</t>
  </si>
  <si>
    <t>Grave Bramble / Arbusto Tumular</t>
  </si>
  <si>
    <t>Defender, protection from Zombies / Defensor, proteção contra Zumbis</t>
  </si>
  <si>
    <t>Hollowhenge Beast / Fera de Vale Seco</t>
  </si>
  <si>
    <t>Orchard Spirit / Espírito do Pomar</t>
  </si>
  <si>
    <t>This creature can't be blocked except by creatures with flying or reach. / Espírito do Pomar só pode ser bloqueado por criaturas com voar ou alcance.</t>
  </si>
  <si>
    <t>Giant Spider / Aranha Gigante</t>
  </si>
  <si>
    <t>Rootwalla / Rizowalla</t>
  </si>
  <si>
    <t>{1}{G}: This creature gets +2/+2 until end of turn. Activate only once each turn. / {1}{G}: Rizowalla recebe +2/+2 até o final do turno. Ative esta habilidade apenas uma vez a cada turno.</t>
  </si>
  <si>
    <t>Rumbling Baloth / Baloth Retumbante</t>
  </si>
  <si>
    <t>Woodland Sleuth / Detetive da Floresta</t>
  </si>
  <si>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</si>
  <si>
    <t>Somberwald Dryad / Dríade de Somberwald</t>
  </si>
  <si>
    <t>Forestwalk (This creature can't be blocked as long as defending player controls a Forest.) / Travessia de floresta (Esta criatura não poderá ser bloqueada enquanto o jogador defensor controlar uma Floresta.)</t>
  </si>
  <si>
    <t>Foothill Guide</t>
  </si>
  <si>
    <t>Criatura — Clérigo / Creature — Cleric</t>
  </si>
  <si>
    <t>Protection from Goblins. Morph {W} (You may play this face down as a 2/2 creature for {3}. Turn it face up any time for its morph cost.)</t>
  </si>
  <si>
    <t>Daru Cavalier / Cavalariano de Daru</t>
  </si>
  <si>
    <t>Creature — Human Soldier / Criatura — Soldado</t>
  </si>
  <si>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</si>
  <si>
    <t>Midlife Upgrade</t>
  </si>
  <si>
    <t>As an additional cost to cast this spell, sacrifice X Contraptions. Assemble X plus one Contraptions. (To assemble a Contraption, put the top card of your Contraption deck face up onto one of your sprockets.)</t>
  </si>
  <si>
    <t>Unstable (UST)</t>
  </si>
  <si>
    <t>Knight of the Kitchen Sink</t>
  </si>
  <si>
    <t>Artifact Creature — Cyborg Knight</t>
  </si>
  <si>
    <t>First strike, protection from black borders (Nothing with a black border can block, target, deal damage to, or attach to this creature.)</t>
  </si>
  <si>
    <t>Filigree Familiar / Familiar de Filigrana</t>
  </si>
  <si>
    <t>Artifact Creature — Fox / Criatura Artefato — Raposa</t>
  </si>
  <si>
    <t>When this creature enters, you gain 2 life. When this creature dies, draw a card. / Quando Familiar de Filigrana entra no campo de batalha, você ganha 2 pontos de vida. Quando Familiar de Filigrana morrer, compre um card.</t>
  </si>
  <si>
    <t>Harvest Hand / Mão da Colheita</t>
  </si>
  <si>
    <t>When this creature dies, return it to the battlefield transformed under your control. / Quando Mão da Colheita morrer, devolva-a ao campo de batalha transformada sob o seu controle.</t>
  </si>
  <si>
    <t>Thirsting Axe / Machado Sedento</t>
  </si>
  <si>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</si>
  <si>
    <t>Cryptolith Fragment / Fragmento de Criptólito</t>
  </si>
  <si>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</si>
  <si>
    <t>Drownyard Behemoth / Behemoth da Costa Náufraga</t>
  </si>
  <si>
    <t>Creature — Eldrazi Crab / Criatura — Eldrazi Caranguejo</t>
  </si>
  <si>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</si>
  <si>
    <t>Lashweed Lurker / Espreitador Erva-de-açoite</t>
  </si>
  <si>
    <t>Creature — Eldrazi Horror / Criatura — Eldrazi Horror</t>
  </si>
  <si>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</si>
  <si>
    <t>Vexing Scuttler / Naufragador Irritante</t>
  </si>
  <si>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</si>
  <si>
    <t>Runaway Carriage / Carruagem em Fuga</t>
  </si>
  <si>
    <t>Trample When this creature attacks or blocks, sacrifice it at end of combat. / Atropelar Quando Carruagem em Fuga atacar ou bloquear, sacrifique-a no final do combate.</t>
  </si>
  <si>
    <t>Slayer's Cleaver / Cutelo do Matador</t>
  </si>
  <si>
    <t>Equipped creature gets +3/+1 and must be blocked by an Eldrazi if able. Equip {4} / A criatura equipada recebe +3/+1 e precisa ser bloqueada por um Eldrazi se estiver apta. Equipar {4}</t>
  </si>
  <si>
    <t>Geist-Fueled Scarecrow / Espantalho Movido a Geist</t>
  </si>
  <si>
    <t>Creature spells you cast cost {1} more to cast. / As mágicas de criatura que você conjura custam {1} a mais para serem conjuradas.</t>
  </si>
  <si>
    <t>Cogwork Assembler / Montador de Engrenagem</t>
  </si>
  <si>
    <t>{7}: Create a token that's a copy of target artifact. That token gains haste. Exile it at the beginning of the next end step. / {7}: Crie uma ficha que seja uma cópia do artefato alvo. Aquela ficha ganha ímpeto. Exile-a no início da próxima etapa final.</t>
  </si>
  <si>
    <t>Spatial Contortion / Contorção Espacial</t>
  </si>
  <si>
    <t>({C} represents colorless mana.) Target creature gets +3/-3 until end of turn. / ({C} representa mana incolor.) A criatura alvo recebe +3/-3 até o final do turno.</t>
  </si>
  <si>
    <t>{1}{C}</t>
  </si>
  <si>
    <t>Selesnya Cluestone / Pedra dos Indícios Selesnya</t>
  </si>
  <si>
    <t>{T}: Add {G} or {W}. {G}{W}, {T}, Sacrifice this artifact: Draw a card. / {T}: Adicione {G} or {W}. {G}{W}, {T}, Sacrifique Pedra dos Indícios Selesnya: Compre um card.</t>
  </si>
  <si>
    <t>Curious Homunculus / Homúnculo Curioso</t>
  </si>
  <si>
    <t>Creature — Homunculus / Criatura — Homúnculo</t>
  </si>
  <si>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</si>
  <si>
    <t>Murderer's Axe / Machado do Assassino</t>
  </si>
  <si>
    <t>Equipped creature gets +2/+2. Equip—Discard a card. / A criatura equipada recebe +2/+2. Equipar — Descarte um card.</t>
  </si>
  <si>
    <t>Magnifying Glass / Lente de Aumento</t>
  </si>
  <si>
    <t>{T}: Add {C}. {4}, {T}: Investigate. (Create a Clue token. It's an artifact with "{2}, Sacrifice this token: Draw a card.") / {T}: Adicione {C} à sua reserva de mana. {4}, {T}: Investigue. (Coloque no campo de batalha uma ficha de artefato incolor do tipo Pista com "{2}, Sacrifique este artefato: Compre um card.")</t>
  </si>
  <si>
    <t>Epitaph Golem / Golem do Epitáfio</t>
  </si>
  <si>
    <t>{2}: Put target card from your graveyard on the bottom of your library. / {2}: Coloque o card alvo de seu cemitério no fundo de seu grimório.</t>
  </si>
  <si>
    <t>Wild-Field Scarecrow / Espantalho do Campo Selvagem</t>
  </si>
  <si>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</si>
  <si>
    <t>Crackdown Construct / Constructo Repressor</t>
  </si>
  <si>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</si>
  <si>
    <t>Decoction Module / Módulo de Decocção</t>
  </si>
  <si>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</si>
  <si>
    <t>Demolition Stomper / Pisoteador de Demolição</t>
  </si>
  <si>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</si>
  <si>
    <t>Ballista Charger / Balista de Ataque</t>
  </si>
  <si>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</si>
  <si>
    <t>Strider Harness / Arreio de Andarilho</t>
  </si>
  <si>
    <t>Equipped creature gets +1/+1 and has haste. Equip {1} ({1}: Attach to target creature you control. Equip only as a sorcery.) / A criatura equipada recebe +1/+1 e tem ímpeto. Equipar {1} ({1}: Anexe este equipamento à criatura alvo que você controla. Equipe somente como um feitiço.)</t>
  </si>
  <si>
    <t>Sphinx of the Guildpact / Esfinge do Pacto das Guildas</t>
  </si>
  <si>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</si>
  <si>
    <t>Wreck Remover</t>
  </si>
  <si>
    <t>Whenever this creature enters or attacks, exile up to one target card from a graveyard. You gain 1 life. Cycling {2} ({2}, Discard this card: Draw a card.)</t>
  </si>
  <si>
    <t>Bosh, Iron Golem / Bosh, Golem de Ferro</t>
  </si>
  <si>
    <t>Legendary Artifact Creature — Golem / Criatura Artefato Lendária — Golem</t>
  </si>
  <si>
    <t>Trample {3}{R}, Sacrifice an artifact: Bosh deals damage equal to the sacrificed artifact's mana value to any target. / Atropelar {3}{R}, sacrifique um artefato: Bosh, Golem de Ferro, causa a qualquer alvo dano igual ao valor de mana do artefato sacrificado.</t>
  </si>
  <si>
    <t>Commander Anthology Volume II (CM2)</t>
  </si>
  <si>
    <t>Untethered Express / Expresso Desengatado</t>
  </si>
  <si>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</si>
  <si>
    <t>Servo Schematic / Diagrama de Servus</t>
  </si>
  <si>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</si>
  <si>
    <t>Pacification Array / Matriz de Pacificação</t>
  </si>
  <si>
    <t>{2}, {T}: Tap target artifact or creature. / {2}, {T}: Vire o artefato ou a criatura alvo.</t>
  </si>
  <si>
    <t>Mirror Golem / Golem Espelhado</t>
  </si>
  <si>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</si>
  <si>
    <t>Fabrication Module / Módulo de Fabricação</t>
  </si>
  <si>
    <t>Whenever you get one or more {E} (energy counters), put a +1/+1 counter on target creature you control. {4}, {T}: You get {E}. / Toda vez que você receber um ou mais {E} (marcadores de energia), coloque um marcador +1/+1 na criatura alvo que você controla. {4}, {T}: Você recebe {E}.</t>
  </si>
  <si>
    <t>Timber Gorge / Desfiladeiro da Mata</t>
  </si>
  <si>
    <t>This land enters tapped. {T}: Add {R} or {G}. / Desfiladeiro da Mata entra no campo de batalha virado. {T}: Adicione {R} ou {G} à sua reserva de mana.</t>
  </si>
  <si>
    <t>Steward of Valeron / Intendente de Valeron</t>
  </si>
  <si>
    <t>Creature — Human Druid Knight / Criatura — Humano Druida Cavaleiro</t>
  </si>
  <si>
    <t>Vigilance {T}: Add {G}. / Vigilância {T}: Adicione {G} à sua reserva de mana.</t>
  </si>
  <si>
    <t>Clan Guildmage / Maga de Guilda do Clã</t>
  </si>
  <si>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</si>
  <si>
    <t>Swarm Guildmage / Mago da Guilda do Enxame</t>
  </si>
  <si>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</si>
  <si>
    <t>Esper Cormorants / Cormorões de Esper</t>
  </si>
  <si>
    <t>Vectis Agents / Agentes de Vectis</t>
  </si>
  <si>
    <t>Artifact Creature — Human Rogue / Criatura Artefato — Humano Ladino</t>
  </si>
  <si>
    <t>{U}{B}: This creature gets -2/-0 until end of turn and can't be blocked this turn. / {U}{B}: Agentes de Vectis recebe -2/-0 até o final do turno e não pode ser bloqueado neste turno.</t>
  </si>
  <si>
    <t>Joraga Auxiliary / Auxiliar Joraga</t>
  </si>
  <si>
    <t>Creature — Elf Soldier Ally / Criatura — Elfo Soldado Aliado</t>
  </si>
  <si>
    <t>{4}{G}{W}: Support 2. (Put a +1/+1 counter on each of up to two other target creatures.) / {4}{G}{W}: Suporte 2. (Coloque um marcador +1/+1 em cada uma de até duas outras criaturas alvo.)</t>
  </si>
  <si>
    <t>Azorius Skyguard / Guardião Alado Azorius</t>
  </si>
  <si>
    <t>Flying, first strike Creatures your opponents control get -1/-0. / Voar, iniciativa As criaturas que seus oponentes controlam recebem -1/-0.</t>
  </si>
  <si>
    <t>Aerial Engineer / Engenheira Aérea</t>
  </si>
  <si>
    <t>As long as you control an artifact, this creature gets +2/+0 and has flying. / Enquanto você controlar um artefato, Engenheira Aérea receberá +2/+0 e terá voar.</t>
  </si>
  <si>
    <t>Poison-Tip Archer / Arqueiro da Ponta Envenenada</t>
  </si>
  <si>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</si>
  <si>
    <t>Worldsoul Colossus / Colosso da Anima Mundi</t>
  </si>
  <si>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</si>
  <si>
    <t>{X}{G}{W}</t>
  </si>
  <si>
    <t>Ledev Champion / Campeão Ledev</t>
  </si>
  <si>
    <t>Creature — Elf Knight / Criatura — Elfo Cavaleiro</t>
  </si>
  <si>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</si>
  <si>
    <t>Swathcutter Giant / Gigante Abre-claros</t>
  </si>
  <si>
    <t>Vigilance Whenever this creature attacks, it deals 1 damage to each creature defending player controls. / Vigilância Toda vez que Gigante Abre-claros ataca, ele causa 1 ponto de dano a cada criatura que o jogador defensor controla.</t>
  </si>
  <si>
    <t>{4}{R}{W}</t>
  </si>
  <si>
    <t>Nightveil Predator / Predador do Véu da Noite</t>
  </si>
  <si>
    <t>Flying, deathtouch Hexproof (This creature can't be the target of spells or abilities your opponents control.) / Voar, toque mortífero Resistência a magia (Esta criatura não pode ser alvo de mágicas ou habilidades controladas por seus oponentes.)</t>
  </si>
  <si>
    <t>{U}{U}{B}{B}</t>
  </si>
  <si>
    <t>Macabre Mockery / Escárnio Macabro</t>
  </si>
  <si>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</si>
  <si>
    <t>{2}{B}{R}</t>
  </si>
  <si>
    <t>Knight of the Last Breath / Cavaleiro do Último Suspiro</t>
  </si>
  <si>
    <t>Creature — Giant Knight / Criatura — Gigante Cavaleiro</t>
  </si>
  <si>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</si>
  <si>
    <t>{5}{W}{B}</t>
  </si>
  <si>
    <t>Biotech Specialist</t>
  </si>
  <si>
    <t>Creature — Insect Scientist</t>
  </si>
  <si>
    <t>When this creature enters, create a Lander token. (It's an artifact with "{2}, {T}, Sacrifice this token: Search your library for a basic land card, put it onto the battlefield tapped, then shuffle.") Whenever you sacrifice an artifact, this creature deals 2 damage to target opponent.</t>
  </si>
  <si>
    <t>Ojutai's Command / Comando de Ojutai</t>
  </si>
  <si>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</si>
  <si>
    <t>Zurgo, Thunder's Decree</t>
  </si>
  <si>
    <t>Legendary Creature — Orc Warrior</t>
  </si>
  <si>
    <t>Mobilize 2 (Whenever this creature attacks, create two tapped and attacking 1/1 red Warrior creature tokens. Sacrifice them at the beginning of the next end step.) During your end step, Warrior tokens you control have "This token can't be sacrificed."</t>
  </si>
  <si>
    <t>{R}{W}{B}</t>
  </si>
  <si>
    <t>Tarkir: Dragonstorm Promos (PTDM)</t>
  </si>
  <si>
    <t>Gyruda, Doom of Depths / Gyruda, Ruína das Profundezas</t>
  </si>
  <si>
    <t>Legendary Creature — Demon Kraken / Criatura Lendária — Demônio Kraken</t>
  </si>
  <si>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</si>
  <si>
    <t>Trap Essence / Prender Essência</t>
  </si>
  <si>
    <t>Counter target creature spell. Put two +1/+1 counters on up to one target creature. / Anule a mágica de criatura alvo. Coloque dois marcadores +1/+1 em até uma criatura alvo.</t>
  </si>
  <si>
    <t>Baird, Argivian Recruiter / Baird, Recrutador Argiviano</t>
  </si>
  <si>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</si>
  <si>
    <t>Shattered Seraph / Serafim Despedaçada</t>
  </si>
  <si>
    <t>Creature — Angel Rogue / Criatura — Anjo Ladino</t>
  </si>
  <si>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</si>
  <si>
    <t>{4}{W}{U}{B}</t>
  </si>
  <si>
    <t>Preto, Azul, Branco</t>
  </si>
  <si>
    <t>Dog Walker / Acompanhante de Cães</t>
  </si>
  <si>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</si>
  <si>
    <t>Get the Point / Performance de Ponta</t>
  </si>
  <si>
    <t>Destroy target creature. Scry 1. / Destrua a criatura alvo. Vidência 1.</t>
  </si>
  <si>
    <t>Grasping Thrull / Thrull Agarrador</t>
  </si>
  <si>
    <t>Creature — Thrull / Criatura — Thrull</t>
  </si>
  <si>
    <t>Flying When this creature enters, it deals 2 damage to each opponent and you gain 2 life. / Voar Quando Thrull Agarrador entra no campo de batalha, ele causa 2 pontos de dano a cada oponente e você ganha 2 pontos de vida.</t>
  </si>
  <si>
    <t>Herald of Kozilek / Arauto de Kozilek</t>
  </si>
  <si>
    <t>Devoid (This card has no color.) Colorless spells you cast cost {1} less to cast. / Desprovido (Este card não tem cor.)As mágicas incolores que você conjura custam {1} a menos para serem conjuradas.</t>
  </si>
  <si>
    <t>Whirler Virtuoso / Virtuose dos Turbilinos</t>
  </si>
  <si>
    <t>Creature — Vedalken Artificer / Criatura — Vedalkeano Artesão</t>
  </si>
  <si>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</si>
  <si>
    <t>Rhizome Lurcher / Vascolejador do Rizoma</t>
  </si>
  <si>
    <t>Creature — Fungus Zombie / Criatura — Fungo Zumbi</t>
  </si>
  <si>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</si>
  <si>
    <t>Sonic Assault / Assalto Sônico</t>
  </si>
  <si>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</si>
  <si>
    <t>Fresh-Faced Recruit / Recruta Novato</t>
  </si>
  <si>
    <t>During your turn, this creature has first strike. / Enquanto for o seu turno, Recruta Novato terá iniciativa.</t>
  </si>
  <si>
    <t>Moss-Pit Skeleton / Esqueleto do Poço de Musgo</t>
  </si>
  <si>
    <t>Creature — Plant Skeleton / Criatura — Planta Esqueleto</t>
  </si>
  <si>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</si>
  <si>
    <t>Shipwreck Singer / Sirena do Naufrágio</t>
  </si>
  <si>
    <t>Creature — Siren / Criatura — Sirena</t>
  </si>
  <si>
    <t>Flying {1}{U}: Target creature an opponent controls attacks this turn if able. {1}{B}, {T}: Attacking creatures get -1/-1 until end of turn. / Voar {1}{U}: A criatura alvo que um oponente controla ataca neste turno se estiver apta. {1}{B}, {T}: As criaturas atacantes recebem -1/-1 até o final do turno.</t>
  </si>
  <si>
    <t>Conspiracy: Take the Crown (CN2)</t>
  </si>
  <si>
    <t>Llanowar Empath / Telepata de Llanowar</t>
  </si>
  <si>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</si>
  <si>
    <t>Thriving Rhino / Rinoceronte Vigoroso</t>
  </si>
  <si>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</si>
  <si>
    <t>Slither Blade / Lâmina Sinuosa</t>
  </si>
  <si>
    <t>Creature — Snake Rogue / Criatura — Naga Ladino</t>
  </si>
  <si>
    <t>This creature can't be blocked. / Lâmina Sinuosa não pode ser bloqueado.</t>
  </si>
  <si>
    <t>Tangle Mantis / Mantídeo do Emaranhado</t>
  </si>
  <si>
    <t>Elvish Visionary / Visionário Élfico</t>
  </si>
  <si>
    <t>When this creature enters, draw a card. / Quando Visionário Élfico entrar no campo de batalha, compre um card.</t>
  </si>
  <si>
    <t>Plated Crusher / Esmagador Blindado</t>
  </si>
  <si>
    <t>Trample Hexproof (This creature can't be the target of spells or abilities your opponents control.) / Atropelar, resistência a magia</t>
  </si>
  <si>
    <t>{4}{G}{G}{G}</t>
  </si>
  <si>
    <t>Void Attendant / Assistente do Vazio</t>
  </si>
  <si>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</si>
  <si>
    <t>Undercity Troll / Trol do Submundo</t>
  </si>
  <si>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</si>
  <si>
    <t>Heir of the Wilds / Herdeiro do Mundo Selvagem</t>
  </si>
  <si>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</si>
  <si>
    <t>Brood Monitor / Monitorador da Prole</t>
  </si>
  <si>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</si>
  <si>
    <t>Durkwood Baloth / Baloth de Durkwood</t>
  </si>
  <si>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</si>
  <si>
    <t>Overgrown Armasaur / Armassauro Superdesenvolvido</t>
  </si>
  <si>
    <t>Enrage — Whenever this creature is dealt damage, create a 1/1 green Saproling creature token. / Enfurecer — Toda vez que Armassauro Superdesenvolvido sofrer dano, crie uma ficha de criatura verde 1/1 do tipo Saprófita.</t>
  </si>
  <si>
    <t>Centaur Courser / Centaura-Caçadora</t>
  </si>
  <si>
    <t>Vastwood Gorger / Devorador de Matavasta</t>
  </si>
  <si>
    <t>Bitterbow Sharpshooters / Atiradores do Arcoamargo</t>
  </si>
  <si>
    <t>Creature — Jackal Archer / Criatura — Chacal Arqueiro</t>
  </si>
  <si>
    <t>Vigilance, reach / Vigilância, alcance</t>
  </si>
  <si>
    <t>Oasis Ritualist / Ritualista do Oásis</t>
  </si>
  <si>
    <t>Creature — Snake Druid / Criatura — Naga Druida</t>
  </si>
  <si>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</si>
  <si>
    <t>Nexus Wardens / Guardiões do Nexo</t>
  </si>
  <si>
    <t>Creature — Satyr Archer / Criatura — Sátiro Arqueiro</t>
  </si>
  <si>
    <t>Reach Constellation — Whenever an enchantment you control enters, you gain 2 life. / Alcance Constelação — Toda vez que um encantamento entra no campo de batalha sob seu controle, você ganha 2 pontos de vida.</t>
  </si>
  <si>
    <t>Voracious Typhon / Tifão Voraz</t>
  </si>
  <si>
    <t>Creature — Snake Beast / Criatura — Cobra Besta</t>
  </si>
  <si>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</si>
  <si>
    <t>Setessan Skirmisher / Escaramuçadora Setessana</t>
  </si>
  <si>
    <t>Constellation — Whenever an enchantment you control enters, this creature gets +1/+1 until end of turn. / Constelação — Toda vez que um encantamento entra no campo de batalha sob seu controle, Escaramuçadora Setessana recebe +1/+1 até o final do turno.</t>
  </si>
  <si>
    <t>Pharika's Disciple / Discípula de Fárica</t>
  </si>
  <si>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</si>
  <si>
    <t>Jaddi Offshoot / Ramificação de Jaddi</t>
  </si>
  <si>
    <t>Defender Landfall — Whenever a land you control enters, you gain 1 life. / DefensorAterragem — Toda vez que um terreno entra no campo de batalha sob seu controle, você ganha 1 ponto de vida.</t>
  </si>
  <si>
    <t>Bitterblade Warrior / Guerreiro Laminamarga</t>
  </si>
  <si>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</si>
  <si>
    <t>Caustic Caterpillar / Lagarta Cáustica</t>
  </si>
  <si>
    <t>{1}{G}, Sacrifice this creature: Destroy target artifact or enchantment. / {1}{G}, Sacrifique Lagarta Cáustica: Destrua o artefato ou encantamento alvo.</t>
  </si>
  <si>
    <t>Rhox Maulers / Esmagadores Rhox</t>
  </si>
  <si>
    <t>Creature — Rhino Soldier / Criatura — Rinoceronte Soldado</t>
  </si>
  <si>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</si>
  <si>
    <t>Lifecraft Cavalry / Cavalaria Vivideira</t>
  </si>
  <si>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</si>
  <si>
    <t>Yeva's Forcemage / Mago da Força de Yeva</t>
  </si>
  <si>
    <t>When this creature enters, target creature gets +2/+2 until end of turn. / Quando Mago da Força de Yeva entra no campo de batalha, a criatura alvo recebe +2/+2 até o final do turno.</t>
  </si>
  <si>
    <t>Silkweaver Elite / Elite Teceseda</t>
  </si>
  <si>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</si>
  <si>
    <t>Timberpack Wolf / Lobo da Alcateia do Arvoredo</t>
  </si>
  <si>
    <t>This creature gets +1/+1 for each other creature you control named Timberpack Wolf. / Lobo da Alcateia do Arvoredo recebe +1/+1 para cada outra criatura com o nome Lobo da Alcateia do Arvoredo que você controle.</t>
  </si>
  <si>
    <t>Territorial Witchstalker / Farejador de Bruxa Territorial</t>
  </si>
  <si>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</si>
  <si>
    <t>Toadstool Admirer / Admirador dos Cogumelos</t>
  </si>
  <si>
    <t>Creature — Ouphe / Criatura — Trasgo</t>
  </si>
  <si>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</si>
  <si>
    <t>Moss Viper / Víbora do Musgo</t>
  </si>
  <si>
    <t>Primal Huntbeast / Fera de Caça Primal</t>
  </si>
  <si>
    <t>Hexproof (This creature can't be the target of spells or abilities your opponents control.) / Resistência à magia (Esta criatura não pode ser alvo de mágicas nem de habilidades que seus oponentes controlam.)</t>
  </si>
  <si>
    <t>Rot Shambler / Trôpego Putrefato</t>
  </si>
  <si>
    <t>Whenever another creature you control dies, put a +1/+1 counter on this creature. / Toda vez que outra criatura que você controla morrer, coloque um marcador +1/+1 em Trôpego Putrefato.</t>
  </si>
  <si>
    <t>Skola Grovedancer / Dançarina do Bosque de Skola</t>
  </si>
  <si>
    <t>Enchantment Creature — Satyr Druid / Criatura Encantamento — Sátiro Druida</t>
  </si>
  <si>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</si>
  <si>
    <t>Aether Herder / Pastor do Éter</t>
  </si>
  <si>
    <t>Creature — Elf Artificer Druid / Criatura — Elfo Artesão Druida</t>
  </si>
  <si>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</si>
  <si>
    <t>Peema Outrider / Vanguardeiro de Peema</t>
  </si>
  <si>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</si>
  <si>
    <t>Hooded Brawler / Rufião de Capelo</t>
  </si>
  <si>
    <t>Creature — Snake Warrior / Criatura — Naga Guerreiro</t>
  </si>
  <si>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</si>
  <si>
    <t>Aetherstream Leopard / Leopardo-das-correntes-de-éter</t>
  </si>
  <si>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</si>
  <si>
    <t>Initiate's Companion / Companheiro do Iniciado</t>
  </si>
  <si>
    <t>Whenever this creature deals combat damage to a player, untap target creature or land. / Toda vez que Companheiro do Iniciado causar dano de combate a um jogador, desvire a criatura ou o terreno alvo.</t>
  </si>
  <si>
    <t>Deadly Recluse / Recluso Mortal</t>
  </si>
  <si>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</si>
  <si>
    <t>Riparian Tiger / Tigre Ripariano</t>
  </si>
  <si>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</si>
  <si>
    <t>Cowl Prowler / Rastejador do Capote</t>
  </si>
  <si>
    <t>Archers' Parapet / Parapeito dos Arqueiros</t>
  </si>
  <si>
    <t>Defender {1}{B}, {T}: Each opponent loses 1 life. / Defensor {1}{B}, {T}: Cada oponente perde 1 ponto de vida.</t>
  </si>
  <si>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</si>
  <si>
    <t>Ornery Kudu / Kudu Turrão</t>
  </si>
  <si>
    <t>When this creature enters, put a -1/-1 counter on target creature you control. / Quando Kudu Turrão entrar no campo de batalha, coloque um marcador -1/-1 na criatura alvo que você controla.</t>
  </si>
  <si>
    <t>Nylea's Forerunner / Pioneiro de Nileia</t>
  </si>
  <si>
    <t>Enchantment Creature — Beast / Criatura Encantamento — Besta</t>
  </si>
  <si>
    <t>Trample Other creatures you control have trample. / Atropelar As outras criaturas que você controla têm atropelar.</t>
  </si>
  <si>
    <t>Sage of Shaila's Claim / Sábio da Reivindicação de Shaila</t>
  </si>
  <si>
    <t>When this creature enters, you get {E}{E}{E} (three energy counters). / Quando Sábio da Reivindicação de Shaila entra no campo de batalha, você recebe {E}{E}{E} (três marcadores de energia).</t>
  </si>
  <si>
    <t>Quarry Hauler / Carregador da Pedreira</t>
  </si>
  <si>
    <t>Creature — Camel / Criatura — Camelo</t>
  </si>
  <si>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</si>
  <si>
    <t>Highspire Artisan / Artesão dos Espigões</t>
  </si>
  <si>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</si>
  <si>
    <t>Greater Sandwurm / Grão-vorme-da-areia</t>
  </si>
  <si>
    <t>This creature can't be blocked by creatures with power 2 or less. Cycling {2} ({2}, Discard this card: Draw a card.) / Grão-vorme-da-areia não pode ser bloqueado por criaturas com poder igual ou inferior a 2. Reciclar {2} ({2}, descarte este card: Compre um card.)</t>
  </si>
  <si>
    <t>Stinging Shot / Tiro Pungente</t>
  </si>
  <si>
    <t>Put three -1/-1 counters on target creature with flying. Cycling {2} ({2}, Discard this card: Draw a card.) / Coloque três marcadores -1/-1 na criatura alvo com voar. Reciclar {2} ({2}, Descarte este card: Compre um card.)</t>
  </si>
  <si>
    <t>Infuse with the Elements / Infundir com os Elementos</t>
  </si>
  <si>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</si>
  <si>
    <t>Titanic Growth / Crescimento Titânico</t>
  </si>
  <si>
    <t>Target creature gets +4/+4 until end of turn. / A criatura alvo recebe +4/+4 até o final do turno.</t>
  </si>
  <si>
    <t>Reclaim / Restituir</t>
  </si>
  <si>
    <t>Put target card from your graveyard on top of your library. / Coloque o card alvo de seu cemitério no topo de seu grimório.</t>
  </si>
  <si>
    <t>Aerial Volley / Salva Aérea</t>
  </si>
  <si>
    <t>Aerial Volley deals 3 damage divided as you choose among one, two, or three target creatures with flying. / Salva Aérea causa 3 pontos de dano distribuídos à sua escolha entre uma, duas ou três criaturas alvo com voar.</t>
  </si>
  <si>
    <t>Vine Snare / Armadilha de Vinhas</t>
  </si>
  <si>
    <t>Prevent all combat damage that would be dealt this turn by creatures with power 4 or less. / Previna todo o dano de combate que seria causado neste turno por criaturas com poder igual ou inferior a 4.</t>
  </si>
  <si>
    <t>Inspire Awe / Inspirar Temor</t>
  </si>
  <si>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</si>
  <si>
    <t>Appetite for the Unnatural / Apetite pelo Antinatural</t>
  </si>
  <si>
    <t>Destroy target artifact or enchantment. You gain 2 life. / Destrua o artefato ou encantamento alvo. Você ganha 2 pontos de vida.</t>
  </si>
  <si>
    <t>Rhonas's Stalwart / Destemida de Rhonas</t>
  </si>
  <si>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</si>
  <si>
    <t>Highspire Infusion / Infusão dos Espigões</t>
  </si>
  <si>
    <t>Target creature gets +3/+3 until end of turn. You get {E}{E} (two energy counters). / A criatura alvo recebe +3/+3 até o final do turno. Você recebe {E}{E} (dois marcadores de energia).</t>
  </si>
  <si>
    <t>Might of the Masses / Força das Massas</t>
  </si>
  <si>
    <t>Target creature gets +1/+1 until end of turn for each creature you control. / A criatura alvo recebe +1/+1 até o final do turno para cada criatura que você controla.</t>
  </si>
  <si>
    <t>Blinding Fog / Neblina Cegante</t>
  </si>
  <si>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</si>
  <si>
    <t>Commencement of Festivities / Início das Festividades</t>
  </si>
  <si>
    <t>Prevent all combat damage that would be dealt to players this turn. / Previna todo o dano de combate que seria causado a jogadores neste turno.</t>
  </si>
  <si>
    <t>Awaken the Bear / Despertar o Urso</t>
  </si>
  <si>
    <t>Target creature gets +3/+3 and gains trample until end of turn. / A criatura alvo recebe +3/+3 e ganha atropelar até o final do turno.</t>
  </si>
  <si>
    <t>Serpent's Gift / Dádiva da Serpente</t>
  </si>
  <si>
    <t>Target creature gains deathtouch until end of turn. (Any amount of damage it deals to a creature is enough to destroy it.) / A criatura alvo ganha toque mortífero até o final do turno. (Qualquer quantidade de dano que ela cause a uma criatura é suficiente para destruí-la.)</t>
  </si>
  <si>
    <t>Ambuscade / Cilada</t>
  </si>
  <si>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</si>
  <si>
    <t>Beneath the Sands / Sob as Areias</t>
  </si>
  <si>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</si>
  <si>
    <t>Benefaction of Rhonas / Beneficência de Rhonas</t>
  </si>
  <si>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</si>
  <si>
    <t>Nissa's Pilgrimage / Peregrinação de Nissa</t>
  </si>
  <si>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</si>
  <si>
    <t>Hour of Promise / Hora da Promessa</t>
  </si>
  <si>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</si>
  <si>
    <t>Curse of the Werefox / Maldição da Mulher-raposa</t>
  </si>
  <si>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</si>
  <si>
    <t>Attune with Aether / Harmonizar-se com o Éter</t>
  </si>
  <si>
    <t>Search your library for a basic land card, reveal it, put it into your hand, then shuffle. You get {E}{E} (two energy counters). / Procure um card de terreno básico em seu grimório, revele-o, coloque-o em sua mão e, depois, embaralhe seu grimório. Você recebe {E}{E} (dois marcadores de energia).</t>
  </si>
  <si>
    <t>Search your library for a land card, reveal it, put it into your hand, then shuffle. / Procure um card de terreno em seu grimório, revele-o e coloque-o em sua mão. Depois, embaralhe seu grimório.</t>
  </si>
  <si>
    <t>Cartouche of Strength / Cártula da Força</t>
  </si>
  <si>
    <t>Enchantment — Aura Cartouche / Encantamento — Aura Cártula</t>
  </si>
  <si>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</si>
  <si>
    <t>Setessan Training / Treinamento Setessano</t>
  </si>
  <si>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</si>
  <si>
    <t>Mantle of Webs / Manto de Teias</t>
  </si>
  <si>
    <t>Enchant creature Enchanted creature gets +1/+3 and has reach. (It can block creatures with flying.) / Encantar criaturaA criatura encantada recebe +1/+3 e tem alcance. (Ela pode bloquear criaturas com voar.)</t>
  </si>
  <si>
    <t>Crystal Carapace / Carapaça de Cristal</t>
  </si>
  <si>
    <t>Enchant creature Enchanted creature gets +3/+3 and has ward {2}. Cycling {2} ({2}, Discard this card: Draw a card.) / Encantar criatura A criatura encantada recebe +3/+3 e tem salvaguarda {2}. Reciclar {2} ({2}, descarte este card: Compre um card.)</t>
  </si>
  <si>
    <t>Soldier</t>
  </si>
  <si>
    <t>Token</t>
  </si>
  <si>
    <t>Marvel Secret Lair (MSH)</t>
  </si>
  <si>
    <t>Robot Villain</t>
  </si>
  <si>
    <t>Villain</t>
  </si>
  <si>
    <t>Mountain / Montanha</t>
  </si>
  <si>
    <t>Basic Land — Mountain / Terreno Básico — Montanha</t>
  </si>
  <si>
    <t>({T}: Add {R}.) / R</t>
  </si>
  <si>
    <t>Marvel Super Heroes (MSH)</t>
  </si>
  <si>
    <t>Castle Doom</t>
  </si>
  <si>
    <t>{T}: Add {C}. {T}: Add one mana of any color. Spend this mana only to cast an artifact spell. {3}, {T}, Sacrifice an artifact: Create a 3/3 colorless Robot Villain artifact creature token named Doombot. Activate only as a sorcery.</t>
  </si>
  <si>
    <t>Invisible Woman, Sue Storm</t>
  </si>
  <si>
    <t>Legendary Creature — Human Hero</t>
  </si>
  <si>
    <t>Lifelink Whenever you put one or more +1/+1 counters on one or more other Heroes you control, you may create a 0/4 colorless Wall creature token with defender.</t>
  </si>
  <si>
    <t>Marvel Super Heroes (MSH) SC</t>
  </si>
  <si>
    <t>Speed, Young Avenger</t>
  </si>
  <si>
    <t>Legendary Creature — Mutant Hero</t>
  </si>
  <si>
    <t>Haste Whenever you cast a noncreature spell, you may pay {1}. When you do, target creature with haste can't be blocked this turn except by creatures with haste.</t>
  </si>
  <si>
    <t>Tigra, Feline Fury</t>
  </si>
  <si>
    <t>Legendary Creature — Cat Human Hero</t>
  </si>
  <si>
    <t>Flash Trample Whenever you gain life, put a +1/+1 counter on Tigra.</t>
  </si>
  <si>
    <t>Villainous Hideout</t>
  </si>
  <si>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</si>
  <si>
    <t>Dependable Quinjet</t>
  </si>
  <si>
    <t>Flying {T}: Add one mana of any color. Crew 4 (Tap any number of creatures you control with total power 4 or more: This Vehicle becomes an artifact creature until end of turn.)</t>
  </si>
  <si>
    <t>Aerial Doombot</t>
  </si>
  <si>
    <t>Artifact Creature — Robot Villain</t>
  </si>
  <si>
    <t>Flying Power-up — {5}{U}: Put three +1/+1 counters on this creature. (Activate each power-up ability only once. Reduce the cost by its mana cost if it entered this turn.)</t>
  </si>
  <si>
    <t>Guerrilla Gorilla</t>
  </si>
  <si>
    <t>Creature — Ape Soldier Hero</t>
  </si>
  <si>
    <t>Reach Sacrifice this creature: Destroy target noncreature artifact or noncreature enchantment. Activate only as a sorcery.</t>
  </si>
  <si>
    <t>Bold Biochemist</t>
  </si>
  <si>
    <t>Creature — Human Scientist</t>
  </si>
  <si>
    <t>Power-up — {5}{U}: Put a +1/+1 counter on this creature and draw two cards. (Activate each power-up ability only once. Reduce the cost by its mana cost if it entered this turn.)</t>
  </si>
  <si>
    <t>Hero in Training</t>
  </si>
  <si>
    <t>Creature — Human Hero</t>
  </si>
  <si>
    <t>When this creature enters, draw a card. If you control another Hero, you gain 2 life.</t>
  </si>
  <si>
    <t>HYDRA Infiltration</t>
  </si>
  <si>
    <t>When this enchantment enters, target opponent discards two cards. Whenever a creature you control attacks alone, target opponent loses 1 life and you gain 1 life.</t>
  </si>
  <si>
    <t>S.H.I.E.L.D. Spy Kit</t>
  </si>
  <si>
    <t>Equipped creature gets +1/+1. Whenever equipped creature attacks alone, untap it and scry 1. (Look at the top card of your library. You may put that card on the bottom.) Equip {1} ({1}: Attach to target creature you control. Equip only as a sorcery.)</t>
  </si>
  <si>
    <t>Brawn, Amadeus Cho</t>
  </si>
  <si>
    <t>Legendary Creature — Gamma Scientist Hero</t>
  </si>
  <si>
    <t>When Brawn enters, draw a card. Power-up — {4}{G/U}: Put a +1/+1 counter on Brawn for each card in your hand. (Activate each power-up ability only once. Reduce the cost by his mana cost if he entered this turn.)</t>
  </si>
  <si>
    <t>Marvel Super Heroes Commander (MSC)</t>
  </si>
  <si>
    <t>A.I.M. Bot</t>
  </si>
  <si>
    <t>Flying (This creature can't be blocked except by creatures with flying or reach.)</t>
  </si>
  <si>
    <t>Atlantean Cavalry</t>
  </si>
  <si>
    <t>Vigilance Whenever you draw your second card each turn, put a +1/+1 counter on this creature.</t>
  </si>
  <si>
    <t>Graviton, Fundamental Force</t>
  </si>
  <si>
    <t>Legendary Creature — Human Villain</t>
  </si>
  <si>
    <t>Whenever you draw your second card each turn, choose one — • Target creature gains flying until end of turn. (It can't be blocked except by creatures with flying or reach.) • Tap target creature.</t>
  </si>
  <si>
    <t>Blue Marvel, Adam Brashear</t>
  </si>
  <si>
    <t>Legendary Creature — Human Scientist Hero</t>
  </si>
  <si>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</si>
  <si>
    <t>A.I.M. Scientists</t>
  </si>
  <si>
    <t>Creature — Human Scientist Villain</t>
  </si>
  <si>
    <t>When this creature enters, it connives. (Draw a card, then discard a card. If you discarded a nonland card, put a +1/+1 counter on this creature.) Basic landcycling {2} ({2}, Discard this card: Search your library for a basic land card, reveal it, put it into your hand, then shuffle.)</t>
  </si>
  <si>
    <t>Super Intelligence</t>
  </si>
  <si>
    <t>Enchant creature At the beginning of the upkeep of enchanted creature's controller, that player draws a card.</t>
  </si>
  <si>
    <t>H.E.R.B.I.E. Scout Unit</t>
  </si>
  <si>
    <t>Artifact Creature — Robot Scout</t>
  </si>
  <si>
    <t>Flying When this creature enters, draw a card, then you may put a land card from your hand onto the battlefield tapped.</t>
  </si>
  <si>
    <t>Depower</t>
  </si>
  <si>
    <t>This spell costs {2} less to cast if it targets an attacking creature. Target creature gets -4/-0 until end of turn. Draw a card.</t>
  </si>
  <si>
    <t>Trickster's Stratagem</t>
  </si>
  <si>
    <t>The owner of target creature an opponent controls puts it into their library second from the top or on the bottom. Then up to one target creature you control connives. (Draw a card, then discard a card. If you discarded a nonland card, put a +1/+1 counter on that creature.)</t>
  </si>
  <si>
    <t>Stark's Ingenuity</t>
  </si>
  <si>
    <t>Enchant creature you control When this Aura enters, you may pay {X}. If you do, draw X cards. Whenever you draw a card, put a +1/+1 counter on enchanted creature.</t>
  </si>
  <si>
    <t>Thriving Isle / Ilha Vicejante</t>
  </si>
  <si>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</si>
  <si>
    <t>Island / Ilha</t>
  </si>
  <si>
    <t>Basic Land — Island / Terreno Básico — Ilha</t>
  </si>
  <si>
    <t>({T}: Add {U}.) / U</t>
  </si>
  <si>
    <t>Marvel Super Heroes (MSH) FA 280</t>
  </si>
  <si>
    <t>S.H.I.E.L.D. Deployment Drone</t>
  </si>
  <si>
    <t>Flying When this creature enters, create a 1/1 white Soldier creature token.</t>
  </si>
  <si>
    <t>Hydraulic Helper</t>
  </si>
  <si>
    <t>Defender {T}: Add {U}. This mana can't be spent to cast a nonartifact spell.</t>
  </si>
  <si>
    <t>Ultron Drone</t>
  </si>
  <si>
    <t>Power-up — {6}: Put two +1/+1 counters on this creature and create a 2/2 colorless Robot Villain artifact creature token. (Activate each power-up ability only once. Reduce the cost by its mana cost if it entered this turn.)</t>
  </si>
  <si>
    <t>Victor Mancha, Runaway</t>
  </si>
  <si>
    <t>Legendary Artifact Creature — Human Hero</t>
  </si>
  <si>
    <t>When Victor Mancha enters, exile target card from your graveyard. You may play it for as long as you control Victor Mancha.</t>
  </si>
  <si>
    <t>War Machine, James Rhodes</t>
  </si>
  <si>
    <t>Flying (This creature can't be blocked except by creatures with flying or reach.) Whenever War Machine attacks, tap up to one target creature.</t>
  </si>
  <si>
    <t>Repulsor Bots</t>
  </si>
  <si>
    <t>Artifact Creature — Robot Hero</t>
  </si>
  <si>
    <t>Flying (This creature can't be blocked except by creatures with flying or reach.) When this creature enters, return up to two other target artifacts and/or creatures to their owners' hands.</t>
  </si>
  <si>
    <t>Vibranium Energy Daggers</t>
  </si>
  <si>
    <t>Indestructible (Effects that say "destroy" don't destroy this Equipment.) Equipped creature gets +2/+2. Equip {3} ({3}: Attach to target creature you control. Equip only as a sorcery.)</t>
  </si>
  <si>
    <t>Futurist Forge</t>
  </si>
  <si>
    <t>When this artifact enters, draw a card. {3}{U}, Sacrifice this artifact: Draw two cards.</t>
  </si>
  <si>
    <t>Thirst for Knowledge / Sede de Conhecimento</t>
  </si>
  <si>
    <t>Draw three cards. Then discard two cards unless you discard an artifact card. / Compre três cards. Em seguida, descarte dois cards, a menos que você descarte um card de artefato.</t>
  </si>
  <si>
    <t>Frozen in Ice</t>
  </si>
  <si>
    <t>Enchant creature When this Aura enters, tap enchanted creature. Enchanted creature loses all abilities and can't become untapped.</t>
  </si>
  <si>
    <t>Marvel Super Heroes (MSH) FA 279</t>
  </si>
  <si>
    <t>Red Room Recruit</t>
  </si>
  <si>
    <t>Creature — Human Spy Villain</t>
  </si>
  <si>
    <t>When this creature enters, it connives. (Draw a card, then discard a card. If you discarded a nonland card, put a +1/+1 counter on this creature.)</t>
  </si>
  <si>
    <t>Boomerang / Bumerangue</t>
  </si>
  <si>
    <t>Return target permanent to its owner's hand. / Devolve a permanente alvo para a mão de seu dono.</t>
  </si>
  <si>
    <t>Ninja of the Hand</t>
  </si>
  <si>
    <t>Creature — Human Ninja Villain</t>
  </si>
  <si>
    <t>Deathtouch Power-up — {4}{B}: Each opponent discards a card. Put a +1/+1 counter on this creature. (Activate each power-up ability only once. Reduce the cost by its mana cost if it entered this turn.)</t>
  </si>
  <si>
    <t>Baron Strucker, HYDRA Overlord</t>
  </si>
  <si>
    <t>Villain spells you cast cost {1} less to cast. Whenever another Villain you control enters, you may have it connive. Do this only once each turn. (Draw a card, then discard a card. If you discarded a nonland card, put a +1/+1 counter on that creature.)</t>
  </si>
  <si>
    <t>Tombstone, Career Criminal</t>
  </si>
  <si>
    <t>When Tombstone enters, return target Villain card from your graveyard to your hand. Villain spells you cast cost {1} less to cast.</t>
  </si>
  <si>
    <t>Crossbones, Malicious Mercenary</t>
  </si>
  <si>
    <t>Legendary Creature — Human Mercenary Villain</t>
  </si>
  <si>
    <t>Deathtouch Whenever another Villain you control enters, put a +1/+1 counter on Crossbones. He deals 2 damage to each opponent. This ability triggers only once each turn.</t>
  </si>
  <si>
    <t>Glamorous Grapplers</t>
  </si>
  <si>
    <t>Creature — Human Performer Villain</t>
  </si>
  <si>
    <t>Menace (This creature can't be blocked except by two or more creatures.)</t>
  </si>
  <si>
    <t>Roxxon Brutes</t>
  </si>
  <si>
    <t>Creature — Human Berserker Villain</t>
  </si>
  <si>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</si>
  <si>
    <t>Minotaur, Roxxon CEO</t>
  </si>
  <si>
    <t>Legendary Creature — Minotaur Villain</t>
  </si>
  <si>
    <t>Whenever Minotaur, Roxxon CEO or another nontoken creature dies, you create a 2/1 black Villain creature token with menace. (It can't be blocked except by two or more creatures.)</t>
  </si>
  <si>
    <t>Dark Deed</t>
  </si>
  <si>
    <t>Target creature gets -4/-4 until end of turn.</t>
  </si>
  <si>
    <t>Visions of Villainy</t>
  </si>
  <si>
    <t>This spell costs {1} less to cast if you control a Villain. You draw two cards and lose 2 life.</t>
  </si>
  <si>
    <t>Hour of Defeat</t>
  </si>
  <si>
    <t>Destroy target creature. Surveil 1. (Look at the top card of your library. You may put it into your graveyard.)</t>
  </si>
  <si>
    <t>Thriving Moor / Charco Vicejante</t>
  </si>
  <si>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</si>
  <si>
    <t>Swamp / Pântano</t>
  </si>
  <si>
    <t>Basic Land — Swamp / Terreno Básico — Pântano</t>
  </si>
  <si>
    <t>({T}: Add {B}.) / B</t>
  </si>
  <si>
    <t>Marvel Super Heroes (MSH) FA 281</t>
  </si>
  <si>
    <t xml:space="preserve">Marvel Super Heroes (MSH) </t>
  </si>
  <si>
    <t>Agent of Atlas</t>
  </si>
  <si>
    <t>Creature — Human Spy Hero</t>
  </si>
  <si>
    <t>Prowess (Whenever you cast a noncreature spell, this creature gets +1/+1 until end of turn.)</t>
  </si>
  <si>
    <t>Peggy Carter, Secret Agent</t>
  </si>
  <si>
    <t>Legendary Creature — Human Spy Hero</t>
  </si>
  <si>
    <t>Whenever a creature you control attacks alone, it gains indestructible until end of turn. (Damage and effects that say "destroy" don't destroy it.)</t>
  </si>
  <si>
    <t>Brave Brawler</t>
  </si>
  <si>
    <t>Creature — Human Warrior Hero</t>
  </si>
  <si>
    <t>Lifelink Power-up — {4}{W}: Put two +1/+1 counters on this creature. (Activate each power-up ability only once. Reduce the cost by its mana cost if it entered this turn.)</t>
  </si>
  <si>
    <t>Agents of S.H.I.E.L.D.</t>
  </si>
  <si>
    <t>Whenever a creature you control attacks alone, that creature gets +1/+1 until end of turn.</t>
  </si>
  <si>
    <t>Hawkeye, Clint Barton</t>
  </si>
  <si>
    <t>Legendary Creature — Human Archer Hero</t>
  </si>
  <si>
    <t>Vigilance (Attacking doesn't cause this creature to tap.)</t>
  </si>
  <si>
    <t>Okoye, Dora Milaje Leader</t>
  </si>
  <si>
    <t>Legendary Creature — Human Warrior Hero</t>
  </si>
  <si>
    <t>When Okoye enters, create two 1/1 white Soldier creature tokens. Attacking creature tokens you control have first strike.</t>
  </si>
  <si>
    <t>Valkyrior Skyrider</t>
  </si>
  <si>
    <t>Creature — God Warrior Hero</t>
  </si>
  <si>
    <t>Flying (This creature can't be blocked except by creatures with flying or reach.) When this creature enters, you gain 4 life.</t>
  </si>
  <si>
    <t>Wondrous Revival</t>
  </si>
  <si>
    <t>Return up to three target Hero creature cards from your graveyard to the battlefield.</t>
  </si>
  <si>
    <t>Iconic Shield</t>
  </si>
  <si>
    <t>Equipped creature gets +1/+2 and has "Whenever this creature attacks, another target attacking creature gains indestructible until end of turn." (Damage and effects that say "destroy" don't destroy it.) Equip {3} ({3}: Attach to target creature you control. Equip only as a sorcery.)</t>
  </si>
  <si>
    <t>Fall to Earth</t>
  </si>
  <si>
    <t>Exile target creature. Each player gains 3 life. Basic landcycling {2} ({2}, Discard this card: Search your library for a basic land card, reveal it, put it into your hand, then shuffle.)</t>
  </si>
  <si>
    <t>Thriving Heath / Charneca Vicejante</t>
  </si>
  <si>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</si>
  <si>
    <t>Marvel Super Heroes (MSH) FA 278</t>
  </si>
  <si>
    <t>Hawkeye's Shot</t>
  </si>
  <si>
    <t>This spell costs {2} less to cast if it targets a tapped creature. Exile target creature.</t>
  </si>
  <si>
    <t>Soldier On</t>
  </si>
  <si>
    <t>Put two +1/+1 counters on target creature. Untap it.</t>
  </si>
  <si>
    <t>Mockingbird, Bobbi Morse</t>
  </si>
  <si>
    <t>Whenever Mockingbird is dealt damage, put a +1/+1 counter on her. (She must survive the damage to get the counter.)</t>
  </si>
  <si>
    <t>Ant-Man, Scott Lang</t>
  </si>
  <si>
    <t>{4}: Put a +1/+1 counter on Ant-Man.</t>
  </si>
  <si>
    <t>Captain America, Steve Rogers</t>
  </si>
  <si>
    <t>Legendary Creature — Human Soldier Hero</t>
  </si>
  <si>
    <t>Lifelink (Damage dealt by this creature also causes you to gain that much life.) Whenever Captain America attacks, put a +1/+1 counter on another target creature you control. That creature gains indestructible until end of turn. (Damage and effects that say "destroy" don't destroy it.)</t>
  </si>
  <si>
    <t>Captain's Defense</t>
  </si>
  <si>
    <t>Target blocking creature gets +2/+2 until end of turn. Draw a card.</t>
  </si>
  <si>
    <t>The Falcon, Sam Wilson</t>
  </si>
  <si>
    <t>Flying (This creature can't be blocked except by creatures with flying or reach.) When The Falcon enters, put a +1/+1 counter on each other creature you control.</t>
  </si>
  <si>
    <t>The Wasp, Janet Van Dyne</t>
  </si>
  <si>
    <t>Flying (This creature can't be blocked except by creatures with flying or reach.) When The Wasp enters, she deals 4 damage to target tapped creature an opponent controls.</t>
  </si>
  <si>
    <t>Mandroid Squadron</t>
  </si>
  <si>
    <t>Artifact Creature — Human Soldier</t>
  </si>
  <si>
    <t>When this creature enters, you gain 2 life.</t>
  </si>
  <si>
    <t>Consign to the Pit / Condenar ao Poço</t>
  </si>
  <si>
    <t>Destroy target creature. Consign to the Pit deals 2 damage to that creature's controller. / Destrua a criatura alvo. Condenar ao Poço causa 2 pontos de dano ao controlador daquela criatura.</t>
  </si>
  <si>
    <t>Mind Shatter / Despedaça-Mente</t>
  </si>
  <si>
    <t>Target player discards X cards at random. / O jogador alvo descarta X cards aleatoriamente.</t>
  </si>
  <si>
    <t>Wit's End / Limite da Razão</t>
  </si>
  <si>
    <t>Target player discards their hand. / O jogador alvo descarta sua própria mão.</t>
  </si>
  <si>
    <t>Flaying Tendrils / Gavinhas Esfoladoras</t>
  </si>
  <si>
    <t>Devoid (This card has no color.) All creatures get -2/-2 until end of turn. If a creature would die this turn, exile it instead. / Desprovido (Este card não tem cor.) Todas as criaturas recebem -2/-2 até o final do turno. Se uma criatura morreria neste turno, em vez disso, exile-a.</t>
  </si>
  <si>
    <t>Transgress the Mind / Transgredir a Mente</t>
  </si>
  <si>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</si>
  <si>
    <t>Gruesome Fate / Destino Horripilante</t>
  </si>
  <si>
    <t>Each opponent loses 1 life for each creature you control. / Cada oponente perde 1 ponto de vida para cada criatura que você controla.</t>
  </si>
  <si>
    <t>Nightsnare / Armadilha Noturna</t>
  </si>
  <si>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</si>
  <si>
    <t>Impale / Empalar</t>
  </si>
  <si>
    <t>Funeral Rites / Ritos Funerários</t>
  </si>
  <si>
    <t>You draw two cards, lose 2 life, then mill two cards. / Você compra dois cards, perde 2 pontos de vida e coloca os dois cards do topo de seu grimório em seu cemitério.</t>
  </si>
  <si>
    <t>Reave Soul / Despojar Alma</t>
  </si>
  <si>
    <t>Destroy target creature with power 3 or less. / Destrua a criatura alvo com poder igual ou inferior a 3.</t>
  </si>
  <si>
    <t>Perilous Predicament / Dilema Perigoso</t>
  </si>
  <si>
    <t>Each opponent sacrifices an artifact creature and a nonartifact creature of their choice. / Cada oponente sacrifica uma criatura artefato e uma criatura que não seja um artefato.</t>
  </si>
  <si>
    <t>Grotesque Mutation / Mutação Grotesca</t>
  </si>
  <si>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</si>
  <si>
    <t>Undercity's Embrace / Abraço do Submundo</t>
  </si>
  <si>
    <t>Target opponent sacrifices a creature of their choice. If you control a creature with power 4 or greater, you gain 4 life. / O oponente alvo sacrifica uma criatura. Se você controla uma criatura com poder igual ou superior a 4, você ganha 4 pontos de vida.</t>
  </si>
  <si>
    <t>Grave Birthing / Nascimento Tumular</t>
  </si>
  <si>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</si>
  <si>
    <t>Dark Dabbling / Experimentação Sombria</t>
  </si>
  <si>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</si>
  <si>
    <t>Touch of Moonglove / Toque de Luvalua</t>
  </si>
  <si>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</si>
  <si>
    <t>Final Death / Morte Final</t>
  </si>
  <si>
    <t>Unholy Hunger / Fome Profana</t>
  </si>
  <si>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</si>
  <si>
    <t>Visions of Brutality / Visões de Brutalidade</t>
  </si>
  <si>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</si>
  <si>
    <t>Mogis's Favor / Proteção de Mogis</t>
  </si>
  <si>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</si>
  <si>
    <t>Infernal Scarring / Escarificação Infernal</t>
  </si>
  <si>
    <t>Enchant creature Enchanted creature gets +2/+0 and has "When this creature dies, draw a card." / Encantar criatura A criatura encantada recebe +2/+0 e tem "Quando esta criatura morrer, compre um card."</t>
  </si>
  <si>
    <t>Omen of the Dead / Augúrio dos Mortos</t>
  </si>
  <si>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</si>
  <si>
    <t>Mire's Grasp / Garras do Lodaçal</t>
  </si>
  <si>
    <t>Enchant creature Enchanted creature gets -3/-3. / Encantar criatura A criatura encantada recebe -3/-3.</t>
  </si>
  <si>
    <t>Aspect of Lamprey / Aspecto da Lampreia</t>
  </si>
  <si>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</si>
  <si>
    <t>Weight of the Underworld / Peso do Submundo</t>
  </si>
  <si>
    <t>Enchant creature Enchanted creature gets -3/-2. / Encantar criaturaA criatura encantada recebe -3/-2.</t>
  </si>
  <si>
    <t>Blight-Breath Catoblepas / Catoblepas Hálito-de-praga</t>
  </si>
  <si>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</si>
  <si>
    <t>Underworld Charger / Corcel do Submundo</t>
  </si>
  <si>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</si>
  <si>
    <t>Wasteland Scorpion / Escorpião dos Ermos</t>
  </si>
  <si>
    <t>Deathtouch Cycling {2} ({2}, Discard this card: Draw a card.) / Toque mortífero Reciclar {2} ({2}, Descarte este card: Compre um card.)</t>
  </si>
  <si>
    <t>Festering Mummy / Múmia Pustulenta</t>
  </si>
  <si>
    <t>When this creature dies, you may put a -1/-1 counter on target creature. / Quando Múmia Pustulenta morre, você pode colocar um marcador -1/-1 na criatura alvo.</t>
  </si>
  <si>
    <t>Defiant Salvager / Salvádego Audaz</t>
  </si>
  <si>
    <t>Creature — Aetherborn Artificer / Criatura — Etergênito Artesão</t>
  </si>
  <si>
    <t>Sacrifice an artifact or creature: Put a +1/+1 counter on this creature. Activate only as a sorcery. / Sacrifique um artefato ou criatura: Coloque um marcador +1/+1 em Salvádego Audaz. Ative esta habilidade somente nos momentos em que poderia conjurar um feitiço.</t>
  </si>
  <si>
    <t>Fathom Fleet Boarder / Abordador da Frota Abissal</t>
  </si>
  <si>
    <t>When this creature enters, you lose 2 life unless you control another Pirate. / Quando Abordador da Frota Abissal entra no campo de batalha, você perde 2 pontos de vida, a menos que você controle outro Pirata.</t>
  </si>
  <si>
    <t>Rottenheart Ghoul / Carniçal do Coração Pútrido</t>
  </si>
  <si>
    <t>When this creature dies, target player discards a card. / Quando Carniçal do Coração Pútrido morre, o jogador alvo descarta um card.</t>
  </si>
  <si>
    <t>Blade Juggler / Malabarista de Lâminas</t>
  </si>
  <si>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</si>
  <si>
    <t>Noxious Groodion / Groodion Nocivo</t>
  </si>
  <si>
    <t>Barrier of Bones / Muralha de Ossos</t>
  </si>
  <si>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</si>
  <si>
    <t>Kalastria Healer / Curandeiro Kalastria</t>
  </si>
  <si>
    <t>Creature — Vampire Cleric Ally / Criatura — Vampiro Clérigo Aliado</t>
  </si>
  <si>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</si>
  <si>
    <t>Thirsting Shade / Sombra Sedenta</t>
  </si>
  <si>
    <t>Lifelink {2}{B}: This creature gets +1/+1 until end of turn. / Vínculo com a vida {2}{B}: Sombra Sedenta recebe +1/+1 até o final do turno.</t>
  </si>
  <si>
    <t>Hound of the Farbogs / Sabujo de Brejolonge</t>
  </si>
  <si>
    <t>Creature — Zombie Dog / Criatura — Zumbi Sabujo</t>
  </si>
  <si>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</si>
  <si>
    <t>Vampire Revenant / Espectro Vampírico</t>
  </si>
  <si>
    <t>Creature — Vampire Spirit / Criatura — Vampiro Espírito</t>
  </si>
  <si>
    <t>Eyeblight Assassin / Assassino de Seca-olho</t>
  </si>
  <si>
    <t>When this creature enters, target creature an opponent controls gets -1/-1 until end of turn. / Quando Assassino de Seca-olho entra no campo de batalha, a criatura alvo que um oponente controla recebe -1/-1 até o final do turno.</t>
  </si>
  <si>
    <t>Deadbridge Shaman / Xamã da Ponte Mortífera</t>
  </si>
  <si>
    <t>When this creature dies, target opponent discards a card. / Quando Xamã da Ponte Mortífera morre, o oponente alvo descarta um card.</t>
  </si>
  <si>
    <t>Lampad of Death's Vigil / Lâmpade da Vigília da Morte</t>
  </si>
  <si>
    <t>{1}, Sacrifice a creature: Each opponent loses 1 life and you gain 1 life. / {1}, sacrifique uma criatura: Cada oponente perde 1 ponto de vida e você ganha 1 ponto de vida.</t>
  </si>
  <si>
    <t>Debtors' Transport / Transporte dos Devedores</t>
  </si>
  <si>
    <t>Fetid Imp / Diabrete Fedido</t>
  </si>
  <si>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</si>
  <si>
    <t>Marshmist Titan / Titã Bruma de Pântano</t>
  </si>
  <si>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</si>
  <si>
    <t>Soulreaper of Mogis / Ceifador de Almas de Mogis</t>
  </si>
  <si>
    <t>Enchantment Creature — Minotaur Shaman / Criatura Encantamento — Minotauro Xamã</t>
  </si>
  <si>
    <t>{2}{B}, Sacrifice a creature: Draw a card. / {2}{B}, sacrifique uma criatura: Compre um card.</t>
  </si>
  <si>
    <t>Shambling Ghoul / Carniçal Trôpego</t>
  </si>
  <si>
    <t>This creature enters tapped. / Carniçal Trôpego entra no campo de batalha virado.</t>
  </si>
  <si>
    <t>Thornbow Archer / Arqueiro do Arco Espinhoso</t>
  </si>
  <si>
    <t>Whenever this creature attacks, each opponent who doesn't control an Elf loses 1 life. / Toda vez que Arqueiro do Arco Espinhoso ataca, cada oponente que não controla um Elfo perde 1 ponto de vida.</t>
  </si>
  <si>
    <t>Undead Servant / Servo Morto-vivo</t>
  </si>
  <si>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</si>
  <si>
    <t>Nantuko Husk / Folhelho Nantuko</t>
  </si>
  <si>
    <t>Creature — Zombie Insect / Criatura — Zumbi Inseto</t>
  </si>
  <si>
    <t>Sacrifice a creature: This creature gets +2/+2 until end of turn. / Sacrifique uma criatura: Folhelho Nantuko recebe +2/+2 até o final do turno.</t>
  </si>
  <si>
    <t>Returned Centaur / Centauro Ressurgido</t>
  </si>
  <si>
    <t>Creature — Zombie Centaur / Criatura — Zumbi Centauro</t>
  </si>
  <si>
    <t>When this creature enters, target player mills four cards. / Quando Centauro Ressurgido entra no campo de batalha, o jogador alvo coloca os quatro cards do topo do grimório dele no próprio cemitério.</t>
  </si>
  <si>
    <t>Catacomb Crocodile / Crocodilo da Catacumba</t>
  </si>
  <si>
    <t>Carrion Imp / Diabrete Carniceiro</t>
  </si>
  <si>
    <t>Flying When this creature enters, you may exile target creature card from a graveyard. If you do, you gain 2 life. / Voar Quando Diabrete Carniceiro entra no campo de batalha, você pode exilar o card de criatura alvo de um cemitério. Se fizer isso, você ganhará 2 pontos de vida.</t>
  </si>
  <si>
    <t>Rage-Scarred Berserker / Amoque Escarificado pela Fúria</t>
  </si>
  <si>
    <t>Creature — Minotaur Berserker / Criatura — Minotauro Amoque</t>
  </si>
  <si>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</si>
  <si>
    <t>Reaver Drone / Zangão Despojador</t>
  </si>
  <si>
    <t>Devoid (This card has no color.) At the beginning of your upkeep, you lose 1 life unless you control another colorless creature. / Desprovido (Este card não tem cor.) No início de sua manutenção, você perde 1 ponto de vida a menos que controle outra criatura incolor.</t>
  </si>
  <si>
    <t>Malakir Soothsayer / Adivinha de Malakir</t>
  </si>
  <si>
    <t>Creature — Vampire Shaman Ally / Criatura — Vampiro Xamã Aliado</t>
  </si>
  <si>
    <t>Cohort — {T}, Tap an untapped Ally you control: You draw a card and you lose 1 life. / Companheiro — {T}, Vire um Aliado desvirado que você controla: Você compra um card e perde 1 ponto de vida.</t>
  </si>
  <si>
    <t>Null Caller / Invocador de Nulos</t>
  </si>
  <si>
    <t>{3}{B}, Exile a creature card from your graveyard: Create a tapped 2/2 black Zombie creature token. / {3}{B}, Exile um card de criatura de seu cemitério: Coloque no campo de batalha uma ficha de criatura preta 2/2 do tipo Zumbi virada.</t>
  </si>
  <si>
    <t>Nyxborn Marauder / Saqueadora Nyxnata</t>
  </si>
  <si>
    <t>Sultai Scavenger / Necrófago Sultai</t>
  </si>
  <si>
    <t>Creature — Bird Warrior / Criatura — Ave Guerreiro</t>
  </si>
  <si>
    <t>Delve (Each card you exile from your graveyard while casting this spell pays for {1}.) Flying / Esquadrinhar (Cada card que você exila de seu cemitério quando conjura esta mágica paga por {1}.) Voar</t>
  </si>
  <si>
    <t>Anointed Deacon / Diácono Ungido</t>
  </si>
  <si>
    <t>At the beginning of combat on your turn, you may have target Vampire get +2/+0 until end of turn. / No início do combate no seu turno, você pode fazer com que o Vampiro alvo receba +2/+0 até o final do turno.</t>
  </si>
  <si>
    <t>Rabid Bloodsucker / Sugador de Sangue Raivoso</t>
  </si>
  <si>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</si>
  <si>
    <t>Scavenging Harpy / Harpia Necrófaga</t>
  </si>
  <si>
    <t>Creature — Harpy / Criatura — Harpia</t>
  </si>
  <si>
    <t>Flying When this creature enters, exile target card from an opponent's graveyard. / Voar Quando Harpia Necrófaga entrar no campo de batalha, exile o card alvo do cemitério de um oponente.</t>
  </si>
  <si>
    <t>Dusk Legion Zealot / Zelote da Legião do Crepúsculo</t>
  </si>
  <si>
    <t>When this creature enters, you draw a card and you lose 1 life. / Quando Zelote da Legião do Crepúsculo entra no campo de batalha, você compra um card e perde 1 ponto de vida.</t>
  </si>
  <si>
    <t>Dusk Charger / Corcel do Crepúsculo</t>
  </si>
  <si>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</si>
  <si>
    <t>Crawling Filth / Imundície Rastejante</t>
  </si>
  <si>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</si>
  <si>
    <t>Venomous Hierophant / Hierofante Venenosa</t>
  </si>
  <si>
    <t>Creature — Gorgon Cleric / Criatura — Górgona Clérigo</t>
  </si>
  <si>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</si>
  <si>
    <t>Voracious Vampire / Vampiro Voraz</t>
  </si>
  <si>
    <t>Menace When this creature enters, target Vampire you control gets +1/+1 and gains menace until end of turn. / Ameaçar Quando Vampiro Voraz entra no campo de batalha, o Vampiro alvo que você controla recebe +1/+1 e ganha ameaçar até o final do turno.</t>
  </si>
  <si>
    <t>Discordant Piper / Flautista Dissonante</t>
  </si>
  <si>
    <t>When this creature dies, create a 0/1 white Goat creature token. / Quando Flautista Dissonante morrer, crie uma ficha de criatura branca 0/1 do tipo Bode.</t>
  </si>
  <si>
    <t>Grim Physician / Médico Sinistro</t>
  </si>
  <si>
    <t>When this creature dies, target creature an opponent controls gets -1/-1 until end of turn. / Quando Médico Sinistro morre, a criatura alvo que um oponente controla recebe -1/-1 até o final do turno.</t>
  </si>
  <si>
    <t>Uncharted Haven / Refúgio Inexplorado</t>
  </si>
  <si>
    <t>This land enters tapped. As it enters, choose a color. {T}: Add one mana of the chosen color. / Refúgio Inexplorado entra no campo de batalha virado. Conforme Refúgio Inexplorado entrar no campo de batalha, escolha uma cor. {T}: Adicione um mana da cor escolhida.</t>
  </si>
  <si>
    <t>Rakdos Guildgate / Portão da Guilda Rakdos</t>
  </si>
  <si>
    <t>This land enters tapped. {T}: Add {B} or {R}. / Portão da Guilda Rakdos entra no campo de batalha virado. {T}: Adicione {B} ou {R} à sua reserva de mana.</t>
  </si>
  <si>
    <t>Simic Guildgate / Portão da Guilda Simic</t>
  </si>
  <si>
    <t>This land enters tapped. {T}: Add {G} or {U}. / Portão da Guilda Simic entra no campo de batalha virado. {T}: Adicione {G} ou {U}.</t>
  </si>
  <si>
    <t>Gruul Guildgate / Portão da Guilda Gruul</t>
  </si>
  <si>
    <t>This land enters tapped. {T}: Add {R} or {G}. / Portão da Guilda Gruul entra no campo de batalha virado.{T}: Adicione {R} ou {G} à sua reserva de mana.</t>
  </si>
  <si>
    <t>Fertile Thicket / Arvoredo Fértil</t>
  </si>
  <si>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</si>
  <si>
    <t>Sandstone Bridge / Ponte de Arenito</t>
  </si>
  <si>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</si>
  <si>
    <t>Skyline Cascade / Cascata Celeste</t>
  </si>
  <si>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</si>
  <si>
    <t>Looming Spires / Pináculos Indistintos</t>
  </si>
  <si>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</si>
  <si>
    <t>Applied Biomancy / Biomancia Aplicada</t>
  </si>
  <si>
    <t>Choose one or both — • Target creature gets +1/+1 until end of turn. • Return target creature to its owner's hand. / Escolha um ou ambos — • A criatura alvo recebe +1/+1 até o final do turno. • Devolva a criatura alvo para a mão de seu dono.</t>
  </si>
  <si>
    <t>Simic Ascendancy / Ascensão Simic</t>
  </si>
  <si>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</si>
  <si>
    <t>Frolicking Familiar // Blow Off Steam / Familiar Brincalhão // Aliviar a Pressão</t>
  </si>
  <si>
    <t>Creature — Otter Wizard // Instant — Adventure / Criatura — Lontra Mago</t>
  </si>
  <si>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</si>
  <si>
    <t>{2}{U} // {R}</t>
  </si>
  <si>
    <t>Scuttlegator / Jacaruguejo</t>
  </si>
  <si>
    <t>Creature — Crab Turtle Crocodile / Criatura — Caranguejo Tartaruga Crocodilo</t>
  </si>
  <si>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</si>
  <si>
    <t>{4}{G/U}{G/U}</t>
  </si>
  <si>
    <t>Wavesifter / Ondo-peneirador</t>
  </si>
  <si>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</si>
  <si>
    <t>Decisive Denial / Negação Decisiva</t>
  </si>
  <si>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</si>
  <si>
    <t>Aeromunculus / Aeromúnculo</t>
  </si>
  <si>
    <t>Creature — Homunculus Mutant / Criatura — Homúnculo Mutante</t>
  </si>
  <si>
    <t>Flying {2}{G}{U}: Adapt 1. (If this creature has no +1/+1 counters on it, put a +1/+1 counter on it.) / Voar {2}{G}: Adaptar 1. (Se esta criatura não tiver marcadores +1/+1, coloque um marcador +1/+1 nela.)</t>
  </si>
  <si>
    <t>Rubble Slinger / Fundeira dos Escombros</t>
  </si>
  <si>
    <t>Reach / Alcance</t>
  </si>
  <si>
    <t>Frenzied Arynx / Arynx Frenético</t>
  </si>
  <si>
    <t>Creature — Cat Beast / Criatura — Felino Besta</t>
  </si>
  <si>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</si>
  <si>
    <t>Gladiolus Amicitia</t>
  </si>
  <si>
    <t>Legendary Creature — Human Warrior</t>
  </si>
  <si>
    <t>When Gladiolus Amicitia enters, search your library for a land card, put it onto the battlefield tapped, then shuffle. Landfall — Whenever a land you control enters, another target creature you control gets +2/+2 and gains trample until end of turn.</t>
  </si>
  <si>
    <t>Savage Smash / Pancada Selvagem</t>
  </si>
  <si>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</si>
  <si>
    <t>Ruination Wurm / Vorme Ruinoso</t>
  </si>
  <si>
    <t>Atzocan Seer / Vidente de Atzocan</t>
  </si>
  <si>
    <t>{T}: Add one mana of any color. Sacrifice this creature: Return target Dinosaur card from your graveyard to your hand. / {T}: Adicione um mana de qualquer cor à sua reserva de mana. Sacrifique Vidente de Atzocan: Devolva o card de Dinossauro alvo de seu cemitério para a sua mão.</t>
  </si>
  <si>
    <t>Drey Keeper / Guardião da Toca</t>
  </si>
  <si>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</si>
  <si>
    <t>Jungle Creeper / Rastejador da Selva</t>
  </si>
  <si>
    <t>{3}{B}{G}: Return this card from your graveyard to your hand. / {3}{B}{G}: Devolva Rastejador da Selva de seu cemitério para sua mão.</t>
  </si>
  <si>
    <t>Rakdos Roustabout / Servente Rakdos</t>
  </si>
  <si>
    <t>Whenever this creature becomes blocked, it deals 1 damage to the player or planeswalker it's attacking. / Toda vez que Servente Rakdos é bloqueado, ele causa 1 ponto de dano ao jogador ou planeswalker que ele está atacando.</t>
  </si>
  <si>
    <t>Dihada's Ploy / Ardil de Dihada</t>
  </si>
  <si>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</si>
  <si>
    <t>Marauding Looter / Saqueador Errante</t>
  </si>
  <si>
    <t>Raid — At the beginning of your end step, if you attacked this turn, you may draw a card. If you do, discard a card. / Raide — No início de sua etapa final, se você atacou com uma criatura neste turno, você pode comprar um card. Se fizer isso, descarte um card.</t>
  </si>
  <si>
    <t>Lawmage's Binding / Selamento do Mago Legista</t>
  </si>
  <si>
    <t>Flash Enchant creature Enchanted creature can't attack or block, and its activated abilities can't be activated. / Lampejo Encantar criatura A criatura encantada não pode atacar nem bloquear e suas habilidades ativadas não podem ser ativadas.</t>
  </si>
  <si>
    <t>Senate Griffin / Grifo do Senado</t>
  </si>
  <si>
    <t>Flying When this creature enters, scry 1. / Voar Quando Grifo do Senado entrar no campo de batalha, use vidência 1.</t>
  </si>
  <si>
    <t>{2}{W/U}{W/U}</t>
  </si>
  <si>
    <t>Final Payment / Pagamento Final</t>
  </si>
  <si>
    <t>As an additional cost to cast this spell, pay 5 life or sacrifice a creature or enchantment. Destroy target creature. / Como custo adicional para conjurar esta mágica, pague 5 pontos de vida ou sacrifique uma criatura ou um encantamento. Destrua a criatura alvo.</t>
  </si>
  <si>
    <t>Kingpin's Pet / Animal de Estimação do Dirigente</t>
  </si>
  <si>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</si>
  <si>
    <t>Blue Ward / Defesa Azul</t>
  </si>
  <si>
    <t>Enchant creature Enchanted creature has protection from blue. This effect doesn't remove this Aura.</t>
  </si>
  <si>
    <t>Prophecy</t>
  </si>
  <si>
    <t>Reveal the top card of target opponent's library to all players. If it is a land, gain 1 life. That opponent then shuffles his or her library. Draw a card at the beginning of the next turn's upkeep.</t>
  </si>
  <si>
    <t>Aysen Bureaucrats / Burocratas de Aysen</t>
  </si>
  <si>
    <t>{T}: Tap target creature with power 2 or less.</t>
  </si>
  <si>
    <t>Serra Paladin</t>
  </si>
  <si>
    <t>Criatura — Paladino / Summon Paladin</t>
  </si>
  <si>
    <t>{T}: Prevent 1 damage to any creature or player. {1}{W}{W}, {T}: Attacking does not cause target creature to tap this turn.</t>
  </si>
  <si>
    <t>Aysen Crusader</t>
  </si>
  <si>
    <t>Criatura — Cruzado / Summon Crusader</t>
  </si>
  <si>
    <t>Aysen Crusader has power and toughness each equal to 2 plus the number of Heroes you control.</t>
  </si>
  <si>
    <t>2+*/2+*</t>
  </si>
  <si>
    <t>Visions / Visões</t>
  </si>
  <si>
    <t>Look at the top five cards of target player's library. You may then have that player shuffle that library.</t>
  </si>
  <si>
    <t>Mesa Falcon / Falcão de Meseta</t>
  </si>
  <si>
    <t>Flying {1}{W}: This creature gets +0/+1 until end of turn.</t>
  </si>
  <si>
    <t>Serra Inquisitors / Inquisidores de Serra</t>
  </si>
  <si>
    <t>Whenever this creature blocks or becomes blocked by one or more black creatures, this creature gets +2/+0 until end of turn.</t>
  </si>
  <si>
    <t>Círculo de Proteção: Branco / Circle of Protection: White</t>
  </si>
  <si>
    <t>{1}: Evita qualquer dano de uma única origem branca contra você. Se esta fonte lhe causar dano mais de uma vez num mesmo turno, você poderá pagar 1 em cada uma das vezes para evitar o dano.</t>
  </si>
  <si>
    <t>Samite Alchemist</t>
  </si>
  <si>
    <t>Criatura — Alquimista / Summon Alchemist</t>
  </si>
  <si>
    <t>{W}{W}, {T}: Prevent up to 4 damage to a creature you control. Tap that creature. The creature does not untap during your next untap phase.</t>
  </si>
  <si>
    <t>Unicórnio Perolado / Pearled Unicorn</t>
  </si>
  <si>
    <t>Invocação de Unicórnio / Summon Unicorn</t>
  </si>
  <si>
    <t>Abbey Gargoyles</t>
  </si>
  <si>
    <t>Criatura — Gárgulas / Summon Gargoyles</t>
  </si>
  <si>
    <t>Flying, protection from red</t>
  </si>
  <si>
    <t>{2}{W}{W}{W}</t>
  </si>
  <si>
    <t>Trade Caravan / Caravana Comercial</t>
  </si>
  <si>
    <t>Creature — Human Nomad</t>
  </si>
  <si>
    <t>At the beginning of your upkeep, put a currency counter on this creature. Remove two currency counters from this creature: Untap target basic land. Activate only during an opponent's upkeep.</t>
  </si>
  <si>
    <t>Serra Bestiary / Bestiário de Serra</t>
  </si>
  <si>
    <t>Enchant creature At the beginning of your upkeep, sacrifice this Aura unless you pay {W}{W}. Enchanted creature can't attack or block, and its activated abilities with {T} in their costs can't be activated.</t>
  </si>
  <si>
    <t>Island</t>
  </si>
  <si>
    <t>{T}: Add {U} to your mana pool.</t>
  </si>
  <si>
    <t>Miragens</t>
  </si>
  <si>
    <t>Sexta Edição Clássica</t>
  </si>
  <si>
    <t>Forest / Floresta</t>
  </si>
  <si>
    <t>Basic Land — Forest / Terreno Básico — Floresta</t>
  </si>
  <si>
    <t>({T}: Add {G}.) / G</t>
  </si>
  <si>
    <t>A saga de urza</t>
  </si>
  <si>
    <t xml:space="preserve">Máscaras de Mercádia </t>
  </si>
  <si>
    <t>Tempestade</t>
  </si>
  <si>
    <t>Invasão</t>
  </si>
  <si>
    <t>Ghirapur Aether Grid / Grade de Éter de Ghirapur</t>
  </si>
  <si>
    <t>Tap two untapped artifacts you control: This enchantment deals 1 damage to any target. / Vire dois artefatos desvirados que você controla: Grade de Éter de Ghirapur causa 1 ponto de dano à criatura ou ao jogador alvo.</t>
  </si>
  <si>
    <t>Madcap Skills / Habilidades do Inconsequente</t>
  </si>
  <si>
    <t>Enchant creature Enchanted creature gets +3/+0 and has menace. / Encantar criaturaA criatura encantada ganha +3/+0 e só pode ser bloqueada por duas ou mais criaturas.</t>
  </si>
  <si>
    <t>Iroas's Blessing / Bênção de Iroas</t>
  </si>
  <si>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</si>
  <si>
    <t>Epiphany Storm / Tempestade de Epifanias</t>
  </si>
  <si>
    <t>Enchant creature Enchanted creature has "{R}, {T}, Discard a card: Draw a card." / Encantar criatura A criatura encantada tem "{R}, {T}, Descarte um card: Compre um card."</t>
  </si>
  <si>
    <t>Infectious Bloodlust / Sede de Sangue Infecciosa</t>
  </si>
  <si>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</si>
  <si>
    <t>Tilonalli's Crown / Coroa de Tilonalli</t>
  </si>
  <si>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</si>
  <si>
    <t>Welding Sparks / Centelhas da Solda</t>
  </si>
  <si>
    <t>Welding Sparks deals X damage to target creature, where X is 3 plus the number of artifacts you control. / Centelhas da Solda causa X pontos de dano à criatura alvo, sendo X 3 mais o número de artefatos que você controla.</t>
  </si>
  <si>
    <t>Kindled Fury / Fúria Inflamada</t>
  </si>
  <si>
    <t>Target creature gets +1/+0 and gains first strike until end of turn. (It deals combat damage before creatures without first strike.) / A criatura alvo recebe +1/+0 e ganha iniciativa até o final do turno.</t>
  </si>
  <si>
    <t>Abandon Reason / Abandonar a Razão</t>
  </si>
  <si>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</si>
  <si>
    <t>Storm Strike / Golpe da Tempestade</t>
  </si>
  <si>
    <t>Target creature gets +1/+0 and gains first strike until end of turn. Scry 1. / A criatura alvo recebe +1/+0 e ganha iniciativa até o final do turno. Vidência 1.</t>
  </si>
  <si>
    <t>Burn Bright / Ira Ardente</t>
  </si>
  <si>
    <t>Creatures you control get +2/+0 until end of turn. / As criaturas que você controla recebem +2/+0 até o final do turno.</t>
  </si>
  <si>
    <t>Scorchmark / Marca em Brasa</t>
  </si>
  <si>
    <t>Scorchmark deals 2 damage to target creature. If that creature would die this turn, exile it instead. / Marca em Brasa causa 2 pontos de dano à criatura alvo. Se aquela criatura for morrer neste turno, em vez disso, exile-a.</t>
  </si>
  <si>
    <t>Chandra's Fury / Fúria de Chandra</t>
  </si>
  <si>
    <t>Chandra's Fury deals 4 damage to target player or planeswalker and 1 damage to each creature that player or that planeswalker's controller controls. / Fúria de Chandra causa 4 pontos de dano ao jogador alvo e 1 ponto de dano a cada criatura que aquele jogador controla.</t>
  </si>
  <si>
    <t>Titan's Strength / Força de Titã</t>
  </si>
  <si>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</si>
  <si>
    <t>Chandra's Pyrohelix / Piro-hélice de Chandra</t>
  </si>
  <si>
    <t>Chandra's Pyrohelix deals 2 damage divided as you choose among one or two targets. / Piro-hélice de Chandra causa 2 pontos de dano distribuídos a sua escolha entre uma ou duas criaturas e/ou jogadores alvo.</t>
  </si>
  <si>
    <t>Demolish / Demolir</t>
  </si>
  <si>
    <t>Destroy target artifact or land. / Destrua o artefato ou terreno alvo.</t>
  </si>
  <si>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</si>
  <si>
    <t>Lightning Javelin / Azagaia de Raio</t>
  </si>
  <si>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</si>
  <si>
    <t>Rolling Thunder / Trovoada Ribombante</t>
  </si>
  <si>
    <t>Rolling Thunder deals X damage divided as you choose among any number of targets. / Trovoada Ribombante causa X pontos de dano distribuídos à sua escolha entre qualquer número de criaturas e/ou jogadores alvo.</t>
  </si>
  <si>
    <t>Devour in Flames / Devorar nas Chamas</t>
  </si>
  <si>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</si>
  <si>
    <t>Cathartic Reunion / Reunião Catártica</t>
  </si>
  <si>
    <t>As an additional cost to cast this spell, discard two cards. Draw three cards. / Como custo adicional para conjurar esta mágica, descarte dois cards. Compre três cards.</t>
  </si>
  <si>
    <t>Rubble Reading / Escombromancia</t>
  </si>
  <si>
    <t>Destroy target land. Scry 2. / Destrua o terreno alvo. Vidência 2.</t>
  </si>
  <si>
    <t>Rage of Purphoros / Ira de Púrforo</t>
  </si>
  <si>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</si>
  <si>
    <t>Structural Distortion / Distorção Estrutural</t>
  </si>
  <si>
    <t>Exile target artifact or land. Structural Distortion deals 2 damage to that permanent's controller. / Exile o artefato ou terreno alvo. Distorção Estrutural causa 2 pontos de dano ao controlador daquela permanente.</t>
  </si>
  <si>
    <t>Pigment Storm / Tempestade Pigmentar</t>
  </si>
  <si>
    <t>Pigment Storm deals 5 damage to target creature. Excess damage is dealt to that creature's controller instead. / Tempestade Pigmentar causa 5 pontos de dano à criatura alvo. O dano excedente será causado, em vez disso, ao controlador daquela criatura.</t>
  </si>
  <si>
    <t>Renegade Tactics / Tática dos Renegados</t>
  </si>
  <si>
    <t>Processor Assault / Assalto do Processador</t>
  </si>
  <si>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</si>
  <si>
    <t>Subterranean Scout / Batedor Subterrâneo</t>
  </si>
  <si>
    <t>Creature — Goblin Scout / Criatura — Goblin Batedor</t>
  </si>
  <si>
    <t>When this creature enters, target creature with power 2 or less can't be blocked this turn. / Quando Batedor Subterrâneo entra no campo de batalha, a criatura alvo com poder igual ou inferior a 2 não pode ser bloqueada neste turno.</t>
  </si>
  <si>
    <t>Bellows Lizard / Lagarto de Fole</t>
  </si>
  <si>
    <t>{1}{R}: This creature gets +1/+0 until end of turn. / {1}{R}: Lagarto de Fole recebe +1/+0 até o final do turno.</t>
  </si>
  <si>
    <t>Firefiend Elemental / Elemental Flamidemo</t>
  </si>
  <si>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</si>
  <si>
    <t>Prickleboar / Javali Espinhento</t>
  </si>
  <si>
    <t>During your turn, this creature gets +2/+0 and has first strike. (It deals combat damage before creatures without first strike.) / Enquanto for o seu turno, Javali Espinhento receberá +2/+0 e terá iniciativa. (Ele causa dano de combate antes das criaturas sem iniciativa.)</t>
  </si>
  <si>
    <t>Cobblebrute / Brutamontes Pedregoso</t>
  </si>
  <si>
    <t>Mage-Ring Bully / Rufião do Anel de Mago</t>
  </si>
  <si>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</si>
  <si>
    <t>Volcanic Rambler / Caminhante Vulcânico</t>
  </si>
  <si>
    <t>{2}{R}: This creature deals 1 damage to target player or planeswalker. / {2}{R}: Caminhante Vulcânico causa 1 ponto de dano ao jogador alvo.</t>
  </si>
  <si>
    <t>Boggart Brute / Papão Brutamontes</t>
  </si>
  <si>
    <t>Menace (This creature can't be blocked except by two or more creatures.) / Ameaçar (Esta criatura só pode ser bloqueada por duas ou mais criaturas.)</t>
  </si>
  <si>
    <t>Terror of the Fairgrounds / Terror da Feira</t>
  </si>
  <si>
    <t>Tenth Edition (10E)</t>
  </si>
  <si>
    <t>Underworld Rage-Hound / Sabujo Raivoso do Submundo</t>
  </si>
  <si>
    <t>Creature — Elemental Dog / Criatura — Elemental Sabujo</t>
  </si>
  <si>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</si>
  <si>
    <t>Borderland Marauder / Saqueador da Fronteira</t>
  </si>
  <si>
    <t>Whenever this creature attacks, it gets +2/+0 until end of turn. / Toda vez que Saqueador da Fronteira ataca, ele recebe +2/+0 até o final do turno.</t>
  </si>
  <si>
    <t>Canyon Minotaur / Minotauro do Desfiladeiro</t>
  </si>
  <si>
    <t>Creature — Minotaur Warrior / Criatura — Minotauro Guerreiro</t>
  </si>
  <si>
    <t>Bladetusk Boar / Javali Presa de Navalha</t>
  </si>
  <si>
    <t>Ghirapur Gearcrafter / Artesão Mecânico de Ghirapur</t>
  </si>
  <si>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</si>
  <si>
    <t>Satyr Rambler / Sátiro Errante</t>
  </si>
  <si>
    <t>Ripchain Razorkin</t>
  </si>
  <si>
    <t>Creature — Human Berserker</t>
  </si>
  <si>
    <t>Reach {2}{R}, Sacrifice a land: Draw a card.</t>
  </si>
  <si>
    <t>Wayward Giant / Gigante Errático</t>
  </si>
  <si>
    <t>Menace / Ameaçar</t>
  </si>
  <si>
    <t>Akroan Crusader / Cruzado Acrosano</t>
  </si>
  <si>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</si>
  <si>
    <t>Wild Celebrants / Celebrantes Selvagens</t>
  </si>
  <si>
    <t>When this creature enters, you may destroy target artifact. / Quando Celebrantes Selvagens entra no campo de batalha, você pode destruir o artefato alvo.</t>
  </si>
  <si>
    <t>Akroan Sergeant / Sargento Acrosano</t>
  </si>
  <si>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</si>
  <si>
    <t>Salivating Gremlins / Gremlins Salivantes</t>
  </si>
  <si>
    <t>Whenever an artifact you control enters, this creature gets +2/+0 and gains trample until end of turn. / Toda vez que um artefato entra no campo de batalha sob seu controle, Gremlins Salivantes recebe +2/+0 e ganha atropelar até o final do turno.</t>
  </si>
  <si>
    <t>Bloodmad Vampire / Vampira Sanguinsana</t>
  </si>
  <si>
    <t>Creature — Vampire Berserker / Criatura — Vampiro Amoque</t>
  </si>
  <si>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</si>
  <si>
    <t>Voldaren Duelist / Duelista Voldaren</t>
  </si>
  <si>
    <t>Haste When this creature enters, target creature can't block this turn. / Ímpeto Quando Duelista Voldaren entra no campo de batalha, a criatura alvo não pode bloquear neste turno.</t>
  </si>
  <si>
    <t>Goblin Trailblazer / Desbravador Goblin</t>
  </si>
  <si>
    <t>Menace (This creature can't be blocked except by two or more creatures.) / Ameaçar</t>
  </si>
  <si>
    <t>Rummaging Goblin / Goblin Escarafunchador</t>
  </si>
  <si>
    <t>{T}, Discard a card: Draw a card. / {T}, descarte um card: Compre um card.</t>
  </si>
  <si>
    <t>Reckless Brute / Brutamontes Inconsequente</t>
  </si>
  <si>
    <t>Creature — Ogre Warrior / Criatura — Ogre Guerreiro</t>
  </si>
  <si>
    <t>Haste (This creature can attack and {T} as soon as it comes under your control.) This creature attacks each combat if able. / Ímpeto (Esta criatura pode atacar e {T} assim que entra sob seu controle.) Brutamontes Inconsequente ataca a cada turno se estiver apto.</t>
  </si>
  <si>
    <t>Blisterspit Gremlin / Gremlin do Cuspe Corrosivo</t>
  </si>
  <si>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</si>
  <si>
    <t>Spireside Infiltrator / Infiltrador das Torres</t>
  </si>
  <si>
    <t>Whenever this creature becomes tapped, it deals 1 damage to each opponent. / Toda vez que Infiltrador das Torres é virado, ele causa 1 ponto de dano a cada oponente.</t>
  </si>
  <si>
    <t>Ruinous Gremlin / Gremlin Ruinoso</t>
  </si>
  <si>
    <t>{2}{R}, Sacrifice this creature: Destroy target artifact. / {2}{R}, Sacrifique Gremlin Ruinoso: Destrua o artefato alvo.</t>
  </si>
  <si>
    <t>Inferno Titan / Titã do Inferno</t>
  </si>
  <si>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</si>
  <si>
    <t>Village Messenger / Mensageira da Aldeia</t>
  </si>
  <si>
    <t>Haste At the beginning of each upkeep, if no spells were cast last turn, transform this creature. / Ímpeto No início de cada manutenção, se nenhuma mágica tiver sido conjurada no último turno, transforme Mensageira da Aldeia.</t>
  </si>
  <si>
    <t>Weaver of Lightning / Tecelão de Raios</t>
  </si>
  <si>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</si>
  <si>
    <t>Rubblebelt Recluse / Recluso da Faixa de Escombros</t>
  </si>
  <si>
    <t>Creature — Ogre Berserker / Criatura — Ogro Amoque</t>
  </si>
  <si>
    <t>This creature attacks each combat if able. / Recluso da Faixa de Escombros ataca a cada combate se estiver apto.</t>
  </si>
  <si>
    <t>Spikewheel Acrobat / Acrobata da Roda Espinhosa</t>
  </si>
  <si>
    <t>Spectacle {2}{R} (You may cast this spell for its spectacle cost rather than its mana cost if an opponent lost life this turn.) / Espetáculo {2}{R} (Você pode conjurar esta mágica por seu custo de espetáculo, em vez de seu custo de mana, se um oponente perdeu pontos de vida neste turno.)</t>
  </si>
  <si>
    <t>Feral Maaka / Maaka Feroz</t>
  </si>
  <si>
    <t>Impetuous Sunchaser / Perseguidor do Sol Impetuoso</t>
  </si>
  <si>
    <t>Flying, haste This creature attacks each combat if able. / Voar, ímpeto Perseguidor do Sol Impetuoso ataca a cada turno se estiver apto.</t>
  </si>
  <si>
    <t>Reckless Reveler / Orgíaco Imprudente</t>
  </si>
  <si>
    <t>{R}, Sacrifice this creature: Destroy target artifact. / {R}, Sacrifique Orgíaco Imprudente: Destrua o artefato alvo.</t>
  </si>
  <si>
    <t>Splatter Thug / Rufião Esguichador</t>
  </si>
  <si>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</si>
  <si>
    <t>Viashino Racketeer / Extorsionário Viashino</t>
  </si>
  <si>
    <t>When this creature enters, you may discard a card. If you do, draw a card. / Quando Extorsionário Viashino entra no campo de batalha, você pode descartar um card. Se fizer isso, compre um card.</t>
  </si>
  <si>
    <t>Deathbellow Raider / Salteador do Urro Mortal</t>
  </si>
  <si>
    <t>This creature attacks each combat if able. {2}{B}: Regenerate this creature. / Salteador do Urro Mortal ataca a cada turno se estiver apto. {2}{B}: Regenere Salteador do Urro Mortal.</t>
  </si>
  <si>
    <t>Lobber Crew / Equipe de Arremesso</t>
  </si>
  <si>
    <t>Defender {T}: This creature deals 1 damage to each opponent. Whenever you cast a multicolored spell, untap this creature. / Defensor {T}: Equipe de Arremesso causa 1 ponto de dano a cada oponente. Toda vez que você conjurar uma mágica multicolorida, desvire Equipe de Arremesso.</t>
  </si>
  <si>
    <t>Tenement Crasher / Invasor de Habitação</t>
  </si>
  <si>
    <t>Haste / Ímpeto</t>
  </si>
  <si>
    <t>Three Tree Scribe</t>
  </si>
  <si>
    <t>Whenever this creature or another creature you control leaves the battlefield without dying, put a +1/+1 counter on target creature you control.</t>
  </si>
  <si>
    <t>Great Teacher's Decree / Decreto do Grande Mestre</t>
  </si>
  <si>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</si>
  <si>
    <t>Unconventional Tactics / Táticas Não Convencionais</t>
  </si>
  <si>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</si>
  <si>
    <t>Excommunicate / Excomungar</t>
  </si>
  <si>
    <t>Sunlance / Lança Solar</t>
  </si>
  <si>
    <t>Sunlance deals 3 damage to target nonwhite creature. / Lança Solar causa 3 pontos de dano à criatura alvo que não seja branca.</t>
  </si>
  <si>
    <t>Sworn Companions / Companheiros Jurados</t>
  </si>
  <si>
    <t>Create two 1/1 white Soldier creature tokens with lifelink. / Crie duas fichas de criatura branca 1/1 do tipo Soldado com vínculo com a vida.</t>
  </si>
  <si>
    <t>Single Combat / Combate Isolado</t>
  </si>
  <si>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</si>
  <si>
    <t>Shoulder to Shoulder / Ombro a Ombro</t>
  </si>
  <si>
    <t>Support 2. (Put a +1/+1 counter on each of up to two target creatures.) Draw a card. / Suporte 2. (Coloque um marcador +1/+1 em cada uma de até duas criaturas alvo.) Compre um card.</t>
  </si>
  <si>
    <t>Cleansing Ray / Fúlmen Purificador</t>
  </si>
  <si>
    <t>Choose one — • Destroy target Vampire. • Destroy target enchantment. / Escolha um — • Destrua o Vampiro alvo. • Destrua o encantamento alvo.</t>
  </si>
  <si>
    <t>Healing Hands / Mãos Curativas</t>
  </si>
  <si>
    <t>Target player gains 4 life. Draw a card. / O jogador alvo ganha 4 pontos de vida.Compre um card.</t>
  </si>
  <si>
    <t>Kytheon's Tactics / Táticas de Quiteon</t>
  </si>
  <si>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</si>
  <si>
    <t>Immolating Glare / Fulgor Imolante</t>
  </si>
  <si>
    <t>Justiciar's Portal / Portal do Justiciar</t>
  </si>
  <si>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</si>
  <si>
    <t>Feat of Resistance / Demonstração de Resistência</t>
  </si>
  <si>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</si>
  <si>
    <t>Surge of Righteousness / Surto de Retidão</t>
  </si>
  <si>
    <t>Destroy target black or red creature that's attacking or blocking. You gain 2 life. / Destrua a criatura alvo preta ou vermelha que estiver atacando ou bloqueando. Você ganha 2 pontos de vida.</t>
  </si>
  <si>
    <t>Repel the Abominable / Repelir o Abominável</t>
  </si>
  <si>
    <t>Prevent all damage that would be dealt this turn by non-Human sources. / Previna todo o dano que seria causado neste turno por fontes que não sejam Humanos.</t>
  </si>
  <si>
    <t>Give No Ground / Não Ceder Terreno</t>
  </si>
  <si>
    <t>Target creature gets +2/+6 until end of turn and can block any number of creatures this turn. / A criatura alvo recebe +2/+6 até o final do turno e pode bloquear qualquer número de criaturas neste turno.</t>
  </si>
  <si>
    <t>Mighty Leap / Salto Poderoso</t>
  </si>
  <si>
    <t>Target creature gets +2/+2 and gains flying until end of turn. / A criatura alvo recebe +2/+2 e ganha voar até o final do turno. (Ela só pode ser bloqueada por criaturas com voar ou alcance.)</t>
  </si>
  <si>
    <t>Enshrouding Mist / Névoa Envolvente</t>
  </si>
  <si>
    <t>Target creature gets +1/+1 until end of turn. Prevent all damage that would be dealt to it this turn. If it's renowned, untap it. / A criatura alvo recebe +1/+1 até o final do turno. Previna todo o dano que seria causado a ela neste turno. Se ela for renomada, desvire-a.</t>
  </si>
  <si>
    <t>Slash of Talons / Ceifada de Garras</t>
  </si>
  <si>
    <t>Slash of Talons deals 2 damage to target attacking or blocking creature. / Ceifada de Garras causa 2 pontos de dano à criatura atacante ou bloqueadora alvo.</t>
  </si>
  <si>
    <t>Searing Light / Luz Cauterizante</t>
  </si>
  <si>
    <t>Destroy target attacking or blocking creature with power 2 or less. / Destrua a criatura atacante ou bloqueadora alvo com poder menor ou igual a 2.</t>
  </si>
  <si>
    <t>Take Heart / Tomar Coragem</t>
  </si>
  <si>
    <t>Target creature gets +2/+2 until end of turn. You gain 1 life for each attacking creature you control. / A criatura alvo recebe +2/+2 até o final do turno. Você ganha 1 ponto de vida para cada criatura atacante que você controla.</t>
  </si>
  <si>
    <t>Deicide / Deicídio</t>
  </si>
  <si>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</si>
  <si>
    <t>Humble the Brute / Humildade ao Bruto</t>
  </si>
  <si>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</si>
  <si>
    <t>Long Road Home / Longo Caminho para Casa</t>
  </si>
  <si>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</si>
  <si>
    <t>Alley Evasion / Evasão pelas Vielas</t>
  </si>
  <si>
    <t>Choose one — • Target creature you control gets +1/+2 until end of turn. • Return target creature you control to its owner's hand. / Escolha um — • A criatura alvo que você controla recebe +1/+2 até o final do turno. • Devolva a criatura alvo que você controla para a mão de seu dono.</t>
  </si>
  <si>
    <t>Decommission / Descomissionar</t>
  </si>
  <si>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</si>
  <si>
    <t>Defiant Strike / Golpe Desafiador</t>
  </si>
  <si>
    <t>Target creature gets +1/+0 until end of turn. Draw a card. / A criatura alvo recebe +1/+0 até o final do turno. Compre um card.</t>
  </si>
  <si>
    <t>Pressure Point / Ponto de Pressão</t>
  </si>
  <si>
    <t>Tap target creature. Draw a card. / Vire a criatura alvo. Compre um card.</t>
  </si>
  <si>
    <t>Divine Verdict / Veredito Divino</t>
  </si>
  <si>
    <t>Destroy target attacking or blocking creature. / Destrua a criatura atacante ou bloqueadora alvo.</t>
  </si>
  <si>
    <t>Grasp of the Hieromancer / Garra do Hieromante</t>
  </si>
  <si>
    <t>Enchant creature Enchanted creature gets +1/+1 and has "Whenever this creature attacks, tap target creature defending player controls." / Encantar criaturaA criatura encantada recebe +1/+1 e tem "Toda vez que esta criatura atacar, vire a criatura alvo que o jogador defensor controla."</t>
  </si>
  <si>
    <t>Faith Unbroken / Fé Intacta</t>
  </si>
  <si>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</si>
  <si>
    <t>Echoes of the Kin Tree / Ecos da Árvore de Família</t>
  </si>
  <si>
    <t>{2}{W}: Bolster 1. (Choose a creature with the least toughness among creatures you control and put a +1/+1 counter on it.) / {2}{W}: Revigorar 1. (Escolha uma criatura com a menor resistência entre as que você controla e coloque um marcador +1/+1 nela.)</t>
  </si>
  <si>
    <t>Brave the Sands / Resistir às Areias</t>
  </si>
  <si>
    <t>Creatures you control have vigilance. Each creature you control can block an additional creature each combat. / As criaturas que você controla têm vigilância. Cada criatura que você controla pode bloquear uma criatura adicional.</t>
  </si>
  <si>
    <t>Siegecraft / Montar Cerco</t>
  </si>
  <si>
    <t>Enchant creature Enchanted creature gets +2/+4. / Encantar criatura A criatura encantada recebe +2/+4.</t>
  </si>
  <si>
    <t>Candlelight Vigil / Vigília à Luz de Velas</t>
  </si>
  <si>
    <t>Enchant creature Enchanted creature gets +3/+2 and has vigilance. / Encantar criatura A criatura encantada recebe +3/+2 e tem vigilância.</t>
  </si>
  <si>
    <t>Chained to the Rocks / Acorrentado às Rochas</t>
  </si>
  <si>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</si>
  <si>
    <t>Peace of Mind / Paz de Espírito</t>
  </si>
  <si>
    <t>{W}, Discard a card: You gain 3 life. / {W}, Descarte um card: Você ganha 3 pontos de vida.</t>
  </si>
  <si>
    <t>Caught in the Brights / Pego pelos Holofotes</t>
  </si>
  <si>
    <t>Enchant creature Enchanted creature can't attack or block. When a Vehicle you control attacks, exile enchanted creature. / Encantar criatura A criatura encantada não pode atacar nem bloquear. Quando um Veículo que você controla atacar, exile a criatura encantada.</t>
  </si>
  <si>
    <t>Ninth Bridge Patrol / Patrulheiro da Nona Ponte</t>
  </si>
  <si>
    <t>Creature — Dwarf Soldier / Criatura — Anão Soldado</t>
  </si>
  <si>
    <t>Whenever another creature you control leaves the battlefield, put a +1/+1 counter on this creature. / Toda vez que outra criatura que você controla deixar o campo de batalha, coloque um marcador +1/+1 em Patrulheiro da Nona Ponte.</t>
  </si>
  <si>
    <t>Eddytrail Hawk / Falcão Turbilhonante</t>
  </si>
  <si>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</si>
  <si>
    <t>Cartouche of Solidarity / Cártula da Solidariedade</t>
  </si>
  <si>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</si>
  <si>
    <t>Dreadful Apathy / Apatia Pavorosa</t>
  </si>
  <si>
    <t>Enchant creature Enchanted creature can't attack or block. {2}{W}: Exile enchanted creature. / Encantar criatura A criatura encantada não pode atacar nem bloquear. {2}{W}: Exile a criatura encantada.</t>
  </si>
  <si>
    <t>Isolation Zone / Zona de Isolamento</t>
  </si>
  <si>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</si>
  <si>
    <t>Suppression Bonds / Correntes de Supressão</t>
  </si>
  <si>
    <t>Enchant nonland permanent Enchanted permanent can't attack or block, and its activated abilities can't be activated. / Encantar permanente que não seja terrenoA permanente encantada não pode atacar nem bloquear e suas habilidades ativadas não podem ser ativadas.</t>
  </si>
  <si>
    <t>Compulsory Rest / Descanso Compulsório</t>
  </si>
  <si>
    <t>Enchant creature Enchanted creature can't attack or block. Enchanted creature has "{2}, Sacrifice this creature: You gain 2 life." / Encantar criatura A criatura encantada não pode atacar nem bloquear. A criatura encantada tem "{2}, Sacrifique esta criatura: Você ganha 2 pontos de vida."</t>
  </si>
  <si>
    <t>Squire's Devotion / Devoção da Escudeira</t>
  </si>
  <si>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</si>
  <si>
    <t>Luminous Bonds / Amarras Luminosas</t>
  </si>
  <si>
    <t>Conviction / Convicção</t>
  </si>
  <si>
    <t>Enchant creature Enchanted creature gets +1/+3. {W}: Return this Aura to its owner's hand. / Encantar criatura A criatura encantada recebe +1/+3. {W}: Devolva Convicção para a mão de seu dono.</t>
  </si>
  <si>
    <t>Restoration Specialist / Especialista em Restauração</t>
  </si>
  <si>
    <t>Creature — Dwarf Artificer / Criatura — Anão Artesão</t>
  </si>
  <si>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</si>
  <si>
    <t>Skyblade of the Legion / Lâmina Celeste da Legião</t>
  </si>
  <si>
    <t>Paladin of the Bloodstained / Paladina da Mancha-de-Sangue</t>
  </si>
  <si>
    <t>When this creature enters, create a 1/1 white Vampire creature token with lifelink. / Quando Paladina da Mancha-de-Sangue entrar no campo de batalha, crie uma ficha de criatura branca 1/1 do tipo Vampiro com vínculo com a vida.</t>
  </si>
  <si>
    <t>Exultant Skymarcher / Marchadora Celeste Exultante</t>
  </si>
  <si>
    <t>Expedition Raptor / Raptor da Expedição</t>
  </si>
  <si>
    <t>Flying When this creature enters, support 2. (Put a +1/+1 counter on each of up to two other target creatures.) / Voar Quando Raptor da Expedição entrar no campo de batalha, suporte 2. (Coloque um marcador +1/+1 em cada uma de até duas outras criaturas alvo.)</t>
  </si>
  <si>
    <t>Apothecary Geist / Geist Apotecário</t>
  </si>
  <si>
    <t>Flying When this creature enters, if you control another Spirit, you gain 3 life. / Voar Quando Geist Apotecário entra no campo de batalha, se você controlar outro Espírito, você ganha 3 pontos de vida.</t>
  </si>
  <si>
    <t>Moorland Drifter / Errante da Charneca</t>
  </si>
  <si>
    <t>Delirium — This creature has flying as long as there are four or more card types among cards in your graveyard. / Delírio — Errante da Charneca terá voar enquanto houver quatro ou mais tipos de card entre os cards de seu cemitério.</t>
  </si>
  <si>
    <t>Tenth District Guard / Guarda do Décimo Distrito</t>
  </si>
  <si>
    <t>When this creature enters, target creature gets +0/+1 until end of turn. / Quando Guarda do Décimo Distrito entra no campo de batalha, a criatura alvo recebe +0/+1 até o final do turno.</t>
  </si>
  <si>
    <t>Topplegeist / Geist Desordeiro</t>
  </si>
  <si>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</si>
  <si>
    <t>Wardscale Dragon / Dragão de Escama Defletora</t>
  </si>
  <si>
    <t>Flying As long as this creature is attacking, defending player can't cast spells. / Voar Enquanto Dragão de Escama Defletora estiver atacando, o jogador defensor não poderá conjurar mágicas.</t>
  </si>
  <si>
    <t>Abzan Battle Priest / Sacerdote de Batalha Abzan</t>
  </si>
  <si>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</si>
  <si>
    <t>Abzan Falconer / Falcoeiro Abzan</t>
  </si>
  <si>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</si>
  <si>
    <t>Subjugator Angel / Anjo Subjugador</t>
  </si>
  <si>
    <t>Flying When this creature enters, tap all creatures your opponents control. / Voar Quando Anjo Subjugador entrar no campo de batalha, vire todas as criaturas que seus oponentes controlam.</t>
  </si>
  <si>
    <t>Courageous Outrider / Vanguardeira Corajosa</t>
  </si>
  <si>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</si>
  <si>
    <t>Drogskol Shieldmate / Escudeira Drogskol</t>
  </si>
  <si>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</si>
  <si>
    <t>Audacious Infiltrator / Infiltrador Audacioso</t>
  </si>
  <si>
    <t>This creature can't be blocked by artifact creatures. / Infiltrador Audacioso não pode ser bloqueado por criaturas artefato.</t>
  </si>
  <si>
    <t>Dawnfeather Eagle / Águia-pena-d'aurora</t>
  </si>
  <si>
    <t>Flying When this creature enters, creatures you control get +1/+1 and gain vigilance until end of turn. / Voar Quando Águia-pena-d'aurora entra no campo de batalha, as criaturas que você controla recebem +1/+1 e ganham vigilância até o final do turno.</t>
  </si>
  <si>
    <t>Jeskai Student / Estudante Jeskai</t>
  </si>
  <si>
    <t>Kor Castigator / Castigador Kor</t>
  </si>
  <si>
    <t>Creature — Kor Wizard Ally / Criatura — Kor Mago Aliado</t>
  </si>
  <si>
    <t>This creature can't be blocked by Eldrazi Scions. / Castigador Kor não pode ser bloqueado por Rebentos Eldrazi.</t>
  </si>
  <si>
    <t>Courier Griffin / Grifo Mensageiro</t>
  </si>
  <si>
    <t>Flying When this creature enters, you gain 2 life. / VoarQuando Grifo Mensageiro entra no campo de batalha, você ganha 2 pontos de vida.</t>
  </si>
  <si>
    <t>Daring Skyjek / Aerojek Audaz</t>
  </si>
  <si>
    <t>Battalion — Whenever this creature and at least two other creatures attack, this creature gains flying until end of turn. / Batalhão — Toda vez que Aerojek Audaz e pelo menos duas outras criaturas atacarem, Aerojek Audaz ganhará voar até o final do turno.</t>
  </si>
  <si>
    <t>Knight of Sorrows / Cavaleira dos Pesares</t>
  </si>
  <si>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</si>
  <si>
    <t>Prowling Caracal / Caracal Espreitador</t>
  </si>
  <si>
    <t>Syndicate Messenger / Mensageiro do Sindicato</t>
  </si>
  <si>
    <t>Flying Afterlife 1 (When this creature dies, create a 1/1 white and black Spirit creature token with flying.) / Voar Pós-vida 1 (Quando esta criatura morrer, crie uma ficha de criatura branca e preta 1/1 do tipo Espírito com voar.)</t>
  </si>
  <si>
    <t>Impassioned Orator / Orador Exaltado</t>
  </si>
  <si>
    <t>Whenever another creature you control enters, you gain 1 life. / Toda vez que outra criatura entra no campo de batalha sob o seu controle, você ganha 1 ponto de vida.</t>
  </si>
  <si>
    <t>Alabaster Kirin / Kirin de Alabastro</t>
  </si>
  <si>
    <t>Sidewinder Sliver / Fractius Víbora-cornuda</t>
  </si>
  <si>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</si>
  <si>
    <t>Shade of Trokair / Sombra de Trokair</t>
  </si>
  <si>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</si>
  <si>
    <t>Charging Griffin / Grifo Atacante</t>
  </si>
  <si>
    <t>Flying (This creature can't be blocked except by creatures with flying or reach.) Whenever this creature attacks, it gets +1/+1 until end of turn. / VoarToda vez que Grifo Atacante ataca, ele recebe +1/+1 até o final do turno.</t>
  </si>
  <si>
    <t>Aven Battle Priest / Sacerdote de Batalha Aviano</t>
  </si>
  <si>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</si>
  <si>
    <t>Graceblade Artisan / Artesão da Lâmina Graciosa</t>
  </si>
  <si>
    <t>This creature gets +2/+2 for each Aura attached to it. / Artesão da Lâmina Graciosa recebe +2/+2 para cada Aura anexada a ele.</t>
  </si>
  <si>
    <t>Consul's Lieutenant / Tenente do Cônsul</t>
  </si>
  <si>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</si>
  <si>
    <t>Enlightened Ascetic / Asceta Iluminada</t>
  </si>
  <si>
    <t>Creature — Cat Monk / Criatura — Felino Monge</t>
  </si>
  <si>
    <t>When this creature enters, you may destroy target enchantment. / Quando Asceta Iluminada entra no campo de batalha, você pode destruir o encantamento alvo.</t>
  </si>
  <si>
    <t>Sage-Eye Harrier / Falcão do Olho Sábio</t>
  </si>
  <si>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</si>
  <si>
    <t>Herald of the Fair / Arauto da Feira</t>
  </si>
  <si>
    <t>When this creature enters, target creature you control gets +1/+1 until end of turn. / Quando Arauto da Feira entra no campo de batalha, a criatura alvo que você controla recebe +1/+1 até o final do turno.</t>
  </si>
  <si>
    <t>Cliffside Lookout / Vigia da Beira do Penhasco</t>
  </si>
  <si>
    <t>Creature — Kor Scout Ally / Criatura — Kor Batedor Aliado</t>
  </si>
  <si>
    <t>{4}{W}: Creatures you control get +1/+1 until end of turn. / {4}{W}: As criaturas que você controla recebem +1/+1 até o final do turno.</t>
  </si>
  <si>
    <t>Bastion Enforcer / Impositora do Bastião</t>
  </si>
  <si>
    <t>Steadfast Cathar / Cátaro Resoluto</t>
  </si>
  <si>
    <t>Whenever this creature attacks, it gets +0/+2 until end of turn. / Toda vez que Cátaro Resoluto ataca, ele recebe +0/+2 até o final do turno.</t>
  </si>
  <si>
    <t>Topan Freeblade / Franco-espadachim Topaniano</t>
  </si>
  <si>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</si>
  <si>
    <t>Dragon Hunter / Caçador de Dragões</t>
  </si>
  <si>
    <t>Protection from Dragons This creature can block Dragons as though it had reach. / Proteção contra Dragões Caçador de Dragões pode bloquear Dragões como se tivesse alcance.</t>
  </si>
  <si>
    <t>D'Avenant Trapper / Armadilheira D'Avenant</t>
  </si>
  <si>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</si>
  <si>
    <t>Wandering Champion / Campeão Errante</t>
  </si>
  <si>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</si>
  <si>
    <t>Kitesail Scout / Batedor Aerovelista</t>
  </si>
  <si>
    <t>Mardu Hordechief / Chefe da Horda Mardu</t>
  </si>
  <si>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</si>
  <si>
    <t>Loxodon Restorer / Loxodonte Restaurador</t>
  </si>
  <si>
    <t>Creature — Elephant Cleric / Criatura — Elefante Clérigo</t>
  </si>
  <si>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</si>
  <si>
    <t>Civic Stalwart / Defensor Cívico</t>
  </si>
  <si>
    <t>When this creature enters, creatures you control get +1/+1 until end of turn. / Quando Defensor Cívico entra no campo de batalha, as criaturas que você controla recebem +1/+1 até o final do turno.</t>
  </si>
  <si>
    <t>Kor Sky Climber / Alpinista Celeste Kor</t>
  </si>
  <si>
    <t>Creature — Kor Soldier Ally / Criatura — Kor Soldado Aliado</t>
  </si>
  <si>
    <t>{1}{W}: This creature gains flying until end of turn. / {1}{W}: Alpinista Celeste Kor ganha voar até o final do turno.</t>
  </si>
  <si>
    <t>Shadow Glider / Planador das Sombras</t>
  </si>
  <si>
    <t>Creature — Kor Soldier / Criatura — Kor Soldado</t>
  </si>
  <si>
    <t>Sun Sentinel / Sentinela Solar</t>
  </si>
  <si>
    <t>Vigilance (Attacking doesn't cause this creature to tap.) / Vigilância (Esta criatura não é virada para atacar.)</t>
  </si>
  <si>
    <t>Countless Gears Renegade / Renegada das Engrenagens Incontáveis</t>
  </si>
  <si>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</si>
  <si>
    <t>Sanguine Glorifier / Glorificadora Sanguínea</t>
  </si>
  <si>
    <t>When this creature enters, put a +1/+1 counter on another target Vampire you control. / Quando Glorificadora Sanguínea entrar no campo de batalha, coloque um marcador +1/+1 em outro Vampiro alvo que você controla.</t>
  </si>
  <si>
    <t>Cleric of the Forward Order / Clérigo da Ordem Avançada</t>
  </si>
  <si>
    <t>When this creature enters, you gain 2 life for each creature you control named Cleric of the Forward Order. / Quando Clérigo da Ordem Avançada entra no campo de batalha, você ganha 2 pontos de vida para cada criatura que você controla com o nome Clérigo da Ordem Avançada.</t>
  </si>
  <si>
    <t>Akroan Jailer / Carcereiro Acrosano</t>
  </si>
  <si>
    <t>{2}{W}, {T}: Tap target creature. / {2}{W}, {T}: Vire a criatura alvo.</t>
  </si>
  <si>
    <t>Haazda Officer / Oficial de Haazda</t>
  </si>
  <si>
    <t>When this creature enters, target creature you control gets +1/+1 until end of turn. / Quando Oficial de Haazda entra no campo de batalha, a criatura alvo que você controla recebe +1/+1 até o final do turno.</t>
  </si>
  <si>
    <t>Heavy Infantry / Infantaria Pesada</t>
  </si>
  <si>
    <t>When this creature enters, tap target creature an opponent controls. / Quando Infantaria Pesada entrar no campo de batalha, vire a criatura alvo que um oponente controla.</t>
  </si>
  <si>
    <t>Geist of the Lonely Vigil / Geist da Vigia Solitária</t>
  </si>
  <si>
    <t>Creature — Spirit Cleric / Criatura — Espírito Clérigo</t>
  </si>
  <si>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</si>
  <si>
    <t>Yoked Ox / Boi Jungido</t>
  </si>
  <si>
    <t>Creature — Ox / Criatura — Boi</t>
  </si>
  <si>
    <t>Knight of the Pilgrim's Road / Cavaleiro da Estrada dos Peregrinos</t>
  </si>
  <si>
    <t>Renown 1 (When this creature deals combat damage to a player, if it isn't renowned, put a +1/+1 counter on it and it becomes renowned.) / Renome 1 (Quando esta criatura causar dano de combate a um jogador, se ela não for renomada, coloque um marcador +1/+1 nela e ela se tornará renomada.)</t>
  </si>
  <si>
    <t>Affa Protector / Protetor de Affa</t>
  </si>
  <si>
    <t>Vigilance / Vigilância</t>
  </si>
  <si>
    <t>Stalwart Aven / Defensor Aviano</t>
  </si>
  <si>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</si>
  <si>
    <t>Auramancer / Auramante</t>
  </si>
  <si>
    <t>When this creature enters, you may return target enchantment card from your graveyard to your hand. / Quando Auramante entra no campo de batalha, você pode devolver o card de encantamento alvo de seu cemitério para sua mão.</t>
  </si>
  <si>
    <t>War Oracle / Oráculo da Guerra</t>
  </si>
  <si>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</si>
  <si>
    <t>Kor Scythemaster / Mestre das Foice Kor</t>
  </si>
  <si>
    <t>This creature has first strike as long as it's attacking. / Mestre das Foice Kor tem iniciativa enquanto estiver atacando.</t>
  </si>
  <si>
    <t>Oracle's Attendants / Ajudantes do Oráculo</t>
  </si>
  <si>
    <t>Creature — Human Soldier / Criatura — Soldado Humano</t>
  </si>
  <si>
    <t>{T}: All damage that would be dealt to target creature this turn by a source of your choice is dealt to this creature instead. / {T}: Todo o dano que seria causado à criatura alvo neste turno por uma fonte a sua escolha, em vez disso, é causado a Ajudantes do Oráculo.</t>
  </si>
  <si>
    <t>Samite Healer / Curandeiro Samita</t>
  </si>
  <si>
    <t>{T}: Prevent the next 1 damage that would be dealt to any target this turn. / {T}: Previne o próximo 1 ponto de dano que seria causado à criatura ou ao jogador alvo neste turno.</t>
  </si>
  <si>
    <t>Personal Incarnation / Encarnação Pessoal</t>
  </si>
  <si>
    <t>Creature — Avatar Incarnation</t>
  </si>
  <si>
    <t>{0}: The next 1 damage that would be dealt to this creature this turn is dealt to its owner instead. Only this creatures owner may activate this ability. When this creature dies, its owner loses half their life, rounded up.</t>
  </si>
  <si>
    <t>{3}{W}{W}{W}</t>
  </si>
  <si>
    <t>Farrelite Priest</t>
  </si>
  <si>
    <t>Criatura — Clérigo / Summon Cleric</t>
  </si>
  <si>
    <t>{1}: Add {W} to your mana pool. Play this ability as an interrupt. If more than 3 is spent in this way during one turn, bury Farrelite Priest at end of turn.</t>
  </si>
  <si>
    <t>Icatian Skirmishers</t>
  </si>
  <si>
    <t>Criatura — Soldados / Summon Soldiers</t>
  </si>
  <si>
    <t>Bands, first strike. All creatures that band with Skirmishers to attack gain first strike until end of turn.</t>
  </si>
  <si>
    <t>Abutres Osai / Osai Vultures</t>
  </si>
  <si>
    <t>Invocação de Abutres / Summon Vultures</t>
  </si>
  <si>
    <t>Voador. Coloque um marcador de carniça sobre os Abutres no fim de cada turno no qual uma criatura saiu de jogo e foi para o cemitério. {0}: Remova dois marcadores de carniça para que os Abutres ganhem +1/+1 até o final do turno.</t>
  </si>
  <si>
    <t>Icatian Moneychanger</t>
  </si>
  <si>
    <t>Criatura — Povo da Cidade / Summon Townsfolk</t>
  </si>
  <si>
    <t>Moneychanger deals 3 damage to you when summoned; put three credit counters on Moneychanger at that time. During your upkeep, put one credit counter on Moneychanger. {0}: Sacrifice Moneychanger to gain 1 life for each credit counter on it. Use this ability only during your upkeep.</t>
  </si>
  <si>
    <t>Pégaso de Meseta / Mesa Pegasus</t>
  </si>
  <si>
    <t>Invocação de Pégaso / Summon Pegasus</t>
  </si>
  <si>
    <t>Voador, Forma Bando</t>
  </si>
  <si>
    <t>Icatian Infantry</t>
  </si>
  <si>
    <t>{1}: Bands until end of turn. {1}: First strike until end of turn.</t>
  </si>
  <si>
    <t>Curandeiro Samita / Samite Healer</t>
  </si>
  <si>
    <t>Invocação de Clérigo / Summon Cleric</t>
  </si>
  <si>
    <t>{T}: Evita 1 ponto de dano em qualquer jogador ou criatura.</t>
  </si>
  <si>
    <t>Combat Medic</t>
  </si>
  <si>
    <t>Creature — Human Cleric Soldier</t>
  </si>
  <si>
    <t>{1}{W}: Prevent the next 1 damage that would be dealt to any target this turn.</t>
  </si>
  <si>
    <t>Farrel's Zealot</t>
  </si>
  <si>
    <t>Whenever this creature attacks and isn't blocked, you may have it deal 3 damage to target creature. If you do, this creature assigns no combat damage this turn.</t>
  </si>
  <si>
    <t>Icatian Phalanx / Falange Icatiana</t>
  </si>
  <si>
    <t>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</si>
  <si>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{W}, {T}: This creature gets +0/+3 until end of turn.</t>
  </si>
  <si>
    <t>Poção Alabastrina / Alabaster Potion</t>
  </si>
  <si>
    <t>Dá X pontos de vida ao jogador-alvo ou evita X pontos de dano em qualquer jogador ou criatura.</t>
  </si>
  <si>
    <t>{X}{W}{W}</t>
  </si>
  <si>
    <t>Bálsamo Restaurador / Healing Salve</t>
  </si>
  <si>
    <t>Dá 3 pontos de vida ao jogador-alvo ou evita até 3 pontos de dano em qualquer jogador ou criatura.</t>
  </si>
  <si>
    <t>Keepers of the Faith</t>
  </si>
  <si>
    <t>Akron Legionnaire</t>
  </si>
  <si>
    <t>Criatura — Legionário / Summon Legionnaire</t>
  </si>
  <si>
    <t>Except for Akron Legionnaires, non-artifact creatures you control cannot attack.</t>
  </si>
  <si>
    <t>D'Avenant Archer / Arqueiro DíAvenant</t>
  </si>
  <si>
    <t>Creature — Human Soldier Archer</t>
  </si>
  <si>
    <t>{T}: This creature deals 1 damage to target attacking or blocking creature.</t>
  </si>
  <si>
    <t>Veteran Bodyguard</t>
  </si>
  <si>
    <t>As long as this creature is untapped, all damage that would be dealt to you by unblocked creatures is dealt to this creature instead.</t>
  </si>
  <si>
    <t>Mesa Pegasus / Pégasso de Meseta</t>
  </si>
  <si>
    <t>Creature — Pegasus</t>
  </si>
  <si>
    <t>Flying; 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</si>
  <si>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White Knight / Cavaleiro Branco</t>
  </si>
  <si>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</si>
  <si>
    <t>Serra Angel</t>
  </si>
  <si>
    <t>Criatura — Anjo / Summon Angel</t>
  </si>
  <si>
    <t>Flying. Attacking does not cause Serra Angel to tap.</t>
  </si>
  <si>
    <t>Circle of Protection: Blue / Círculo de Proteção: Azul</t>
  </si>
  <si>
    <t>{1}: The next time a blue source of your choice would deal damage to you this turn, prevent that damage. / {1}: Na próxima vez em que uma fonte azul a sua escolha lhe fosse causar dano neste turno, previna aquele dano.</t>
  </si>
  <si>
    <t>{1}: The next time a white source of your choice would deal damage to you this turn, prevent that damage. / {1}: Na próxima vez em que uma fonte branca a sua escolha lhe fosse causar dano neste turno, previna aquele dano.</t>
  </si>
  <si>
    <t>Lance</t>
  </si>
  <si>
    <t>Enchant creature Enchanted creature has first strike.</t>
  </si>
  <si>
    <t>Guardian Angel</t>
  </si>
  <si>
    <t>Prevent the next X damage that would be dealt to any target this turn. Until end of turn, you may pay {1} any time you could cast an instant. If you do, prevent the next 1 damage that would be dealt to that permanent or player this turn.</t>
  </si>
  <si>
    <t>{X}{W}</t>
  </si>
  <si>
    <t>Castle / Castelo</t>
  </si>
  <si>
    <t>Untapped creatures you control get +0/+2.</t>
  </si>
  <si>
    <t>Holy Strength / Força Divina</t>
  </si>
  <si>
    <t>Enchant creature Enchanted creature gets +1/+2. / Encantar criatura A criatura encantada recebe +1/+2.</t>
  </si>
  <si>
    <t>Enchant creature Enchanted creature gets +0/+2. {W}: Enchanted creature gets +0/+1 until end of turn.</t>
  </si>
  <si>
    <t>Força Divina / Divine Strength</t>
  </si>
  <si>
    <t>A criatura-alvo ganha +1/+2.</t>
  </si>
  <si>
    <t>Indestructible Aura</t>
  </si>
  <si>
    <t>Prevent all damage that would be dealt to target creature this turn.</t>
  </si>
  <si>
    <t>Purelace</t>
  </si>
  <si>
    <t>Mágica de Interrupção / Interrupt</t>
  </si>
  <si>
    <t>Changes the color of one card either being played or already in play to white. Cost to cast, tap, maintain, or use a special ability of target card remains entirely unchanged.</t>
  </si>
  <si>
    <t>Wall of Resistance / Barreira de Resistência</t>
  </si>
  <si>
    <t>Defender (This creature can't attack.) Flying At the beginning of each end step, if this creature was dealt damage this turn, put a +0/+1 counter on it.</t>
  </si>
  <si>
    <t>Mtenda Herder</t>
  </si>
  <si>
    <t>Criatura — Escoteiro / Summon Scout</t>
  </si>
  <si>
    <t>Flanking (Whenever a creature without flanking is assigned to block this creature, the blocking creature gets -1/-1 until end of turn.)</t>
  </si>
  <si>
    <t>Teremko Griffin</t>
  </si>
  <si>
    <t>Criatura — Grifo / Summon Griffin</t>
  </si>
  <si>
    <t>Banding, flying</t>
  </si>
  <si>
    <t>Femeref Knight / Cavaleiro de Femeref</t>
  </si>
  <si>
    <t>Flanking (Whenever a creature without flanking blocks this creature, the blocking creature gets -1/-1 until end of turn.) {W}: This creature gains vigilance until end of turn.</t>
  </si>
  <si>
    <t>Ivory Charm / Medalhão de Marfim</t>
  </si>
  <si>
    <t>Choose one — • All creatures get -2/-0 until end of turn. • Tap target creature. • Prevent the next 1 damage that would be dealt to any target this turn.</t>
  </si>
  <si>
    <t>Healing Salve</t>
  </si>
  <si>
    <t>Target player gains 3 life, or prevent up to 3 damage to any creature or player.</t>
  </si>
  <si>
    <t>Blue Scarab</t>
  </si>
  <si>
    <t>Target creature gets +2/+2 as long as any opponent controls any blue cards. That creature cannot be blocked by blue creatures.</t>
  </si>
  <si>
    <t>Kelsinko Ranger</t>
  </si>
  <si>
    <t>Criatura — Guardião / Summon Ranger</t>
  </si>
  <si>
    <t>{1}{W}: Target green creature gains first strike until end of turn.</t>
  </si>
  <si>
    <t>Armor of Faith</t>
  </si>
  <si>
    <t>Target creature gets +1/+1. {W}: Creature Armor of Faith enchants gets +0/+1 until end of turn.</t>
  </si>
  <si>
    <t>Shield Bearer</t>
  </si>
  <si>
    <t>Blinking Spirit</t>
  </si>
  <si>
    <t>Criatura — Espírito / Summon Blinking Spirit</t>
  </si>
  <si>
    <t>{0}: Return Blinking Spirit to owner's hand.</t>
  </si>
  <si>
    <t>Reason // Believe / Razão // Acreditar</t>
  </si>
  <si>
    <t>Reason: Scry 3. // Believe: Aftermath (Cast this spell only from your graveyard. Then exile it.) Look at the top card of your library. You may put it onto the battlefield if it's a creature card. If you don't, put it into your hand. / Vidência 3.</t>
  </si>
  <si>
    <t>{U} // {4}{G}</t>
  </si>
  <si>
    <t>Borderland Ranger / Patrulheiro de Fronteira</t>
  </si>
  <si>
    <t>Creature — Human Scout Ranger / Criatura — Humano Batedor</t>
  </si>
  <si>
    <t>When this creature enters, you may search your library for a basic land card, reveal it, put it into your hand, then shuffle. / Quando Patrulheiro de Fronteira entra no campo de batalha, você pode procurar um card de terreno básico em seu grimório, revelá-lo e colocá-lo em sua mão. Se fizer isso, embaralhe seu grimório.</t>
  </si>
  <si>
    <t>Protean Hydra / Hidra Proteica</t>
  </si>
  <si>
    <t>This creature enters with X +1/+1 counters on it. If damage would be dealt to this creature, prevent that damage and remove that many +1/+1 counters from it. Whenever a +1/+1 counter is removed from this creature, put two +1/+1 counters on it at the beginning of the next end step. / Hidra Proteica entra no campo de batalha com X marcadores +1/+1 sobre ela. Se algum dano seria causado a Hidra Proteica, previna aquele dano e remova dela uma quantidade igual de marcadores +1/+1. Toda vez que um marcador +1/+1 for removido de Hidra Proteica, coloque dois marcadores +1/+1 sobre ela no início da próxima etapa final.</t>
  </si>
  <si>
    <t>Vorme Crepuscular / Twilight Wurm</t>
  </si>
  <si>
    <t>Criatura — Vorme / Creature — Wurm</t>
  </si>
  <si>
    <t>Atropelar / Trample</t>
  </si>
  <si>
    <t>Primal Bellow / Urro Primordial</t>
  </si>
  <si>
    <t>Target creature gets +1/+1 until end of turn for each Forest you control. / A criatura alvo recebe +1/+1 até o final do turno para cada Floresta que você controla.</t>
  </si>
  <si>
    <t>Wild Instincts / Instintos Selvagens</t>
  </si>
  <si>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</si>
  <si>
    <t>Avid Reclaimer / Reivindicadora Ávida</t>
  </si>
  <si>
    <t>{T}: Add {G} or {U}. If you control a Nissa planeswalker, you gain 2 life. / {T}: Adicione {G} ou {U} à sua reserva de mana. Se você controla uma planeswalker Nissa, você ganha 2 pontos de vida.</t>
  </si>
  <si>
    <t>Devotee of Strength / Devoto da Força</t>
  </si>
  <si>
    <t>Creature — Snake Wizard / Criatura — Naga Mago</t>
  </si>
  <si>
    <t>{4}{G}: Target creature gets +2/+2 until end of turn. / {4}{G}: A criatura alvo recebe +2/+2 até o final do turno.</t>
  </si>
  <si>
    <t>Highway Robber / Saltimbancos</t>
  </si>
  <si>
    <t>When this creature enters, target opponent loses 2 life and you gain 2 life. / Quando Saltimbancos entra em jogo, você ganha 2 pontos de vida e o oponente alvo perde 2 pontos de vida.</t>
  </si>
  <si>
    <t>Snake</t>
  </si>
  <si>
    <t>Token de Criatura — Cobra / Token Creature — Snake</t>
  </si>
  <si>
    <t>Ficha / Token</t>
  </si>
  <si>
    <t>Burning-Fist Minotaur / Minotauro do Punho Flamejante</t>
  </si>
  <si>
    <t>Creature — Minotaur Wizard / Criatura — Minotauro Mago</t>
  </si>
  <si>
    <t>First strike {1}{R}, Discard a card: This creature gets +2/+0 until end of turn. / Iniciativa {1}{R}, descarte um card: Minotauro do Punho Flamejante recebe +2/+0 até o final do turno.</t>
  </si>
  <si>
    <t>Farm // Market / Plantar // Vender</t>
  </si>
  <si>
    <t>Farm: Destroy target attacking or blocking creature. // Market: Aftermath (Cast this spell only from your graveyard. Then exile it.) Draw two cards, then discard two cards. / Destrua a criatura atacante ou bloqueadora alvo.</t>
  </si>
  <si>
    <t>{2}{W} // {2}{U}</t>
  </si>
  <si>
    <t>Granitic Titan / Titã Granítico</t>
  </si>
  <si>
    <t>Menace Cycling {2} ({2}, Discard this card: Draw a card.) / Ameaçar Reciclar {2} ({2}, descarte este card: Compre um card.)</t>
  </si>
  <si>
    <t>Ruin Rat / Rato da Ruína</t>
  </si>
  <si>
    <t>Creature — Rat / Criatura — Rato</t>
  </si>
  <si>
    <t>Deathtouch When this creature dies, exile target card from an opponent's graveyard. / Toque mortífero Quando Rato da Ruína morrer, exile o card alvo do cemitério de um oponente.</t>
  </si>
  <si>
    <t>Pouncing Cheetah / Guepardo Saltador</t>
  </si>
  <si>
    <t>Flash / Lampejo</t>
  </si>
  <si>
    <t>Sinuous Striker / Golpeadora Sinuosa</t>
  </si>
  <si>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</si>
  <si>
    <t>Proven Combatant / Combatente Incontestável</t>
  </si>
  <si>
    <t>Eternalize {4}{U}{U} ({4}{U}{U}, Exile this card from your graveyard: Create a token that's a copy of it, except it's a 4/4 black Zombie Human Warrior with no mana cost. Eternalize only as a sorcery.) / Eternizar {4}{U}{U} ({4}{U}{U}, exile este card de seu cemitério: Crie uma ficha que seja uma cópia dele, com a exceção de ser um Zumbi Humano Guerreiro preto 4/4 sem custo de mana. Eternize somente como um feitiço.)</t>
  </si>
  <si>
    <t>Marauding Boneslasher / Talha-ossos Saqueador</t>
  </si>
  <si>
    <t>Creature — Zombie Minotaur / Criatura — Zumbi Minotauro</t>
  </si>
  <si>
    <t>This creature can't block unless you control another Zombie. / Talha-ossos Saqueador não pode bloquear, a menos que você controle outro Zumbi.</t>
  </si>
  <si>
    <t>Puncturing Blow / Golpe Perfurante</t>
  </si>
  <si>
    <t>Puncturing Blow deals 5 damage to target creature. If that creature would die this turn, exile it instead. / Golpe Perfurante causa 5 pontos de dano à criatura alvo. Se aquela criatura for morrer neste turno, em vez disso, exile-a.</t>
  </si>
  <si>
    <t>Rhonas's Monument / Monumento de Rhonas</t>
  </si>
  <si>
    <t>Green creature spells you cast cost {1} less to cast. Whenever you cast a creature spell, target creature you control gets +2/+2 and gains trample until end of turn. / As mágicas de criatura verdes que você conjura custam {1} a menos para serem conjuradas. Toda vez que você conjura uma mágica de criatura, a criatura alvo que você controla recebe +2/+2 e ganha atropelar até o final do turno.</t>
  </si>
  <si>
    <t>Dreamstealer / Rouba-sonhos</t>
  </si>
  <si>
    <t>Menace Whenever this creature deals combat damage to a player, that player discards that many cards. Eternalize {4}{B}{B} ({4}{B}{B}, Exile this card from your graveyard: Create a token that's a copy of it, except it's a 4/4 black Zombie Human Wizard with no mana cost. Eternalize only as a sorcery.) / Ameaçar Toda vez que Rouba-sonhos causa dano de combate a um jogador, aquele jogador descarta uma quantidade correspondente de cards. Eternizar {4}{B}{B} ({4}{B}{B}, exile este card de seu cemitério: Crie uma ficha que seja uma cópia dele, com a exceção de ser um Zumbi Humano Mago preto 4/4 sem custo de mana. Eternize somente como um feitiço.)</t>
  </si>
  <si>
    <t>Sandblast / Rajada de Areia</t>
  </si>
  <si>
    <t>Sandblast deals 5 damage to target attacking or blocking creature. / Rajada de Areia causa 5 pontos de dano à criatura atacante ou bloqueadora alvo.</t>
  </si>
  <si>
    <t>Glint / Reluzir</t>
  </si>
  <si>
    <t>Fervent Paincaster / Conjuradora de Dor Fervorosa</t>
  </si>
  <si>
    <t>{T}: This creature deals 1 damage to target player or planeswalker. {T}, Exert this creature: It deals 1 damage to target creature. (An exerted creature won't untap during your next untap step.) / {T}: Conjuradora de Dor Fervorosa causa 1 ponto de dano ao jogador alvo. {T}, exaura Conjuradora de Dor Fervorosa: Ela causa 1 ponto de dano à criatura alvo. (Uma criatura exaurida não será desvirada durante sua próxima etapa de desvirar.)</t>
  </si>
  <si>
    <t>Merciless Eternal / Eterno Impiedoso</t>
  </si>
  <si>
    <t>Creature — Zombie Cleric / Criatura — Zumbi Clérigo</t>
  </si>
  <si>
    <t>Afflict 2 (Whenever this creature becomes blocked, defending player loses 2 life.) {2}{B}, Discard a card: This creature gets +2/+2 until end of turn. / Afligir 2 (Toda vez que esta criatura se torna bloqueada, o jogador defensor perde 2 pontos de vida.) {2}{B}, descarte um card: Eterno Impiedoso recebe +2/+2 até o final do turno.</t>
  </si>
  <si>
    <t>Desert of the True / Deserto da Verdadeira</t>
  </si>
  <si>
    <t>Land — Desert / Terreno — Deserto</t>
  </si>
  <si>
    <t>This land enters tapped. {T}: Add {W}. Cycling {1}{W} ({1}{W}, Discard this card: Draw a card.) / Deserto da Verdadeira entra no campo de batalha virado. {T}: Adicione {W} à sua reserva de mana. Reciclar {1}{W} ({1}{W}, descarte este card: Compre um card.)</t>
  </si>
  <si>
    <t>Blur of Blades / Borrão de Lâminas</t>
  </si>
  <si>
    <t>Put a -1/-1 counter on target creature. Blur of Blades deals 2 damage to that creature's controller. / Coloque um marcador -1/-1 na criatura alvo. Borrão de Lâminas causa 2 pontos de dano ao controlador daquela criatura.</t>
  </si>
  <si>
    <t>Aven of Enduring Hope / Aviana da Esperança Duradoura</t>
  </si>
  <si>
    <t>Flying When this creature enters, you gain 3 life. / Voar Quando Aviana da Esperança Duradoura entra no campo de batalha, você ganha 3 pontos de vida.</t>
  </si>
  <si>
    <t>Spring // Mind / Fonte // Ideias</t>
  </si>
  <si>
    <t>Sorcery // Instant / Feitiço</t>
  </si>
  <si>
    <t>Spring: Search your library for a basic land card, put it onto the battlefield tapped, then shuffle. // Mind: Aftermath (Cast this spell only from your graveyard. Then exile it.) Draw two cards. / Procure um card de terreno básico em seu grimório, coloque-o no campo de batalha virado e depois embaralhe seu grimório.</t>
  </si>
  <si>
    <t>{2}{G} // {4}{U}{U}</t>
  </si>
  <si>
    <t>Aerial Guide / Guia Aéreo</t>
  </si>
  <si>
    <t>Flying Whenever this creature attacks, another target attacking creature gains flying until end of turn. / Voar Toda vez que Guia Aéreo ataca, outra criatura atacante alvo ganha voar até o final do turno.</t>
  </si>
  <si>
    <t>Opulent Palace / Palácio Opulento</t>
  </si>
  <si>
    <t>This land enters tapped. {T}: Add {B}, {G}, or {U}. / Palácio Opulento entra no campo de batalha virado. {T}: Adicione {B}, {G} ou {U} à sua reserva de mana.</t>
  </si>
  <si>
    <t>Overrun / Ultrapassar</t>
  </si>
  <si>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</si>
  <si>
    <t>{2}{G}{G}{G}</t>
  </si>
  <si>
    <t>River Hoopoe / Poupa-do-rio</t>
  </si>
  <si>
    <t>Flying {3}{G}{U}: You gain 2 life and draw a card. / Voar {3}{G}{U}: Você ganha 2 pontos de vida e compra um card.</t>
  </si>
  <si>
    <t>Agoraphobia / Agorafobia</t>
  </si>
  <si>
    <t>Enchant creature Enchanted creature gets -5/-0. {2}{U}: Return this Aura to its owner's hand. / Encantar criaturaA criatura encantada recebe -5/-0.{2}{U}: Devolva Agorafobia para a mão de seu dono.</t>
  </si>
  <si>
    <t>Mago Besouriforme / Beetleform Mage</t>
  </si>
  <si>
    <t>Criatura — Humano Inseto Mago / Creature — Human Insect Wizard</t>
  </si>
  <si>
    <t>{G}{U}: Mago Besouriforme recebe +2/+2 e ganha voar até o final do turno. Ative esta habilidade apenas uma vez a cada turno.</t>
  </si>
  <si>
    <t>Labirinto do Dragão (DGM)</t>
  </si>
  <si>
    <t>Verde / Green</t>
  </si>
  <si>
    <t>Nissa, Genesis Mage / Nissa, Maga da Gênese</t>
  </si>
  <si>
    <t>Legendary Planeswalker — Nissa / Planeswalker — Nissa</t>
  </si>
  <si>
    <t>Briber's Purse / Bolsa do Subornador</t>
  </si>
  <si>
    <t>This artifact enters with X gem counters on it. {1}, {T}, Remove a gem counter from this artifact: Target creature can't attack or block this turn. / Bolsa do Subornador entra no campo de batalha com X marcadores de gema. {1}, {T}, Remova um marcador de gema de Bolsa do Subornador: A criatura alvo não pode atacar nem bloquear neste turno.</t>
  </si>
  <si>
    <t>{X}</t>
  </si>
  <si>
    <t>Life Goes On / A Vida Continua</t>
  </si>
  <si>
    <t>You gain 4 life. If a creature died this turn, you gain 8 life instead. / Você ganha 4 pontos de vida. Se uma criatura morreu neste turno, em vez disso, você ganha 8 pontos de vida.</t>
  </si>
  <si>
    <t>Riacho da Floresta / Woodland Stream</t>
  </si>
  <si>
    <t>Tierra / Land</t>
  </si>
  <si>
    <t>El Arroyo forestal entra al campo de batalla girado. {T}: Agrega {G} o {U} a tu reserva de maná.</t>
  </si>
  <si>
    <t>Aven Reedstalker / Espreitadora dos Juncos Aviana</t>
  </si>
  <si>
    <t>Nissa's Encouragement / Encorajamento de Nissa</t>
  </si>
  <si>
    <t>Search your library and graveyard for a card named Forest, a card named Brambleweft Behemoth, and a card named Nissa, Genesis Mage. Reveal those cards, put them into your hand, then shuffle. / Procure em seu grimório e cemitério um card com o nome Floresta, um card com o nome Behemoth Espinheiro e um card com o nome Nissa, Maga da Gênese. Revele aqueles cards, coloque-os em sua mão e, em seguida, embaralhe seu grimório.</t>
  </si>
  <si>
    <t>Llanowar Elves / Elfos de Llanowar</t>
  </si>
  <si>
    <t>{T}: Add {G}. / {T}: Adicione {G}.</t>
  </si>
  <si>
    <t>Brambleweft Behemoth / Behemoth Espinheiro</t>
  </si>
  <si>
    <t>Trample (This creature can deal excess combat damage to the player or planeswalker it's attacking.) / Atropelar (Esta criatura pode causar seu dano de combate excedente ao planeswalker ou jogador defensor ao atacar.)</t>
  </si>
  <si>
    <t>Weaver of Currents / Tecelã de Correntes</t>
  </si>
  <si>
    <t>{T}: Add {C}{C}. / {T}: Adicione {C}{C} à sua reserva de mana.</t>
  </si>
  <si>
    <t>Feral Prowler / Espreitador Feral</t>
  </si>
  <si>
    <t>When this creature dies, draw a card. / Quando Espreitador Feral morrer, compre um card.</t>
  </si>
  <si>
    <t>Angler Drake / Dragonete Pescador</t>
  </si>
  <si>
    <t>Flying When this creature enters, you may return target creature to its owner's hand. / Voar Quando Dragonete Pescador entra no campo de batalha, você pode devolver a criatura alvo para a mão de seu dono.</t>
  </si>
  <si>
    <t>Dagger of the Worthy / Adaga dos Dignos</t>
  </si>
  <si>
    <t>Equipped creature gets +2/+0 and has afflict 1. (Whenever it becomes blocked, defending player loses 1 life.) Equip {2} ({2}: Attach to target creature you control. Equip only as a sorcery.) / A criatura equipada recebe +2/+0 e tem afligir 1. (Toda vez que ela se torna bloqueada, o jogador defensor perde 1 ponto de vida.) Equipar {2} ({2}: Anexe à criatura alvo que você controla. Equipe somente como um feitiço.)</t>
  </si>
  <si>
    <t>Edifice of Authority / Edifício da Autoridade</t>
  </si>
  <si>
    <t>{1}, {T}: Target creature can't attack this turn. Put a brick counter on this artifact. {1}, {T}: Until your next turn, target creature can't attack or block and its activated abilities can't be activated. Activate only if there are three or more brick counters on this artifact. / {1}, {T}: A criatura alvo não pode atacar neste turno. Coloque um marcador de tijolo em Edifício da Autoridade. {1}, {T}: Até seu próximo turno, a criatura alvo não pode atacar nem bloquear e suas habilidades ativadas não podem ser ativadas. Ative esta habilidade somente se houver três ou mais marcadores de tijolo em Edifício da Autoridade.</t>
  </si>
  <si>
    <t>Pântano Sombrio</t>
  </si>
  <si>
    <t>Theros</t>
  </si>
  <si>
    <t>Magic 2013</t>
  </si>
  <si>
    <t>Garruk Wildspeaker / Garruk Falabravo</t>
  </si>
  <si>
    <t>Legendary Planeswalker — Garruk / Planeswalker — Garruk</t>
  </si>
  <si>
    <t>Tibalt, the Fiend-Blooded / Tibalt, Sangue Demoníaco</t>
  </si>
  <si>
    <t>Legendary Planeswalker — Tibalt / Planeswalker — Tibalt</t>
  </si>
  <si>
    <t>Duel Decks: Sorin vs. Tibalt (DDK)</t>
  </si>
  <si>
    <t>Nissa Revane</t>
  </si>
  <si>
    <t>Duels of the Planeswalkers 2010 Promos (PDP10)</t>
  </si>
  <si>
    <t>Elspeth Tirel</t>
  </si>
  <si>
    <t>Legendary Planeswalker — Elspeth / Planeswalker — Elspeth</t>
  </si>
  <si>
    <t>Ajani Goldmane / Ajani Juba D'ouro</t>
  </si>
  <si>
    <t>Legendary Planeswalker — Ajani / Planeswalker — Ajani</t>
  </si>
  <si>
    <t>Cavern Lampad / Lâmpade da Caverna</t>
  </si>
  <si>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</si>
  <si>
    <t>Wellwisher / Desejador do Bem</t>
  </si>
  <si>
    <t>{T}: You gain 1 life for each Elf on the battlefield. / {T}: Você ganha 1 ponto de vida para cada Elfo em jogo.</t>
  </si>
  <si>
    <t>Vivid Grove / Bosque Vívido</t>
  </si>
  <si>
    <t>This land enters tapped with two charge counters on it. {T}: Add {G}. {T}, Remove a charge counter from this land: Add one mana of any color. / Bosque Vívido entra no campo de batalha virado com dois marcadores de carga. {T}: Adicione {G}. {T}, remova um marcador de carga de Bosque Vívido: Adicione um mana de qualquer cor.</t>
  </si>
  <si>
    <t>Purphoros's Emissary / Emissário de Púrforo</t>
  </si>
  <si>
    <t>Bestow {6}{R} (If you cast this card for its bestow cost, it's an Aura spell with enchant creature. It becomes a creature again if it's not attached.) Menace (This creature can't be blocked except by two or more creatures.) Enchanted creature gets +3/+3 and has menace. / Agraciar {6}{R} (Se você conjurar este card pagando seu custo de agraciar, ele será uma mágica de Aura com encantar criatura. Ele se tornará novamente uma criatura se não estiver anexado a uma criatura.) Emissário de Púrforo só pode ser bloqueado por duas ou mais criaturas. A criatura encantada ganha +3/+3 e só pode ser bloqueada por duas ou mais criaturas.</t>
  </si>
  <si>
    <t>Embersmith / Forjador de Brasa</t>
  </si>
  <si>
    <t>Whenever you cast an artifact spell, you may pay {1}. If you do, this creature deals 1 damage to any target. / Toda vez que conjura uma mágica de artefato, você pode pagar {1}. Se fizer isso, Forjador de Brasa causará 1 ponto de dano à criatura ou ao jogador alvo.</t>
  </si>
  <si>
    <t>Liturgy of Blood / Liturgia de Sangue</t>
  </si>
  <si>
    <t>Destroy target creature. Add {B}{B}{B}. / Destrua a criatura alvo. Adicione {B}{B}{B} à sua reserva de mana.</t>
  </si>
  <si>
    <t>Keepsake Gorgon / Górgona das Recordações</t>
  </si>
  <si>
    <t>Creature — Gorgon / Criatura — Górgona</t>
  </si>
  <si>
    <t>Deathtouch {5}{B}{B}: Monstrosity 1. (If this creature isn't monstrous, put a +1/+1 counter on it and it becomes monstrous.) When this creature becomes monstrous, destroy target non-Gorgon creature an opponent controls. / Toque mortífero {5}{B}{B}: Monstruosidade 1. (Se esta criatura não for monstruosa, coloque um marcador +1/+1 nela e ela se tornará monstruosa.) Quando Górgona das Recordações se tornar monstruosa, destrua a criatura alvo que não seja do tipo Górgona que um oponente controla.</t>
  </si>
  <si>
    <t>Brink of Disaster / Beira do Desastre</t>
  </si>
  <si>
    <t>Enchant creature or land When enchanted permanent becomes tapped, destroy it. / Encantar criatura ou terreno Quando a permanente encantada for virada, destrua-a.</t>
  </si>
  <si>
    <t>Magic 2012</t>
  </si>
  <si>
    <t>Ojutai's Summons / Convocados de Ojutai</t>
  </si>
  <si>
    <t>Create a 2/2 blue Djinn Monk creature token with flying. Rebound (If you cast this spell from your hand, exile it as it resolves. At the beginning of your next upkeep, you may cast this card from exile without paying its mana cost.) / Coloque no campo de batalha uma ficha de criatura azul 2/2 do tipo Gênio Monge com voar. Rebote (Se você conjurar esta mágica da sua mão, exile-a conforme ela for resolvida. No início de sua próxima manutenção, você poderá conjurar este card a partir do exílio sem pagar seu custo de mana.)</t>
  </si>
  <si>
    <t>&lt;&lt;&lt;&lt;&lt;&lt;&lt;&lt;&lt;</t>
  </si>
  <si>
    <t>Temporal Eddy / Turbilhão Temporal</t>
  </si>
  <si>
    <t>Put target creature or land on top of its owner's library. / Coloque a criatura alvo ou o terreno alvo no topo do grimório de seu dono.</t>
  </si>
  <si>
    <t>Reverse Engineer / Engenharia Reversa</t>
  </si>
  <si>
    <t>Improvise (Your artifacts can help cast this spell. Each artifact you tap after you're done activating mana abilities pays for {1}.) Draw three cards. / Improvisar (Seus artefatos podem ajudar a conjurar esta mágica. Cada artefato que você vira após terminar de ativar habilidades de mana paga por {1}.) Compre três cards.</t>
  </si>
  <si>
    <t>Coastal Discovery / Descoberta Costeira</t>
  </si>
  <si>
    <t>Draw two cards. Awaken 4—{5}{U} (If you cast this spell for {5}{U}, also put four +1/+1 counters on target land you control and it becomes a 0/0 Elemental creature with haste. It's still a land.) / Compre dois cards.Despertar 4 — {5}{U} (Se você conjurar esta mágica por {5}{U}, coloque também quatro marcadores +1/+1 no terreno alvo que você controla e ele se tornará uma criatura 0/0 do tipo Elemental com ímpeto. Ela ainda é um terreno.)</t>
  </si>
  <si>
    <t>Secrets of the Golden City / Segredos da Cidade Dourada</t>
  </si>
  <si>
    <t>Ascend (If you control ten or more permanents, you get the city's blessing for the rest of the game.) Draw two cards. If you have the city's blessing, draw three cards instead. / Ascender (Se você controla dez ou mais permanentes, você recebe a bênção da cidade pelo restante do jogo.) Compre dois cards. Se você tiver a bênção da cidade, em vez disso, compre três cards.</t>
  </si>
  <si>
    <t>Compelling Argument / Argumento Convincente</t>
  </si>
  <si>
    <t>Target player mills five cards. Cycling {U} ({U}, Discard this card: Draw a card.) / O jogador alvo coloca os cinco cards do topo do grimório dele no próprio cemitério. Reciclar {U} ({U}, Descarte este card: Compre um card.)</t>
  </si>
  <si>
    <t>Pieces of the Puzzle / Peças do Quebra-cabeça</t>
  </si>
  <si>
    <t>Reveal the top five cards of your library. Put up to two instant and/or sorcery cards from among them into your hand and the rest into your graveyard. / Revele os cinco cards do topo de seu grimório. Coloque até dois cards de mágica instantânea e/ou feitiço dentre eles em sua mão e o restante em seu cemitério.</t>
  </si>
  <si>
    <t>Floodwaters / Enxurrada</t>
  </si>
  <si>
    <t>Return up to two target creatures to their owners' hands. Cycling {2} ({2}, Discard this card: Draw a card.) / Devolva até duas criaturas alvo para as mãos de seus donos. Reciclar {2} ({2}, Descarte este card: Compre um card.)</t>
  </si>
  <si>
    <t>Dreadwaters / Onda Medonha</t>
  </si>
  <si>
    <t>Target player mills X cards, where X is the number of lands you control. / O jogador alvo coloca os X primeiros cards do topo do grimório dele no próprio cemitério, sendo X igual ao número de terrenos que você controla.</t>
  </si>
  <si>
    <t>Open into Wonder / Passagem para a Maravilha</t>
  </si>
  <si>
    <t>X target creatures can't be blocked this turn. Until end of turn, those creatures gain "Whenever this creature deals combat damage to a player, draw a card." / X criaturas alvo não podem ser bloqueadas neste turno. Até o final do turno, aquelas criaturas ganham "Toda vez que esta criatura causar dano de combate a um jogador, compre um card."</t>
  </si>
  <si>
    <t>Slip Through Space / Deslizar Pelo Espaço</t>
  </si>
  <si>
    <t>Devoid (This card has no color.) Target creature can't be blocked this turn. Draw a card. / Desprovido (Este card não tem cor.) A criatura alvo não pode ser bloqueada neste turno. Compre um card.</t>
  </si>
  <si>
    <t>Mystic Meditation / Meditação Mística</t>
  </si>
  <si>
    <t>Draw three cards. Then discard two cards unless you discard a creature card. / Compre três cards. Depois, descarte dois cards, a menos que você descarte um card de criatura.</t>
  </si>
  <si>
    <t>Taigam's Strike / Golpe de Taigam</t>
  </si>
  <si>
    <t>Target creature gets +2/+0 until end of turn and can't be blocked this turn. Rebound (If you cast this spell from your hand, exile it as it resolves. At the beginning of your next upkeep, you may cast this card from exile without paying its mana cost.) / A criatura alvo recebe +2/+0 até o final do turno e não pode ser bloqueada neste turno. Rebote (Se você conjurar esta mágica da sua mão, exile-a conforme ela for resolvida. No início de sua próxima manutenção, você poderá conjurar este card a partir do exílio sem pagar seu custo de mana.)</t>
  </si>
  <si>
    <t>Malfunction / Mau Funcionamento</t>
  </si>
  <si>
    <t>Enchant artifact or creature When this Aura enters, tap enchanted permanent. Enchanted permanent doesn't untap during its controller's untap step. / Encantar artefato ou criatura Quando Mau Funcionamento entrar no campo de batalha, vire a permanente encantada. A permanente encantada não desvira durante a etapa de desvirar de seu controlador.</t>
  </si>
  <si>
    <t>Containment Membrane / Membrana de Contenção</t>
  </si>
  <si>
    <t>Surge {U} (You may cast this spell for its surge cost if you or a teammate has cast another spell this turn.) Enchant creature Enchanted creature doesn't untap during its controller's untap step. / Surto {U} (Você pode conjurar esta mágica por seu custo de surto se você ou um colega de equipe tiver conjurado outra mágica neste turno.) Encantar criatura A criatura encantada não é desvirada durante a etapa de desvirar de seu controlador.</t>
  </si>
  <si>
    <t>Illusory Wrappings / Ataduras Ilusórias</t>
  </si>
  <si>
    <t>Enchant creature Enchanted creature has base power and toughness 0/2. / Encantar criatura A criatura encantada tem 0/2 de poder e resistência básicos.</t>
  </si>
  <si>
    <t>Riddleform / Enigmorfo</t>
  </si>
  <si>
    <t>Whenever you cast a noncreature spell, you may have this enchantment become a 3/3 Sphinx creature with flying in addition to its other types until end of turn. {2}{U}: Scry 1. (Look at the top card of your library. You may put that card on the bottom.) / Toda vez que conjura uma mágica que não seja de criatura, você pode fazer com que Enigmorfo se torne uma criatura 3/3 do tipo Esfinge com voar além de seus outros tipos até o final do turno. {2}{U}: Vidência 1.</t>
  </si>
  <si>
    <t>Reduce in Stature / Reduzir Estatura</t>
  </si>
  <si>
    <t>Enchant creature Enchanted creature has base power and toughness 0/2. / Encantar criatura A criatura encantada têm 0/2 de poder e resistência básicos.</t>
  </si>
  <si>
    <t>Sensory Deprivation / Privação Sensorial</t>
  </si>
  <si>
    <t>Enchant creature Enchanted creature gets -3/-0. / Encantar criaturaA criatura encantada recebe -3/-0.</t>
  </si>
  <si>
    <t>Fate Foretold / Destino Previsto</t>
  </si>
  <si>
    <t>Enchant creature When this Aura enters, draw a card. When enchanted creature dies, its controller draws a card. / Encantar criatura Quando Destino Previsto entrar no campo de batalha, compre um card. Quando a criatura encantada morre, seu controlador compra um card.</t>
  </si>
  <si>
    <t>Ghostly Wings / Asas Fantasmagóricas</t>
  </si>
  <si>
    <t>Enchant creature Enchanted creature gets +1/+1 and has flying. Discard a card: Return enchanted creature to its owner's hand. / Encantar criatura A criatura encantada recebe +1/+1 e tem voar. Descarte um card: Devolva a criatura encantada para a mão de seu dono.</t>
  </si>
  <si>
    <t>Claustrophobia / Claustrofobia</t>
  </si>
  <si>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</si>
  <si>
    <t>Efficient Construction / Construção Eficiente</t>
  </si>
  <si>
    <t>Whenever you cast an artifact spell, create a 1/1 colorless Thopter artifact creature token with flying. / Toda vez que você conjurar uma mágica de artefato, crie uma ficha de criatura artefato incolor 1/1 do tipo Tóptero com voar.</t>
  </si>
  <si>
    <t>Ongoing Investigation / Investigação em Andamento</t>
  </si>
  <si>
    <t>Whenever one or more creatures you control deal combat damage to a player, investigate. (Create a Clue token. It's an artifact with "{2}, Sacrifice this token: Draw a card.") {1}{G}, Exile a creature card from your graveyard: Investigate. You gain 2 life. / Toda vez que uma ou mais criaturas que você controla causarem dano de combate a um jogador, investigue. (Coloque no campo de batalha uma ficha de artefato incolor do tipo Pista com "{2}, Sacrifique este artefato: Compre um card.") {1}{G}, Exile um card de criatura de seu cemitério: Investigue. Você ganha 2 pontos de vida.</t>
  </si>
  <si>
    <t>Trail of Evidence / Trilha de Indícios</t>
  </si>
  <si>
    <t>Whenever you cast an instant or sorcery spell, investigate. (Create a Clue token. It's an artifact with "{2}, Sacrifice this token: Draw a card.") / Toda vez que você conjurar uma mágica instantânea ou feitiço, investigue. (Coloque no campo de batalha uma ficha de artefato incolor do tipo Pista com "{2}, Sacrifique este artefato: Compre um card.")</t>
  </si>
  <si>
    <t>Lunar Force / Força Lunar</t>
  </si>
  <si>
    <t>When an opponent casts a spell, sacrifice this enchantment and counter that spell. / Quando um oponente conjurar uma mágica, sacrifique Força Lunar e anule aquela mágica.</t>
  </si>
  <si>
    <t>Era of Innovation / Era da Inovação</t>
  </si>
  <si>
    <t>Whenever an artifact or Artificer you control enters, you may pay {1}. If you do, you get {E}{E} (two energy counters). Pay six {E}, Sacrifice this enchantment: Draw three cards. / Toda vez que um artefato ou Artesão entra no campo de batalha sob seu controle, você pode pagar {1}. Se fizer isso, você recebe {E}{E} (dois marcadores de energia). Pague {E}{E}{E}{E}{E}{E}, sacrifique Era da Inovação: Compre três cards.</t>
  </si>
  <si>
    <t>Capture Sphere / Esfera de Captura</t>
  </si>
  <si>
    <t>Flash (You may cast this spell any time you could cast an instant.) Enchant creature When this Aura enters, tap enchanted creature. Enchanted creature doesn't untap during its controller's untap step. / Lampejo Encantar criatura Quando Esfera de Captura entrar no campo de batalha, vire a criatura encantada. A criatura encantada não é desvirada durante a etapa de desvirar de seu controlador.</t>
  </si>
  <si>
    <t>Paralyzing Grasp / Abraço Paralisante</t>
  </si>
  <si>
    <t>Enchant creature Enchanted creature doesn't untap during its controller's untap step. / Encantar criatura A criatura encantada não é desvirada durante a etapa de desvirar de seu controlador.</t>
  </si>
  <si>
    <t>Cartouche of Knowledge / Cártula do Conhecimento</t>
  </si>
  <si>
    <t>Enchant creature you control When this Aura enters, draw a card. Enchanted creature gets +1/+1 and has flying. / Encantar criatura que você controla Quando Cártula do Conhecimento entrar no campo de batalha, compre um card. A criatura encantada recebe +1/+1 e tem voar.</t>
  </si>
  <si>
    <t>Waterknot / Nó D'água</t>
  </si>
  <si>
    <t>Enchant creature When this Aura enters, tap enchanted creature. Enchanted creature doesn't untap during its controller's untap step. / Encantar criatura Quando Nó D'água entrar no campo de batalha, vire a criatura encantada. A criatura encantada não é desvirada durante a etapa de desvirar de seu controlador.</t>
  </si>
  <si>
    <t>Disperse / Dispersar</t>
  </si>
  <si>
    <t>Return target nonland permanent to its owner's hand. / Devolva a permanente alvo que não seja um terreno para a mão de seu dono.</t>
  </si>
  <si>
    <t>Decision Paralysis / Paralisia Decisória</t>
  </si>
  <si>
    <t>Tap up to two target creatures. Those creatures don't untap during their controller's next untap step. / Vire até duas criaturas alvo. Essas criaturas não são desviradas durante a próxima etapa de desvirar de seus controladores.</t>
  </si>
  <si>
    <t>Compelling Deterrence / Dissuasão Convincente</t>
  </si>
  <si>
    <t>Return target nonland permanent to its owner's hand. Then that player discards a card if you control a Zombie. / Devolva a permanente alvo que não seja um terreno para a mão de seu dono. Depois, aquele jogador descarta um card se você controlar um Zumbi.</t>
  </si>
  <si>
    <t>Bewilder / Desnortear</t>
  </si>
  <si>
    <t>Target creature gets -3/-0 until end of turn. Draw a card. / A criatura alvo recebe -3/-0 até o final do turno. Compre um card.</t>
  </si>
  <si>
    <t>Reduce // Rubble / Reduzir // Escombros</t>
  </si>
  <si>
    <t>Reduce: Counter target spell unless its controller pays {3}. // Rubble: Aftermath (Cast this spell only from your graveyard. Then exile it.) Up to three target lands don't untap during their controller's next untap step. / Anule a mágica alvo, a menos que seu controlador pague {3}.</t>
  </si>
  <si>
    <t>{2}{U} // {2}{R}</t>
  </si>
  <si>
    <t>Galestrike / Golpe do Vendaval</t>
  </si>
  <si>
    <t>Return target tapped creature to its owner's hand. Draw a card. / Devolva a criatura virada alvo para a mão de seu dono. Compre um card.</t>
  </si>
  <si>
    <t>Disappearing Act / Truque de Desaparecimento</t>
  </si>
  <si>
    <t>As an additional cost to cast this spell, return a permanent you control to its owner's hand. Counter target spell. / Como custo adicional para conjurar Truque de Desaparecimento, devolva uma permanente que você controla para a mão de seu dono. Anule a mágica alvo.</t>
  </si>
  <si>
    <t>Scour the Laboratory / Perscrutar o Laboratório</t>
  </si>
  <si>
    <t>Delirium — This spell costs {2} less to cast if there are four or more card types among cards in your graveyard. Draw three cards. / Delírio — Perscrutar o Laboratório custará {2} a menos para ser conjurado se houver quatro ou mais tipos de card entre os cards de seu cemitério. Compre três cards.</t>
  </si>
  <si>
    <t>Unity of Purpose / Unidade de Propósito</t>
  </si>
  <si>
    <t>Support 2. (Put a +1/+1 counter on each of up to two target creatures.) Untap each creature you control with a +1/+1 counter on it. / Suporte 2. (Coloque um marcador +1/+1 em cada uma de até duas criaturas alvo.) Desvire cada criatura que você controla com um marcador +1/+1.</t>
  </si>
  <si>
    <t>Chilling Grasp / Garras Gélidas</t>
  </si>
  <si>
    <t>Tap up to two target creatures. Those creatures don't untap during their controller's next untap step. Madness {3}{U} (If you discard this card, discard it into exile. When you do, cast it for its madness cost or put it into your graveyard.) / Vire até duas criaturas alvo. Essas criaturas não são desviradas durante a próxima etapa de desvirar de seus controladores. Loucura {3}{U} (Se você descartar este card, descarte-o para o exílio. Quando fizer isso, conjure-o por seu custo de loucura ou coloque-o em seu cemitério.)</t>
  </si>
  <si>
    <t>Unsubstantiate / Insubstanciar</t>
  </si>
  <si>
    <t>Return target spell or creature to its owner's hand. / Devolva a mágica ou criatura alvo para a mão de seu dono.</t>
  </si>
  <si>
    <t>Lost in Space</t>
  </si>
  <si>
    <t>Target artifact or creature's owner puts it on their choice of the top or bottom of their library. Surveil 1. (Look at the top card of your library. You may put it into your graveyard.)</t>
  </si>
  <si>
    <t>Comparative Analysis / Análise Comparativa</t>
  </si>
  <si>
    <t>Surge {2}{U} (You may cast this spell for its surge cost if you or a teammate has cast another spell this turn.) Target player draws two cards. / Surto {2}{U} (Você pode conjurar esta mágica por seu custo de surto se você ou um colega de equipe tiver conjurado outra mágica neste turno.) O jogador alvo compra dois cards.</t>
  </si>
  <si>
    <t>Glimmer of Genius / Lampejo de Genialidade</t>
  </si>
  <si>
    <t>Scry 2, then draw two cards. You get {E}{E} (two energy counters). / Use vidência 2 e depois compre dois cards. Você recebe {E}{E} (dois marcadores de energia).</t>
  </si>
  <si>
    <t>Learn from the Past / Aprender com o Passado</t>
  </si>
  <si>
    <t>Target player shuffles their graveyard into their library. Draw a card. / O jogador alvo embaralha seu próprio cemitério em seu próprio grimório. Compre um card.</t>
  </si>
  <si>
    <t>Select for Inspection / Selecionar para Inspeção</t>
  </si>
  <si>
    <t>Return target tapped creature to its owner's hand. Scry 1. (Look at the top card of your library. You may put that card on the bottom.) / Devolva a criatura virada alvo para a mão de seu dono. Vidência 1. (Olhe o card do topo de seu grimório. Você pode colocar aquele card no fundo de seu grimório.)</t>
  </si>
  <si>
    <t>Dramatic Reversal / Reversão Dramática</t>
  </si>
  <si>
    <t>Untap all nonland permanents you control. / Desvire todas as permanentes que você controla que não sejam terrenos.</t>
  </si>
  <si>
    <t>Aether Tradewinds / Ventos Alísios de Éter</t>
  </si>
  <si>
    <t>Return target permanent you control and target permanent you don't control to their owners' hands. / Devolva a permanente alvo que você controla e a permanente alvo que você não controla para as mãos de seus donos.</t>
  </si>
  <si>
    <t>Devious Cover-Up / Abafamento Malicioso</t>
  </si>
  <si>
    <t>Counter target spell. If that spell is countered this way, exile it instead of putting it into its owner's graveyard. You may shuffle up to four target cards from your graveyard into your library. / Anule a mágica alvo. Se aquela mágica for anulada dessa maneira, exile-a em vez de colocá-la no cemitério de seu dono. Você pode embaralhar até quatro cards alvo de seu cemitério em seu grimório.</t>
  </si>
  <si>
    <t>Dazzling Lights / Luzes Ofuscantes</t>
  </si>
  <si>
    <t>Target creature gets -3/-0 until end of turn. Surveil 2. (Look at the top two cards of your library, then put any number of them into your graveyard and the rest on top of your library in any order.) / A criatura alvo recebe -3/-0 até o final do turno. Vigiar 2. (Olhe os dois cards do topo de seu grimório. Depois, coloque qualquer número deles em seu cemitério e o restante no topo de seu grimório em qualquer ordem.)</t>
  </si>
  <si>
    <t>Inspiration / Inspiração</t>
  </si>
  <si>
    <t>Target player draws two cards. / O jogador alvo compra dois cards.</t>
  </si>
  <si>
    <t>Downsize / Diminuição</t>
  </si>
  <si>
    <t>Target creature you don't control gets -4/-0 until end of turn. Overload {2}{U} (You may cast this spell for its overload cost. If you do, change "target" in its text to "each.") / A criatura alvo que você não controla recebe -4/-0 até o final do turno. Sobrecarga {2}{U} (Você pode conjurar esta mágica pagando seu custo de sobrecarga. Se fizer isso, altere seu texto substituindo todas as ocorrências de "a criatura alvo" por "cada criatura".)</t>
  </si>
  <si>
    <t>Stymied Hopes / Esperanças Frustradas</t>
  </si>
  <si>
    <t>Counter target spell unless its controller pays {1}. Scry 1. (Look at the top card of your library. You may put that card on the bottom.) / Anule a mágica alvo, a menos que seu controlador pague {1}. Vidência 1. (Olhe o card do topo de seu grimório. Você pode colocar aquele card no fundo de seu grimório.)</t>
  </si>
  <si>
    <t>Winds of Rebuke / Ventos da Repreensão</t>
  </si>
  <si>
    <t>Return target nonland permanent to its owner's hand. Each player mills two cards. / Devolva a permanente alvo que não seja terreno para a mão de seu dono. Cada jogador coloca os dois cards do topo do próprio grimório no próprio cemitério.</t>
  </si>
  <si>
    <t>Cancel / Cancelar</t>
  </si>
  <si>
    <t>Counter target spell. / Anule a mágica alvo.</t>
  </si>
  <si>
    <t>Catalog / Catalogar</t>
  </si>
  <si>
    <t>Draw two cards, then discard a card. / Compre dois cards e depois descarte um card.</t>
  </si>
  <si>
    <t>Failed Inspection / Inspeção Fracassada</t>
  </si>
  <si>
    <t>Counter target spell. Draw a card, then discard a card. / Anule a mágica alvo. Compre um card e depois descarte um card.</t>
  </si>
  <si>
    <t>Broken Concentration / Concentração Quebrada</t>
  </si>
  <si>
    <t>Counter target spell. Madness {3}{U} (If you discard this card, discard it into exile. When you do, cast it for its madness cost or put it into your graveyard.) / Anule a mágica alvo. Loucura {3}{U} (Se você descartar este card, descarte-o para o exílio. Quando fizer isso, conjure-o por seu custo de loucura ou coloque-o em seu cemitério.)</t>
  </si>
  <si>
    <t>Deny Existence / Negar a Existência</t>
  </si>
  <si>
    <t>Counter target creature spell. If that spell is countered this way, exile it instead of putting it into its owner's graveyard. / Anule a mágica de criatura alvo. Se aquela mágica for anulada dessa maneira, exile-a em vez de colocá-la no cemitério de seu dono.</t>
  </si>
  <si>
    <t>Sweep Away / Varrer</t>
  </si>
  <si>
    <t>Return target creature to its owner's hand. If that creature is attacking, you may put it on top of its owner's library instead. / Devolva a criatura alvo para a mão de seu dono. Se aquela criatura estiver atacando, em vez disso, você pode colocá-la no topo do grimório de seu dono.</t>
  </si>
  <si>
    <t>Revolutionary Rebuff / Repúdio Revolucionário</t>
  </si>
  <si>
    <t>Counter target nonartifact spell unless its controller pays {2}. / Anule a mágica alvo que não seja de artefato, a menos que seu controlador pague {2}.</t>
  </si>
  <si>
    <t>Leave in the Dust / Dar Poeira</t>
  </si>
  <si>
    <t>Return target nonland permanent to its owner's hand. Draw a card. / Devolva a permanente alvo que não seja um terreno para a mão de seu dono. Compre um card.</t>
  </si>
  <si>
    <t>Ojutai's Breath / Sopro de Ojutai</t>
  </si>
  <si>
    <t>Tap target creature. It doesn't untap during its controller's next untap step. Rebound (If you cast this spell from your hand, exile it as it resolves. At the beginning of your next upkeep, you may cast this card from exile without paying its mana cost.) / Vire a criatura alvo. Ela não desvira durante a próxima etapa de desvirar de seu controlador. Rebote (Se você conjurar esta mágica da sua mão, exile-a conforme ela for resolvida. No início de sua próxima manutenção, você poderá conjurar este card a partir do exílio sem pagar seu custo de mana.)</t>
  </si>
  <si>
    <t>Send to Sleep / Adormecer</t>
  </si>
  <si>
    <t>Tap up to two target creatures. Spell mastery — If there are two or more instant and/or sorcery cards in your graveyard, those creatures don't untap during their controllers' next untap steps. / Vire até duas criaturas alvo.Maestria em magia — Se houver dois ou mais cards de mágica instantânea ou feitiço no seu cemitério, aquelas criaturas não serão desviradas durante a próxima etapa de desvirar de seus controladores.</t>
  </si>
  <si>
    <t>Calculated Dismissal / Dispensa Calculada</t>
  </si>
  <si>
    <t>Counter target spell unless its controller pays {3}. Spell mastery — If there are two or more instant and/or sorcery cards in your graveyard, scry 2. (To scry 2, look at the top two cards of your library, then put any number of them on the bottom and the rest on top in any order.) / Anule a mágica alvo, a menos que seu controlador pague {3}.Maestria em magia — Se houver dois ou mais cards de mágica instantânea ou feitiço no seu cemitério, use vidência 2. (Para usar vidência 2, olhe os dois cards do topo do seu grimório. Depois, coloque qualquer número deles no fundo do seu grimório e o restante no topo em qualquer ordem.)</t>
  </si>
  <si>
    <t>Aspiring Aeronaut / Aeronauta Aspirante</t>
  </si>
  <si>
    <t>Flying (This creature can't be blocked except by creatures with flying or reach.) When this creature enters, create a 1/1 colorless Thopter artifact creature token with flying. / Voar (Esta criatura só pode ser bloqueada por criaturas com voar ou alcance.)Quando Aeronauta Aspirante entrar no campo de batalha, coloque no campo de batalha uma ficha de criatura artefato incolor 1/1 do tipo Tóptero com voar.</t>
  </si>
  <si>
    <t>Snapping Drake / Dragonete Trinchador</t>
  </si>
  <si>
    <t>Flying (This creature can't be blocked except by creatures with flying or reach.) / Voar</t>
  </si>
  <si>
    <t>Daring Sleuth / Detetive Arrojado</t>
  </si>
  <si>
    <t>When you sacrifice a Clue, transform this creature. / Quando você sacrificar uma Pista, transforme Detetive Arrojado.</t>
  </si>
  <si>
    <t>Grizzled Angler / Pescador Grisalho</t>
  </si>
  <si>
    <t>{T}: Mill two cards. Then if there is a colorless creature card in your graveyard, transform this creature. (To mill two cards, put the top two cards of your library into your graveyard.) / {T}: Coloque os dois cards do topo de seu grimório em seu cemitério. Em seguida, se houver um card de criatura incolor em seu cemitério, transforme Pescador Grisalho.</t>
  </si>
  <si>
    <t>Aberrant Researcher / Pesquisador Aberrante</t>
  </si>
  <si>
    <t>Creature — Human Insect / Criatura — Humano Inseto</t>
  </si>
  <si>
    <t>Flying At the beginning of your upkeep, mill a card. If an instant or sorcery card was milled this way, transform this creature. (To mill a card, put the top card of your library into your graveyard.) / Voar No início de sua manutenção, coloque o card do topo de seu grimório em seu cemitério. Se for um card de mágica instantânea ou feitiço, transforme Pesquisador Aberrante.</t>
  </si>
  <si>
    <t>Eternal of Harsh Truths / Eterno das Duras Verdades</t>
  </si>
  <si>
    <t>Afflict 2 (Whenever this creature becomes blocked, defending player loses 2 life.) Whenever this creature attacks and isn't blocked, draw a card. / Afligir 2 (Toda vez que esta criatura se torna bloqueada, o jogador defensor perde 2 pontos de vida.) Toda vez que Eterno das Duras Verdades atacar e não for bloqueado, compre um card.</t>
  </si>
  <si>
    <t>Watercourser / Cursor D'água</t>
  </si>
  <si>
    <t>{U}: This creature gets +1/-1 until end of turn. / {U}: Cursor D'água recebe +1/-1 até o final do turno.</t>
  </si>
  <si>
    <t>Elusive Spellfist / Punho-mágico Elusivo</t>
  </si>
  <si>
    <t>Whenever you cast a noncreature spell, this creature gets +1/+0 until end of turn and can't be blocked this turn. / Toda vez que você conjurar uma mágica que não seja de criatura, Punho-mágico Elusivo receberá +1/+0 até o final do turno e não poderá ser bloqueado neste turno.</t>
  </si>
  <si>
    <t>Monastery Loremaster / Sapiente do Monastério</t>
  </si>
  <si>
    <t>Creature — Djinn Wizard / Criatura — Gênio Mago</t>
  </si>
  <si>
    <t>Megamorph {5}{U} (You may cast this card face down as a 2/2 creature for {3}. Turn it face up any time for its megamorph cost and put a +1/+1 counter on it.) When this creature is turned face up, return target noncreature, nonland card from your graveyard to your hand. / Megamorfose {5}{U} (Você pode conjurar este card com a face voltada para baixo como uma criatura 2/2 por {3}. Volte sua face para cima a qualquer momento pagando seu custo de megamorfose e coloque um marcador +1/+1 nele.) Quando Sapiente do Monastério for voltado para cima, devolva o card alvo que não seja terreno nem criatura de seu cemitério para sua mão.</t>
  </si>
  <si>
    <t>Scrapskin Drake / Dragonete Remendado</t>
  </si>
  <si>
    <t>Creature — Zombie Drake / Criatura — Zumbi Dragonete</t>
  </si>
  <si>
    <t>Flying (This creature can't be blocked except by creatures with flying or reach.) This creature can block only creatures with flying. / Voar (Esta criatura só pode ser bloqueada por criaturas com voar ou alcance.)Dragonete Remendado só pode bloquear criaturas com voar.</t>
  </si>
  <si>
    <t>Maritime Guard / Guarda Marinha</t>
  </si>
  <si>
    <t>Aven Initiate / Iniciado Aviano</t>
  </si>
  <si>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</si>
  <si>
    <t>Weldfast Wingsmith / Aseiro de Soldafirme</t>
  </si>
  <si>
    <t>Whenever an artifact you control enters, this creature gains flying until end of turn. / Toda vez que um artefato entra no campo de batalha sob seu controle, Aseiro de Soldafirme ganha voar até o final do turno.</t>
  </si>
  <si>
    <t>Furtive Homunculus / Homúnculo Furtivo</t>
  </si>
  <si>
    <t>Skulk (This creature can't be blocked by creatures with greater power.) / Esquivo (Esta criatura não pode ser bloqueada por criaturas com poder superior ao dela.)</t>
  </si>
  <si>
    <t>Leapfrog / Sapo-saltador</t>
  </si>
  <si>
    <t>This creature has flying as long as you've cast an instant or sorcery spell this turn. / Sapo-saltador tem voar contanto que você tenha conjurado uma mágica instantânea ou feitiço neste turno.</t>
  </si>
  <si>
    <t>Runewing / Asa-rúnica</t>
  </si>
  <si>
    <t>Flying When this creature dies, draw a card. / Voar Quando Asa-rúnica morrer, compre um card.</t>
  </si>
  <si>
    <t>Tah-Crop Skirmisher / Escaramuçadora da Safra Tah</t>
  </si>
  <si>
    <t>Embalm {3}{U} ({3}{U}, Exile this card from your graveyard: Create a token that's a copy of it, except it's a white Zombie Snake Warrior with no mana cost. Embalm only as a sorcery.) / Embalsamar {3}{U} ({3}{U}, Exile este card de seu cemitério: Crie uma ficha que seja uma cópia dele, com a exceção de ser um Zumbi Naga Guerreiro branco sem custo de mana. Embalsame somente como um feitiço.)</t>
  </si>
  <si>
    <t>Cryptic Serpent / Serpente Críptica</t>
  </si>
  <si>
    <t>This spell costs {1} less to cast for each instant and sorcery card in your graveyard. / Serpente Críptica custa {1} a menos para ser conjurada para cada card de mágica instantânea e feitiço no seu cemitério.</t>
  </si>
  <si>
    <t>Shimmerscale Drake / Dragonete-de-escamas-cintilantes</t>
  </si>
  <si>
    <t>Flying Cycling {2} ({2}, Discard this card: Draw a card.) / Voar Reciclar {2} ({2}, Descarte este card: Compre um card.)</t>
  </si>
  <si>
    <t>Muse Drake / Dragonete Inspirador</t>
  </si>
  <si>
    <t>Flying When this creature enters, draw a card. / Voar Quando Dragonete Inspirador entrar no campo de batalha, compre um card.</t>
  </si>
  <si>
    <t>Tower Drake / Dragonete da Torre</t>
  </si>
  <si>
    <t>Flying {W}: This creature gets +0/+1 until end of turn. / Voar {W}: Dragonete da Torre recebe +0/+1 até o final do turno.</t>
  </si>
  <si>
    <t>Seeker of Insight / Buscador do Discernimento</t>
  </si>
  <si>
    <t>{T}: Draw a card, then discard a card. Activate only if you've cast a noncreature spell this turn. / {T}: Compre um card e depois descarte um card. Ative esta habilidade somente se você tiver conjurado uma mágica que não seja de criatura neste turno.</t>
  </si>
  <si>
    <t>Scribe of the Mindful / Escriba do Consciente</t>
  </si>
  <si>
    <t>{1}, {T}, Sacrifice this creature: Return target instant or sorcery card from your graveyard to your hand. / {1}, {T}, Sacrifique Escriba do Consciente: Devolva o card de mágica instantânea ou feitiço alvo de seu cemitério para sua mão.</t>
  </si>
  <si>
    <t>Erdwal Illuminator / Iluminador de Erdwal</t>
  </si>
  <si>
    <t>Flying Whenever you investigate for the first time each turn, investigate an additional time. / Voar Toda vez que você investigar pela primeira vez em cada turno, investigue uma vez adicional.</t>
  </si>
  <si>
    <t>Uninvited Geist / Geist Não Convidado</t>
  </si>
  <si>
    <t>Skulk (This creature can't be blocked by creatures with greater power.) When this creature deals combat damage to a player, transform it. / Esquivo (Esta criatura não pode ser bloqueada por criaturas com poder superior ao dela.) Quando Geist Não Convidado causar dano de combate a um jogador, transforme-o.</t>
  </si>
  <si>
    <t>Janjeet Sentry / Vigia de Janjeet</t>
  </si>
  <si>
    <t>When this creature enters, you get {E}{E} (two energy counters). {T}, Pay {E}{E}: You may tap or untap target artifact or creature. / Quando Vigia de Janjeet entra no campo de batalha, você recebe {E}{E} (dois marcadores de energia). {T}, Pague {E}{E}: Você pode virar ou desvirar o artefato ou a criatura alvo.</t>
  </si>
  <si>
    <t>Updraft Elemental / Elemental do Sopro Ascendente</t>
  </si>
  <si>
    <t>Aether Theorist / Teórico do Éter</t>
  </si>
  <si>
    <t>Creature — Vedalken Rogue / Criatura — Vedalkeano Ladino</t>
  </si>
  <si>
    <t>When this creature enters, you get {E}{E}{E} (three energy counters). {T}, Pay {E}: Scry 1. (Look at the top card of your library. You may put that card on the bottom.) / Quando Teórico do Éter entra no campo de batalha, você recebe {E}{E}{E} (três marcadores de energia). {T}, Pague {E}: Use vidência 1. (Olhe o card do topo de seu grimório. Você pode colocar aquele card no fundo de seu grimório.)</t>
  </si>
  <si>
    <t>Aether Swooper / Planadora Etérea</t>
  </si>
  <si>
    <t>Flying When this creature enters, you get {E}{E} (two energy counters). Whenever this creature attacks, you may pay {E}{E}. If you do, create a 1/1 colorless Servo artifact creature token. / Voar Quando Planadora Etérea entra no campo de batalha, você recebe {E}{E} (dois marcadores de energia). Toda vez que Planadora Etérea ataca, você pode pagar {E}{E}. Se fizer isso, crie uma ficha de criatura artefato incolor 1/1 do tipo Servus.</t>
  </si>
  <si>
    <t>Umara Entangler / Emaranhadora de Umara</t>
  </si>
  <si>
    <t>Creature — Merfolk Rogue Ally / Criatura — Tritão Ladino Aliado</t>
  </si>
  <si>
    <t>Merfolk Observer / Observador Tritão</t>
  </si>
  <si>
    <t>When this creature enters, look at the top card of target player's library. / Quando Observador Tritão entrar no campo de batalha, olhe o card do topo do grimório do jogador alvo.</t>
  </si>
  <si>
    <t>Oráculo Naga</t>
  </si>
  <si>
    <t>Criatura — Naga Clérigo / Creature — Naga Cleric</t>
  </si>
  <si>
    <t>Quando Oráculo Naga entrar no campo de batalha, olhe os três cards do topo de seu grimório. Coloque qualquer quantidade deles no seu cemitério e o restante no topo do seu grimório em qualquer ordem.</t>
  </si>
  <si>
    <t>Dispersal Technician / Técnico de Dispersão</t>
  </si>
  <si>
    <t>When this creature enters, you may return target artifact to its owner's hand. / Quando Técnico de Dispersão entra no campo de batalha, você pode devolver o artefato alvo para a mão de seu dono.</t>
  </si>
  <si>
    <t>Halimar Tidecaller / Convocadora das Marés de Halimar</t>
  </si>
  <si>
    <t>Creature — Human Wizard Ally / Criatura — Humano Mago Aliado</t>
  </si>
  <si>
    <t>When this creature enters, you may return target card with awaken from your graveyard to your hand. Land creatures you control have flying. / Quando Convocadora das Marés de Halimar entra no campo de batalha, você pode devolver o card alvo com despertar do seu cemitério para a sua mão.As criaturas terreno que você controla têm voar.</t>
  </si>
  <si>
    <t>Chillbringer / Portador do Frio</t>
  </si>
  <si>
    <t>Flying When this creature enters, tap target creature an opponent controls. It doesn't untap during its controller's next untap step. / Voar Quando Portador do Frio entrar no campo de batalha, vire a criatura alvo que um oponente controla. Ela não desvira durante a próxima etapa de desvirar de seu controlador.</t>
  </si>
  <si>
    <t>Stitched Mangler / Desmembrador Suturado</t>
  </si>
  <si>
    <t>This creature enters tapped. When this creature enters, tap target creature an opponent controls. That creature doesn't untap during its controller's next untap step. / Desmembrador Suturado entra no campo de batalha virado. Quando Desmembrador Suturado entrar no campo de batalha, vire a criatura alvo que um oponente controla. Aquela criatura não desvira durante a próxima etapa de desvirar de seu controlador.</t>
  </si>
  <si>
    <t>Seagraf Skaab / Skaab do Cemitério Marinho</t>
  </si>
  <si>
    <t>Palace Familiar / Familiar do Palácio</t>
  </si>
  <si>
    <t>Flying When this creature dies, draw a card. / Voar Quando Familiar do Palácio morrer, compre um card.</t>
  </si>
  <si>
    <t>Ancient Carp / Carpa Ancestral</t>
  </si>
  <si>
    <t>Creature — Fish / Criatura — Peixe</t>
  </si>
  <si>
    <t>Gurmag Drowner / Afogador de Gurmag</t>
  </si>
  <si>
    <t>Exploit (When this creature enters, you may sacrifice a creature.) When this creature exploits a creature, look at the top four cards of your library. Put one of them into your hand and the rest into your graveyard. / Explorar (Quando esta criatura entra no campo de batalha, você pode sacrificar uma criatura.) Quando Afogador de Gurmag explorar uma criatura, olhe os quatro cards do topo de seu grimório. Coloque um deles em sua mão e o restante em seu cemitério.</t>
  </si>
  <si>
    <t>Zephyr Sprite / Silfo Zéfiro</t>
  </si>
  <si>
    <t>Ophidian / Ofídio</t>
  </si>
  <si>
    <t>Creature — Snake</t>
  </si>
  <si>
    <t>Whenever this creature attacks and isn't blocked, you may draw a card. If you do, this creature assigns no combat damage this turn.</t>
  </si>
  <si>
    <t>Duel Decks Anthology: Jace vs. Chandra (JVC)</t>
  </si>
  <si>
    <t>Martyr of Frost / Mártir da Geada</t>
  </si>
  <si>
    <t>Creature — Human Wizard / Criatura — Mago Humano</t>
  </si>
  <si>
    <t>{2}, Reveal X blue cards from your hand, Sacrifice this creature: Counter target spell unless its controller pays {X}. / {2}, Revele X cards azuis de sua mão, Sacrifique Mártir da Geada: Anule a mágica alvo, a menos que seu controlador pague {X}.</t>
  </si>
  <si>
    <t>Ominous Sphinx / Esfinge Nefasta</t>
  </si>
  <si>
    <t>Creature — Sphinx / Criatura — Esfinge</t>
  </si>
  <si>
    <t>Flying Whenever you cycle or discard a card, target creature an opponent controls gets -2/-0 until end of turn. / Voar Toda vez que você recicla ou descarta um card, a criatura alvo que um oponente controla recebe -2/-0 até o final do turno.</t>
  </si>
  <si>
    <t>Realmwright / Forjador de Realidade</t>
  </si>
  <si>
    <t>As this creature enters, choose a basic land type. Lands you control are the chosen type in addition to their other types. / Conforme Forjador de Realidade entra no campo de batalha, escolha um tipo de terreno básico.Os terrenos que você controla são do tipo escolhido além de seus outros tipos.</t>
  </si>
  <si>
    <t>Champions of the Shoal</t>
  </si>
  <si>
    <t>As an additional cost to cast this spell, behold a Merfolk and exile it. (Exile a Merfolk you control or a Merfolk card from your hand.) Whenever this creature enters or becomes tapped, tap up to one target creature and put a stun counter on it. When this creature leaves the battlefield, return the exiled card to its owner's hand.</t>
  </si>
  <si>
    <t>Salvage Scuttler / Caranguejo Reciclador</t>
  </si>
  <si>
    <t>Whenever this creature attacks, return an artifact you control to its owner's hand. / Toda vez que Caranguejo Reciclador atacar, devolva um artefato que você controla para a mão de seu dono.</t>
  </si>
  <si>
    <t>Wind-Kin Raiders / Salteadores Eolinos</t>
  </si>
  <si>
    <t>Improvise (Your artifacts can help cast this spell. Each artifact you tap after you're done activating mana abilities pays for {1}.) Flying / Improvisar (Seus artefatos podem ajudar a conjurar esta mágica. Cada artefato que você vira após terminar de ativar habilidades de mana paga por {1}.) Voar</t>
  </si>
  <si>
    <t>Reckless Scholar / Erudito Incauto</t>
  </si>
  <si>
    <t>{T}: Target player draws a card, then discards a card. / {T}: O jogador alvo compra um card e depois descarta um card.</t>
  </si>
  <si>
    <t>Drunau Corpse Trawler / Trainador de Cadáveres de Drunau</t>
  </si>
  <si>
    <t>When this creature enters, create a 2/2 black Zombie creature token. {2}{B}: Target Zombie gains deathtouch until end of turn. / Quando Trainador de Cadáveres de Drunau entrar no campo de batalha, coloque no campo de batalha uma ficha de criatura preta 2/2 do tipo Zumbi. {2}{B}: O Zumbi alvo ganha toque mortífero até o final do turno.</t>
  </si>
  <si>
    <t>Skyship Plunderer / Saqueador de Aeronaus</t>
  </si>
  <si>
    <t>Flying Whenever this creature deals combat damage to a player, for each kind of counter on target permanent or player, give that permanent or player another counter of that kind. / Voar Toda vez que Saqueador de Aeronaus causar dano de combate a um jogador, para cada tipo de marcador na permanente ou jogador alvo, dê àquela permanente ou jogador outro marcador daquele tipo.</t>
  </si>
  <si>
    <t>Nebelgast Herald / Arauto do Nebelgast</t>
  </si>
  <si>
    <t>Flash Flying Whenever this creature or another Spirit you control enters, tap target creature an opponent controls. / Lampejo (Você poderá conjurar esta mágica a qualquer momento em que puder conjurar uma mágica instantânea.) Voar Toda vez que Arauto do Nebelgast ou outro Espírito entrar no campo de batalha sob o seu controle, vire a criatura alvo que um oponente controla.</t>
  </si>
  <si>
    <t>Advanced Stitchwing / Asa Suturada Avançado</t>
  </si>
  <si>
    <t>Flying {2}{U}, Discard two cards: Return this card from your graveyard to the battlefield tapped. / Voar {2}{U}, Descarte dois cards: Devolva Asa Suturada Avançado de seu cemitério para o campo de batalha virado.</t>
  </si>
  <si>
    <t>Passwall Adept / Adepto de Criptoparede</t>
  </si>
  <si>
    <t>{2}{U}: Target creature can't be blocked this turn. / {2}{U}: A criatura alvo não pode ser bloqueada neste turno.</t>
  </si>
  <si>
    <t>Fugitive Wizard / Mago Fugitivo</t>
  </si>
  <si>
    <t>Silkwing Scout / Batedora Asa-de-Seda</t>
  </si>
  <si>
    <t>Creature — Faerie Scout / Criatura — Batedor Fada</t>
  </si>
  <si>
    <t>Flying {G}, Sacrifice this creature: Search your library for a basic land card, put that card onto the battlefield tapped, then shuffle. / Voar {G}, Sacrifique Batedora Asa-de-Seda: Procure em seu grimório por um card de terreno básico e coloque-o em jogo virado. Depois, embaralhe seu grimório.</t>
  </si>
  <si>
    <t>Dissension (DIS)</t>
  </si>
  <si>
    <t>Gravity Negator / Negador da Gravidade</t>
  </si>
  <si>
    <t>Devoid (This card has no color.) Flying Whenever this creature attacks, you may pay {C}. If you do, another target creature gains flying until end of turn. ({C} represents colorless mana.) / Desprovido (Este card não tem cor.) Voar Toda vez que Negador da Gravidade ataca, você pode pagar {C}. Se fizer isso, outra criatura alvo ganha voar até o final do turno. ({C} representa mana incolor.)</t>
  </si>
  <si>
    <t>Benthic Infiltrator / Infiltrador Bêntico</t>
  </si>
  <si>
    <t>Devoid (This card has no color.) Ingest (Whenever this creature deals combat damage to a player, that player exiles the top card of their library.) This creature can't be blocked. / Desprovido (Este card não tem cor.)Ingerir (Toda vez que esta criatura causa dano de combate a um jogador, ele exila o card do topo do próprio grimório.)Infiltrador Bêntico não pode ser bloqueado.</t>
  </si>
  <si>
    <t>Jwar Isle Avenger / Vingadora da Ilha de Jwar</t>
  </si>
  <si>
    <t>Surge {2}{U} (You may cast this spell for its surge cost if you or a teammate has cast another spell this turn.) Flying / Surto {2}{U} (Você pode conjurar esta mágica por seu custo de surto se você ou um colega de equipe tiver conjurado outra mágica neste turno.) Voar</t>
  </si>
  <si>
    <t>Shielded Aether Thief / Ladrão de Éter Escudado</t>
  </si>
  <si>
    <t>Flash (You may cast this spell any time you could cast an instant.) Whenever this creature blocks, you get {E} (an energy counter). {T}, Pay {E}{E}{E}: Draw a card. / Lampejo (Você poderá conjurar esta mágica a qualquer momento em que puder conjurar uma mágica instantânea.) Toda vez que Ladrão de Éter Escudado bloqueia, você recebe {E} (um marcador de energia). {T}, Pague {E}{E}{E}: Compre um card.</t>
  </si>
  <si>
    <t>Glint-Nest Crane / Garça Nidilume</t>
  </si>
  <si>
    <t>Flying When this creature enters, look at the top four cards of your library. You may reveal an artifact card from among them and put it into your hand. Put the rest on the bottom of your library in any order. / Voar Quando Garça Nidilume entrar no campo de batalha, olhe os quatro cards do topo de seu grimório. Você pode revelar um card de artefato entre eles e colocá-lo em sua mão. Coloque o restante no fundo de seu grimório em qualquer ordem.</t>
  </si>
  <si>
    <t>Starbreach Whale</t>
  </si>
  <si>
    <t>Creature — Whale</t>
  </si>
  <si>
    <t>Flying When this creature enters, surveil 2. (Look at the top two cards of your library, then put any number of them into your graveyard and the rest on top of your library in any order.) Warp {1}{U} (You may cast this card from your hand for its warp cost. Exile this creature at the beginning of the next end step, then you may cast it from exile on a later turn.)</t>
  </si>
  <si>
    <t>Stitcher's Apprentice / Aprendiz de Suturador</t>
  </si>
  <si>
    <t>{1}{U}, {T}: Create a 2/2 blue Homunculus creature token, then sacrifice a creature. / {1}{U}, {T}: Coloque no campo de batalha uma ficha de criatura azul 2/2 do tipo Homúnculo e depois sacrifique uma criatura.</t>
  </si>
  <si>
    <t>Nimble Innovator / Inovadora Ágil</t>
  </si>
  <si>
    <t>When this creature enters, draw a card. / Quando Inovadora Ágil entrar no campo de batalha, compre um card.</t>
  </si>
  <si>
    <t>Ringwarden Owl / Coruja Guardiã do Anel</t>
  </si>
  <si>
    <t>Flying (This creature can't be blocked except by creatures with flying or reach.) Prowess (Whenever you cast a noncreature spell, this creature gets +1/+1 until end of turn.) / Voar (Esta criatura só pode ser bloqueada por criaturas com voar ou alcance.)Destreza (Toda vez que você conjura uma mágica que não seja de criatura, esta criatura recebe +1/+1 até o final do turno.)</t>
  </si>
  <si>
    <t>Crosstown Courier / Mensageiro Transurbano</t>
  </si>
  <si>
    <t>Whenever this creature deals combat damage to a player, that player mills that many cards. / Toda vez que Mensageiro Transurbano causa dano de combate a um jogador, aquele jogador coloca uma quantidade equivalente de cards do topo do grimório dele no próprio cemitério.</t>
  </si>
  <si>
    <t>Voidwielder / Manipulador do Vácuo</t>
  </si>
  <si>
    <t>When this creature enters, you may return target creature to its owner's hand. / Quando Manipulador do Vácuo entra no campo de batalha, você pode devolver a criatura alvo para a mão de seu dono.</t>
  </si>
  <si>
    <t>Doorkeeper / Porteiro</t>
  </si>
  <si>
    <t>Defender {2}{U}, {T}: Target player mills X cards, where X is the number of creatures you control with defender. / Defensor {2}{U}, {T}: O jogador alvo coloca os X cards do topo do grimório dele no próprio cemitério, sendo X igual ao número de criaturas com defensor que você controla.</t>
  </si>
  <si>
    <t>Thriving Turtle / Tartaruga Vigorosa</t>
  </si>
  <si>
    <t>When this creature enters, you get {E}{E} (two energy counters). Whenever this creature attacks, you may pay {E}{E}. If you do, put a +1/+1 counter on it. / Quando Tartaruga Vigorosa entra no campo de batalha, você recebe {E}{E} (dois marcadores de energia). Toda vez que Tartaruga Vigorosa ataca, você pode pagar {E}{E}. Se fizer isso, coloque um marcador +1/+1 nela.</t>
  </si>
  <si>
    <t>Isperia's Skywatch / Vigia Celeste de Isperia</t>
  </si>
  <si>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</si>
  <si>
    <t>Mnemonic Wall / Barreira Mnemônica</t>
  </si>
  <si>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</si>
  <si>
    <t>Coastline Chimera / Quimera Costeira</t>
  </si>
  <si>
    <t>Flying {1}{W}: This creature can block an additional creature this turn. / Voar {1}{W}: Quimera Costeira pode bloquear uma criatura adicional neste turno.</t>
  </si>
  <si>
    <t>Wave-Wing Elemental / Elemental Asa-de-onda</t>
  </si>
  <si>
    <t>Flying Landfall — Whenever a land you control enters, this creature gets +2/+2 until end of turn. / VoarAterragem — Toda vez que um terreno entra no campo de batalha sob seu controle, Elemental Asa-de-onda recebe +2/+2 até o final do turno.</t>
  </si>
  <si>
    <t xml:space="preserve">Foundations Jumpstart 2025 </t>
  </si>
  <si>
    <t>Hora da Devastação</t>
  </si>
  <si>
    <t>Mythic Proportions / Proporções Míticas</t>
  </si>
  <si>
    <t>Enchant creature Enchanted creature gets +8/+8 and has trample. / A criatura encantada recebe+8/+8 e tem a habilidade de atropelar.</t>
  </si>
  <si>
    <t>Shrivel / Murchar</t>
  </si>
  <si>
    <t>All creatures get -1/-1 until end of turn. / Todas as criaturas recebem -1/-1 até o final do turno.</t>
  </si>
  <si>
    <t>Sip of Hemlock / Gole de Cicuta</t>
  </si>
  <si>
    <t>Destroy target creature. Its controller loses 2 life. / Destrua a criatura alvo. Seu controlador perde 2 pontos de vida.</t>
  </si>
  <si>
    <t>Desecrated Earth / Terra Profanada</t>
  </si>
  <si>
    <t>Destroy target land. Its controller discards a card. / Destrua o terreno alvo. Seu controlador descarta um card.</t>
  </si>
  <si>
    <t>Rise from the Grave / Ressurgir da Cova</t>
  </si>
  <si>
    <t>Put target creature card from a graveyard onto the battlefield under your control. That creature is a black Zombie in addition to its other colors and types. / Coloque o card de criatura alvo de um cemitério no campo de batalha sob o seu controle. Aquela criatura é um Zumbi preto além de suas outras cores e tipos.</t>
  </si>
  <si>
    <t>Sever Soul / Cortar a Alma</t>
  </si>
  <si>
    <t>Destroy target nonblack creature. It can't be regenerated. You gain life equal to its toughness. / Destrói a criatura alvo que não seja preta. Ela não pode ser regenerada. Você ganha uma quantidade de pontos de vida igual à resistência dela.</t>
  </si>
  <si>
    <t>Despise / Desprezar</t>
  </si>
  <si>
    <t>Target opponent reveals their hand. You choose a creature or planeswalker card from it. That player discards that card. / O oponente alvo revela a própria mão. Você escolhe um card de criatura ou planeswalker dela. Aquele jogador descarta aquele card.</t>
  </si>
  <si>
    <t>March of the Returned / Marcha dos Ressurgidos</t>
  </si>
  <si>
    <t>Return up to two target creature cards from your graveyard to your hand. / Devolva até dois cards de criatura alvo de seu cemitério para sua mão.</t>
  </si>
  <si>
    <t>Flesh Allergy / Alergia à Carne</t>
  </si>
  <si>
    <t>As an additional cost to cast this spell, sacrifice a creature. Destroy target creature. Its controller loses life equal to the number of creatures that died this turn. / Como custo adicional para conjurar Alergia à Carne, sacrifique uma criatura. Destrua a criatura alvo. Seu controlador perde uma quantidade de pontos de vida igual ao número de criaturas colocadas em todos os cemitérios vindas do campo de batalha neste turno.</t>
  </si>
  <si>
    <t>Shadow Slice / Fatia de Sombra</t>
  </si>
  <si>
    <t>Target opponent loses 3 life. Cipher (Then you may exile this spell card encoded on a creature you control. Whenever that creature deals combat damage to a player, its controller may cast a copy of the encoded card without paying its mana cost.) / O oponente alvo perde 3 pontos de vida.Cifrar (Depois, você pode exilar este card de mágica cifrado numa criatura que você controla. Toda vez que aquela criatura causar dano de combate a um jogador, seu controlador poderá conjurar uma cópia do card cifrado sem pagar seu custo de mana.)</t>
  </si>
  <si>
    <t>Duress / Coagir</t>
  </si>
  <si>
    <t>Target opponent reveals their hand. You choose a noncreature, nonland card from it. That player discards that card. / O oponente alvo revela a própria mão. Você escolhe um card que não seja um terreno nem uma criatura da mão dele. Aquele jogador descarta aquele card.</t>
  </si>
  <si>
    <t>Yoke of the Damned / Brida do Maldito</t>
  </si>
  <si>
    <t>Enchant creature When a creature dies, destroy enchanted creature. / Encantar criatura Toda vez que uma criatura for colocada num cemitério vinda do jogo, destrua a criatura encantada.</t>
  </si>
  <si>
    <t>Illness in the Ranks / Tropas Enfermas</t>
  </si>
  <si>
    <t>Creature tokens get -1/-1. / As fichas de criatura recebem -1/-1.</t>
  </si>
  <si>
    <t>Cryptwailing / Gemidos da Cripta</t>
  </si>
  <si>
    <t>{1}, Exile two creature cards from your graveyard: Target player discards a card. Activate only as a sorcery. / {1}, Remova de jogo dois cards de criatura de seu cemitério: O jogador alvo descarta um card. Use esta habilidade somente quando puder jogar um feitiço.</t>
  </si>
  <si>
    <t>Circle of Affliction / Círculo da Aflição</t>
  </si>
  <si>
    <t>As this enchantment enters, choose a color. Whenever a source of the chosen color deals damage to you, you may pay {1}. If you do, target player loses 1 life and you gain 1 life. / Conforme Círculo da Aflição entra em jogo, escolha uma cor. Toda vez que uma fonte da cor escolhida lhe causar dano, você poderá pagar {1}. Se fizer isso, o jogador alvo perderá 1 ponto de vida e você ganhará 1 ponto de vida.</t>
  </si>
  <si>
    <t>Scourgemark / Marca do Flagelo</t>
  </si>
  <si>
    <t>Enchant creature When this Aura enters, draw a card. Enchanted creature gets +1/+0. / Encantar criatura Quando Marca do Flagelo entrar no campo de batalha, compre um card. A criatura encantada recebe +1/+0.</t>
  </si>
  <si>
    <t>Viper's Kiss / Beijo da Víbora</t>
  </si>
  <si>
    <t>Enchant creature Enchanted creature gets -1/-1, and its activated abilities can't be activated. / Encantar criatura A criatura encantada recebe -1/-1 e suas habilidades ativadas não podem ser ativadas.</t>
  </si>
  <si>
    <t>Dragon Shadow / Sombra de Dragão</t>
  </si>
  <si>
    <t>Enchant creature Enchanted creature gets +1/+0 and has fear. (It can't be blocked except by artifact creatures and/or black creatures.) When a creature with mana value 6 or greater enters, you may return this card from your graveyard to the battlefield attached to that creature. / A criatura encantada recebe +1/+0 e tem a habilidade de amedrontar. (Ela só pode ser bloqueada por criaturas pretas e/ou criaturas artefato.) Quando uma criatura com custo de mana convertido maior ou igual a 6 entrar em jogo, você pode devolver Sombra de Dragão de seu cemitério para o jogo encantando aquela criatura.</t>
  </si>
  <si>
    <t>Ordeal of Erebos / Provação de Érebo</t>
  </si>
  <si>
    <t>Enchant creature Whenever enchanted creature attacks, put a +1/+1 counter on it. Then if it has three or more +1/+1 counters on it, sacrifice this Aura. When you sacrifice this Aura, target player discards two cards. / Encantar criatura Toda vez que a criatura encantada atacar, coloque um marcador +1/+1 nela. Depois, se ela tiver três ou mais marcadores +1/+1, sacrifique Provação de Érebo. Quando você sacrifica Provação de Érebo, o jogador alvo descarta dois cards.</t>
  </si>
  <si>
    <t>Instill Infection / Infundir Infecção</t>
  </si>
  <si>
    <t>Put a -1/-1 counter on target creature. Draw a card. / Coloque um marcador -1/-1 na criatura alvo. Compre um card.</t>
  </si>
  <si>
    <t>Cutthroat Maneuver / Manobra Feroz</t>
  </si>
  <si>
    <t>Up to two target creatures each get +1/+1 and gain lifelink until end of turn. / Até duas criaturas alvo recebem +1/+1 cada uma e ganham vínculo com a vida até o final do turno.</t>
  </si>
  <si>
    <t>Corpse Lunge / Investida de Cadáver</t>
  </si>
  <si>
    <t>As an additional cost to cast this spell, exile a creature card from your graveyard. Corpse Lunge deals damage equal to the exiled card's power to target creature. / Como custo adicional para conjurar Investida de Cadáver, exile um card de criatura de seu cemitério. Investida de Cadáver causa uma quantidade de dano igual ao poder do card exilado à criatura alvo.</t>
  </si>
  <si>
    <t>Death Pulse / Pulso Mortal</t>
  </si>
  <si>
    <t>Target creature gets -4/-4 until end of turn. Cycling {1}{B}{B} ({1}{B}{B}, Discard this card: Draw a card.) When you cycle this card, you may have target creature get -1/-1 until end of turn. / A criatura alvo recebe -4/-4 até o final do turno. Reciclar {1}{B}{B} ({1}{B}{B}, Descarte este card de sua mão: Compre um card.) Quando reciclar Pulso Mortal, você pode fazer com que a criatura alvo receba -1/-1 até o final do turno.</t>
  </si>
  <si>
    <t>Haunting Hymn / Hino Assombrado</t>
  </si>
  <si>
    <t>Target player discards two cards. If you cast this spell during your main phase, that player discards four cards instead. / O jogador alvo descarta dois cards. Se você jogou este card durante sua fase principal, em vez disso, aquele jogador descarta quatro cards.</t>
  </si>
  <si>
    <t>Lash of the Whip / Estalar do Chicote</t>
  </si>
  <si>
    <t>Target creature gets -4/-4 until end of turn. / A criatura alvo recebe -4/-4 até o final do turno.</t>
  </si>
  <si>
    <t>Nameless Inversion / Inversão Anônima</t>
  </si>
  <si>
    <t>Changeling (This card is every creature type.) Target creature gets +3/-3 and loses all creature types until end of turn. / Morfolóide (Este card é de todos os tipos de criatura sempre.) A criatura alvo recebe +3/-3 e perde todos os tipos de criatura até o final do turno.</t>
  </si>
  <si>
    <t>Boon of Erebos / Bênção de Érebo</t>
  </si>
  <si>
    <t>Target creature gets +2/+0 until end of turn. Regenerate it. You lose 2 life. / A criatura alvo recebe +2/+0 até o final do turno. Regenere-a. Você perde 2 pontos de vida.</t>
  </si>
  <si>
    <t>Altar's Reap / Colheita do Altar</t>
  </si>
  <si>
    <t>As an additional cost to cast this spell, sacrifice a creature. Draw two cards. / Como custo adicional para conjurar Colheita do Altar, sacrifique uma criatura.Compre dois cards.</t>
  </si>
  <si>
    <t>Felhide Minotaur / Minotauro Courovil</t>
  </si>
  <si>
    <t>Vampire Warlord / Senhor da Guerra Vampiro</t>
  </si>
  <si>
    <t>Sacrifice another creature: Regenerate this creature. (The next time this creature would be destroyed this turn, instead tap it, remove it from combat, and heal all damage on it.) / Sacrifique outra criatura: Regenere Senhor da Guerra Vampiro. (Na próxima vez em que esta criatura seria destruída neste turno, ela não será. Em vez disso, vire-a, remova todo o dano dela e remova-a do combate.)</t>
  </si>
  <si>
    <t>Blood-Toll Harpy / Harpia do Pedágio de Sangue</t>
  </si>
  <si>
    <t>Flying When this creature enters, each player loses 1 life. / Voar Quando Harpia do Pedágio de Sangue entra no campo de batalha, cada jogador perde 1 ponto de vida.</t>
  </si>
  <si>
    <t>Corpse Hauler / Carregador de Cadáveres</t>
  </si>
  <si>
    <t>{2}{B}, Sacrifice this creature: Return another target creature card from your graveyard to your hand. / {2}{B}, Sacrifique Carregador de Cadáveres: Devolva outro card de criatura alvo de seu cemitério para sua mão.</t>
  </si>
  <si>
    <t>Nightwing Shade / Sombra da Asa Noturna</t>
  </si>
  <si>
    <t>Flying {1}{B}: This creature gets +1/+1 until end of turn. / Voar{1}{B}: Sombra da Asa Noturna recebe +1/+1 até o final do turno.</t>
  </si>
  <si>
    <t>Undead Minotaur / Minotauro Morto-vivo</t>
  </si>
  <si>
    <t>Disciple of Phenax / Discípulo de Fenax</t>
  </si>
  <si>
    <t>When this creature enters, target player reveals a number of cards from their hand equal to your devotion to black. You choose one of them. That player discards that card. (Each {B} in the mana costs of permanents you control counts toward your devotion to black.) / Quando Discípulo de Fenax entra no campo de batalha, o jogador alvo revela um número de cards da própria mão igual a sua devoção ao preto. Você escolhe um deles. Aquele jogador descarta aquele card. (Cada {B} nos custos de mana de permanentes que você controla conta para sua devoção ao preto.)</t>
  </si>
  <si>
    <t>Nimana Sell-Sword / Mercenário de Nimana</t>
  </si>
  <si>
    <t>Whenever this creature or another Ally you control enters, you may put a +1/+1 counter on this creature. / Toda vez que Mercenário de Nimana ou outro Aliado entra no campo de batalha sob o seu controle, você pode colocar um marcador +1/+1 em Mercenário de Nimana.</t>
  </si>
  <si>
    <t>Spiteful Returned / Ressurgido Malévolo</t>
  </si>
  <si>
    <t>Bestow {3}{B} (If you cast this card for its bestow cost, it's an Aura spell with enchant creature. It becomes a creature again if it's not attached.) Whenever this creature or enchanted creature attacks, defending player loses 2 life. Enchanted creature gets +1/+1. / Agraciar {3}{B} (Se você conjurar este card pagando seu custo de agraciar, ele será uma mágica de Aura com encantar criatura. Ele se tornará novamente uma criatura se não estiver anexado a uma criatura.) Toda vez que Ressurgido Malévolo ou a criatura encantada atacam, o jogador defensor perde 2 pontos de vida. A criatura encantada recebe +1/+1.</t>
  </si>
  <si>
    <t>Returned Phalanx / Falange Ressurgida</t>
  </si>
  <si>
    <t>Defender {1}{U}: This creature can attack this turn as though it didn't have defender. / Defensor {1}{U}: Falange Ressurgida pode atacar neste turno como se não tivesse defensor.</t>
  </si>
  <si>
    <t>Village Cannibals / Canibais da Aldeia</t>
  </si>
  <si>
    <t>Whenever another Human creature dies, put a +1/+1 counter on this creature. / Toda vez que outra criatura do tipo Humano morrer, coloque um marcador +1/+1 sobre Canibais da Aldeia.</t>
  </si>
  <si>
    <t>Loathsome Catoblepas / Catoblepas Repugnante</t>
  </si>
  <si>
    <t>{2}{G}: This creature must be blocked this turn if able. When this creature dies, target creature an opponent controls gets -3/-3 until end of turn. / {2}{G}: Catoblepas Repugnante deve ser bloqueado neste turno se estiver apto. Quando Catoblepas Repugnante morre, a criatura alvo que um oponente controla recebe -3/-3 até o final do turno.</t>
  </si>
  <si>
    <t>Accursed Spirit / Espírito Amaldiçoado</t>
  </si>
  <si>
    <t>Boggart Loggers / Lenhadores Papões</t>
  </si>
  <si>
    <t>Forestwalk (This creature can't be blocked as long as defending player controls a Forest.) {2}{B}, Sacrifice this creature: Destroy target Treefolk or Forest. / Travessia de Floresta {2}{B}, Sacrifique Lenhadores Papões: Destrua o Ent ou a Floresta alvo.</t>
  </si>
  <si>
    <t>Festering Newt / Salamandra Purulenta</t>
  </si>
  <si>
    <t>When this creature dies, target creature an opponent controls gets -1/-1 until end of turn. That creature gets -4/-4 instead if you control a creature named Bogbrew Witch. / Quando Salamandra Purulenta morre, a criatura alvo que um oponente controla recebe -1/-1 até o final do turno. Se você controlar uma criatura com o nome Bruxa da Poção Pantanosa, em vez disso, aquela criatura receberá -4/-4.</t>
  </si>
  <si>
    <t>Plagued Rusalka / Rusalka Atormentada</t>
  </si>
  <si>
    <t>{B}, Sacrifice a creature: Target creature gets -1/-1 until end of turn. / {B}, Sacrifique uma criatura: A criatura alvo recebe -1/-1 até o final do turno.</t>
  </si>
  <si>
    <t>Vampire Hounds / Sabujos Vampiros</t>
  </si>
  <si>
    <t>Creature — Vampire Dog</t>
  </si>
  <si>
    <t>Discard a creature card: This creature gets +2/+2 until end of turn.</t>
  </si>
  <si>
    <t>Death's-Head Buzzard / Busardo Cabeça-da-Morte</t>
  </si>
  <si>
    <t>Flying When this creature dies, all creatures get -1/-1 until end of turn. / Voar Quando Busardo Cabeça-da-Morte for colocado num cemitério vindo de jogo, todas as criaturas recebem -1/-1 até o final do turno.</t>
  </si>
  <si>
    <t>Zombie Cutthroat / Zumbi Degolador</t>
  </si>
  <si>
    <t>Morph—Pay 5 life. (You may cast this card face down as a 2/2 creature for {3}. Turn it face up any time for its morph cost.) / Metamorfose—Pague 5 pontos de vida. (Você pode baixar este card com a face voltada para baixo como uma criatura 2/2 por {3}. Volte sua face para cima a qualquer momento pagando seu custo de metamorfose.)</t>
  </si>
  <si>
    <t>Squeaking Pie Grubfellows / Larveiros de Torta Guinchante</t>
  </si>
  <si>
    <t>Kinship — At the beginning of your upkeep, you may look at the top card of your library. If it shares a creature type with this creature, you may reveal it. If you do, each opponent discards a card. / Parentesco No início de sua manutenção, você pode olhar o card do topo do seu grimório. Se ele compartilhar um tipo de criatura com Larveiros de Torta Guinchante, você poderá revelá-lo. Se fizer isso, cada oponente deverá descartar um card.</t>
  </si>
  <si>
    <t>Thieving Sprite / Silfo Larápio</t>
  </si>
  <si>
    <t>Flying When this creature enters, target player reveals X cards from their hand, where X is the number of Faeries you control. You choose one of those cards. That player discards that card. / Voar Quando Silfo Larápio entra em jogo, o jogador alvo revela X cards da mão dele, sendo X igual ao número de Fadas que você controla. Você escolhe um desses cards. Aquele jogador descarta aquele card.</t>
  </si>
  <si>
    <t>Scarred Vinebreeder / Urtigueiro Cicatrizado</t>
  </si>
  <si>
    <t>{2}{B}, Exile an Elf card from your graveyard: This creature gets +3/+3 until end of turn. / {2}{B}, Remova do jogo um card de Elfo em seu cemitério: Urtigueiro Cicatrizado recebe +3/+3 até o final do turno.</t>
  </si>
  <si>
    <t>Veilborn Ghoul / Carniçal Cria do Véu</t>
  </si>
  <si>
    <t>This creature can't block. Whenever a Swamp you control enters, you may return this card from your graveyard to your hand. / Carniçal Cria do Véu não pode bloquear. Toda vez que um Pântano entra no campo de batalha sob seu controle, você pode devolver Carniçal Cria do Véu de seu cemitério para sua mão.</t>
  </si>
  <si>
    <t>Baleful Eidolon / Eidolon Odioso</t>
  </si>
  <si>
    <t>Bestow {4}{B} (If you cast this card for its bestow cost, it's an Aura spell with enchant creature. It becomes a creature again if it's not attached.) Deathtouch (Any amount of damage this deals to a creature is enough to destroy it.) Enchanted creature gets +1/+1 and has deathtouch. / Agraciar {4}{B} (Se você conjurar este card pagando seu custo de agraciar, ele será uma mágica de Aura com encantar criatura. Ele se tornará novamente uma criatura se não estiver anexado a uma criatura.) Toque mortífero (Qualquer quantidade de dano que esta criatura cause a uma criatura é suficiente para destruí-la.) A criatura encantada recebe +1/+1 e tem toque mortífero.</t>
  </si>
  <si>
    <t>Weed-Pruner Poplar / Choupo Poda-Praga</t>
  </si>
  <si>
    <t>Creature — Treefolk Assassin / Criatura — Ent Assassino</t>
  </si>
  <si>
    <t>At the beginning of your upkeep, target creature other than this creature gets -1/-1 until end of turn. / No início de sua manutenção, a criatura alvo que não seja Choupo Poda-Praga recebe -1/-1 até o final do turno.</t>
  </si>
  <si>
    <t>Gravedigger / Coveiro</t>
  </si>
  <si>
    <t>When this creature enters, you may return target creature card from your graveyard to your hand. / Quando Coveiro entra no campo de batalha, você pode devolver o card de criatura alvo de seu cemitério para sua mão.</t>
  </si>
  <si>
    <t>Joraga Treespeaker / Língua-Verde Joraga</t>
  </si>
  <si>
    <t>Level up {1}{G} ({1}{G}: Put a level counter on this. Level up only as a sorcery.) LEVEL 1-4 1/2 {T}: Add {G}{G}. LEVEL 5+ 1/4 Elves you control have "{T}: Add {G}{G}." / Subir de nível {1}{G} ({1}{G}: Coloque um marcador de nível nesta criatura. Suba de nível somente quando puder jogar um feitiço.) NÍVEL 1-4 1/2 {T}: Adicione {G}{G} à sua reserva de mana. NÍVEL 5+ 1/4 Os elfos que você controla têm: "{T}: Adicione {G}{G} à sua reserva de mana."</t>
  </si>
  <si>
    <t>Escape Artist / Artista de Fuga</t>
  </si>
  <si>
    <t>Creature — Human Wizard / Criatura — Mago</t>
  </si>
  <si>
    <t>This creature can't be blocked. {U}, Discard a card: Return this creature to its owner's hand. / Artista de Fuga não pode ser bloqueado. {U}, Descarte um card de sua mão: Devolve Artista de Fuga para a mão de seu dono.</t>
  </si>
  <si>
    <t>Ulamog, the Ceaseless Hunger / Ulamog, a Fome Interminável</t>
  </si>
  <si>
    <t>Legendary Creature — Eldrazi / Criatura Lendária — Eldrazi</t>
  </si>
  <si>
    <t>When you cast this spell, exile two target permanents. Indestructible Whenever Ulamog attacks, defending player exiles the top twenty cards of their library. / Quando conjurar Ulamog, a Fome Interminável, exile duas permanentes alvo.IndestrutívelToda vez que Ulamog ataca, o jogador defensor exila vinte cards do topo do próprio grimório.</t>
  </si>
  <si>
    <t>Pia and Kiran Nalaar / Pia e Kiran Nalaar</t>
  </si>
  <si>
    <t>When Pia and Kiran Nalaar enters, create two 1/1 colorless Thopter artifact creature tokens with flying. {2}{R}, Sacrifice an artifact: Pia and Kiran Nalaar deals 2 damage to any target. / Quando Pia e Kiran Nalaar entrar no campo de batalha, coloque no campo de batalha duas fichas de criatura artefato incolor 1/1 do tipo Tóptero com voar. {2}{R}, Sacrifique um artefato: Pia e Kiran Nalaar causa 2 pontos de dano à criatura ou ao jogador alvo.</t>
  </si>
  <si>
    <t>Shrine of the Forsaken Gods / Santuário dos Deuses Esquecidos</t>
  </si>
  <si>
    <t>{T}: Add {C}. {T}: Add {C}{C}. Spend this mana only to cast colorless spells. Activate only if you control seven or more lands. / {T}: Adicione {1} à sua reserva de mana.{T}: Adicione {2} à sua reserva de mana. Gaste este mana apenas para conjurar mágicas incolores. Ative esta habilidade somente se você controlar sete ou mais terrenos.</t>
  </si>
  <si>
    <t>Tomb of the Spirit Dragon / Tumba do Dragão Espírito</t>
  </si>
  <si>
    <t>{T}: Add {C}. {2}, {T}: You gain 1 life for each colorless creature you control. / {T}: Adicione {1} à sua reserva de mana. {2}, {T}: Você ganha 1 ponto de vida para cada criatura incolor que controla.</t>
  </si>
  <si>
    <t>Temple of Silence / Templo do Silêncio</t>
  </si>
  <si>
    <t>This land enters tapped. When this land enters, scry 1. (Look at the top card of your library. You may put that card on the bottom.) {T}: Add {W} or {B}. / Templo do Silêncio entra no campo de batalha virado. Quando Templo do Silêncio entrar no campo de batalha, use vidência 1. (Olhe o card do topo de seu grimório. Você pode colocar aquele card no fundo de seu grimório.) {T}: Adicione {W} ou {B} à sua reserva de mana.</t>
  </si>
  <si>
    <t>Akoum Refuge / Refúgio de Akoum</t>
  </si>
  <si>
    <t>This land enters tapped. When this land enters, you gain 1 life. {T}: Add {B} or {R}. / Refúgio de Akoum entra no campo de batalha virado. Quando Refúgio de Akoum entra no campo de batalha, você ganha 1 ponto de vida. {T}: Adicione {B} ou {R} à sua reserva de mana.</t>
  </si>
  <si>
    <t>Highland Lake / Lago Montanhês</t>
  </si>
  <si>
    <t>This land enters tapped. {T}: Add {U} or {R}. / Lago Montanhês entra no campo de batalha virado. {T}: Adicione {U} ou {R}.</t>
  </si>
  <si>
    <t>Temple of Plenty / Templo da Fartura</t>
  </si>
  <si>
    <t>This land enters tapped. When this land enters, scry 1. (Look at the top card of your library. You may put that card on the bottom.) {T}: Add {G} or {W}. / Templo da Fartura entra no campo de batalha virado. Quando Templo da Fartura entrar no campo de batalha, use vidência 1. (Olhe o card do topo de seu grimório. Você pode colocar aquele card no fundo de seu grimório.) {T}: Adicione {G} ou {W} à sua reserva de mana.</t>
  </si>
  <si>
    <t>Doctor Who (WHO)</t>
  </si>
  <si>
    <t>Quill-Slinger Boggart / Papão Atira-Espinho</t>
  </si>
  <si>
    <t>Whenever a player casts a Kithkin spell, you may have target player lose 1 life. / Toda vez que um jogador jogar uma mágica de Kithkin, você pode fazer com que o jogador alvo perca 1 ponto de vida.</t>
  </si>
  <si>
    <t>Thorntooth Witch / Bruxa Dente Espinhoso</t>
  </si>
  <si>
    <t>Creature — Treefolk Shaman / Criatura — Ent Xamã</t>
  </si>
  <si>
    <t>Whenever you cast a Treefolk spell, you may have target creature get +3/-3 until end of turn. / Toda vez que você joga uma mágica de Ent, você pode fazer com que a criatura alvo receba +3/-3 até o final do turno.</t>
  </si>
  <si>
    <t>Warchanter of Mogis / Cantador de Guerra de Mogis</t>
  </si>
  <si>
    <t>Creature — Minotaur Shaman / Criatura — Minotauro Xamã</t>
  </si>
  <si>
    <t>Inspired — Whenever this creature becomes untapped, target creature you control gains intimidate until end of turn. (A creature with intimidate can't be blocked except by artifact creatures and/or creatures that share a color with it.) / Inspirado — Toda vez que Cantador de Guerra de Mogis se torna desvirado, a criatura alvo que você controla ganha intimidar até o final do turno. (Uma criatura com intimidar só pode ser bloqueada por criaturas artefato e/ou criaturas que compartilhem uma cor com ela.)</t>
  </si>
  <si>
    <t>Bloodthrone Vampire / Vampiro do Sangue Real</t>
  </si>
  <si>
    <t>Sacrifice a creature: This creature gets +2/+2 until end of turn. / Sacrifique uma criatura: Vampiro do Sangue Real recebe +2/+2 até o final do turno.</t>
  </si>
  <si>
    <t>Blood Bairn / Criança Sanguinária</t>
  </si>
  <si>
    <t>Sacrifice another creature: This creature gets +2/+2 until end of turn. / Sacrifique outra criatura: Criança Sanguinária recebe +2/+2 até o final do turno.</t>
  </si>
  <si>
    <t>Blightcaster / Conjurador de Desgraça</t>
  </si>
  <si>
    <t>Whenever you cast an enchantment spell, you may have target creature get -2/-2 until end of turn. / Toda vez que você conjura uma mágica de encantamento, você pode fazer com que a criatura alvo receba -2/-2 até o final do turno.</t>
  </si>
  <si>
    <t>Skirsdag Flayer / Esfolador Skirsdag</t>
  </si>
  <si>
    <t>{3}{B}, {T}, Sacrifice a Human: Destroy target creature. / {3}{B}, {T}, Sacrifique um Humano: Destrua a criatura alvo.</t>
  </si>
  <si>
    <t>Pack's Disdain / Desprezo do Grupo</t>
  </si>
  <si>
    <t>Choose a creature type. Target creature gets -1/-1 until end of turn for each permanent of the chosen type you control. / Escolha um tipo de criatura. A criatura alvo recebe -1/-1 até o final do turno para cada permanente do tipo escolhido que você controla.</t>
  </si>
  <si>
    <t>Frogtosser Banneret / Alferes de Lança-sapos</t>
  </si>
  <si>
    <t>Haste Goblin spells and Rogue spells you cast cost {1} less to cast. / Ímpeto As mágicas de Goblin e de Ladino que você conjura custam {1} a menos para serem conjuradas.</t>
  </si>
  <si>
    <t>Basilica Screecher / Sibilador da Basílica</t>
  </si>
  <si>
    <t>Facevaulter / Saltacara</t>
  </si>
  <si>
    <t>{B}, Sacrifice a Goblin: This creature gets +2/+2 until end of turn. / {B}, Sacrifique um Goblin: Saltacara recebe +2/+2 até o final do turno.</t>
  </si>
  <si>
    <t>Felhide Brawler / Rufião Courovil</t>
  </si>
  <si>
    <t>This creature can't block unless you control another Minotaur. / Rufião Courovil não pode bloquear a menos que você controle outro Minotauro.</t>
  </si>
  <si>
    <t>Dross Crocodile / Crocodilo do Entulho</t>
  </si>
  <si>
    <t>Creature — Zombie Crocodile / Criatura — Zumbi Crocodilo</t>
  </si>
  <si>
    <t>Nectar Faerie / Fada Nectárea</t>
  </si>
  <si>
    <t>Creature — Faerie Wizard / Criatura — Fada Mago</t>
  </si>
  <si>
    <t>Flying {B}, {T}: Target Faerie or Elf gains lifelink until end of turn. (Damage dealt by the creature also causes its controller to gain that much life.) / Voar {B}, {T}: A Fada ou Elfo alvo ganha vínculo com a vida até o final do turno. (Toda vez que causa dano, seu controlador ganha uma quantidade correspondente de pontos de vida.)</t>
  </si>
  <si>
    <t>Skeletal Changeling / Morfolóide Esquelético</t>
  </si>
  <si>
    <t>Changeling (This card is every creature type.) {1}{B}: Regenerate this creature. / Morfolóide (Este card é de todos os tipos de criatura sempre.) {1}{B}: Regenere Morfolóide Esquelético.</t>
  </si>
  <si>
    <t>Viscid Lemures / Lêmures Viscosos</t>
  </si>
  <si>
    <t>{0}: This creature gets -1/-0 and gains swampwalk until end of turn. (It can't be blocked as long as defending player controls a Swamp.) / {0}: Lêmures Viscosos recebe -1/-0 e ganha travessia de pântano até o final do turno.</t>
  </si>
  <si>
    <t>Walking Corpse / Cadáver Ambulante</t>
  </si>
  <si>
    <t>Severed Legion / Legião Apartada</t>
  </si>
  <si>
    <t>Fear (This creature can't be blocked except by artifact creatures and/or black creatures.) / Amedrontar (Esta criatura só pode ser bloqueada por criaturas pretas e/ou criaturas artefato.)</t>
  </si>
  <si>
    <t>Painsmith / Forjador de Dor</t>
  </si>
  <si>
    <t>Whenever you cast an artifact spell, you may have target creature get +2/+0 and gain deathtouch until end of turn. / Toda vez que conjura uma mágica de artefato, você pode fazer com que a criatura alvo receba +2/+0 e ganhe toque mortífero até o final do turno.</t>
  </si>
  <si>
    <t>Tavern Swindler / Vigarista da Taverna</t>
  </si>
  <si>
    <t>{T}, Pay 3 life: Flip a coin. If you win the flip, you gain 6 life. / {T}, pague 3 pontos de vida: Lance uma moeda. Se vencer, você ganha 6 pontos de vida.</t>
  </si>
  <si>
    <t>Smog Elemental / Elemental de Poluição</t>
  </si>
  <si>
    <t>Flying Creatures with flying your opponents control get -1/-1. / VoarAs criaturas com voar que seus oponentes controlam recebem -1/-1.</t>
  </si>
  <si>
    <t>Merrow Grimeblotter / Sirenídeo Espirra-Gosma</t>
  </si>
  <si>
    <t>{1}{U/B}, {Q}: Target creature gets -2/-0 until end of turn. ({Q} is the untap symbol.) / {1}{U/B}, {Q}: A criatura alvo recebe -2/-0 até o final do turno. ({Q} é o símbolo de desvirar.)</t>
  </si>
  <si>
    <t>Mercy Killing / Assassinato por Misericórdia</t>
  </si>
  <si>
    <t>Target creature's controller sacrifices it, then creates X 1/1 green and white Elf Warrior creature tokens, where X is that creature's power. / O controlador da criatura alvo sacrifica-a e coloca em jogo X fichas de criatura verde e branca 1/1 do tipo Elfo Guerreiro, sendo X igual ao poder daquela criatura.</t>
  </si>
  <si>
    <t>Mudbrawler Raiders / Salteadores de Rixalama</t>
  </si>
  <si>
    <t>This creature can't be blocked by blue creatures. / Salteadores de Rixalama não pode ser bloqueado por criaturas azuis.</t>
  </si>
  <si>
    <t>{2}{R/G}{R/G}</t>
  </si>
  <si>
    <t>Tattermunge Duo / Duo de Masca-Trapo</t>
  </si>
  <si>
    <t>Creature — Goblin Warrior Shaman / Criatura — Goblin Guerreiro Xamã</t>
  </si>
  <si>
    <t>Whenever you cast a red spell, this creature gets +1/+1 until end of turn. Whenever you cast a green spell, this creature gains forestwalk until end of turn. (It can't be blocked as long as defending player controls a Forest.) / Toda vez que você joga uma mágica vermelha, Duo de Masca-Trapo recebe +1/+1 até o final do turno. Toda vez que você joga uma mágica verde, Duo de Masca-Trapo ganha travessia de floresta até o final do turno.</t>
  </si>
  <si>
    <t>Zhur-Taa Druid / Druida Zhur-Taa</t>
  </si>
  <si>
    <t>{T}: Add {G}. Whenever you tap this creature for mana, it deals 1 damage to each opponent. / {T}: Adicione {G} à sua reserva de mana. Toda vez que você virar Druida Zhur-Taa para gerar mana, ele causará 1 ponto de dano a cada oponente.</t>
  </si>
  <si>
    <t>Horizon Chimera / Quimera do Horizonte</t>
  </si>
  <si>
    <t>Flash Flying, trample Whenever you draw a card, you gain 1 life. / Lampejo (Você poderá conjurar esta mágica a qualquer momento em que puder conjurar uma mágica instantânea.) Voar, atropelar Toda vez que você compra um card, você ganha 1 ponto de vida.</t>
  </si>
  <si>
    <t>Fossil Find / Encontrar Fóssil</t>
  </si>
  <si>
    <t>Return a card at random from your graveyard to your hand, then reorder your graveyard as you choose. / Devolva um card aleatoriamente de seu cemitério para sua mão e depois reorganize seu cemitério como quiser.</t>
  </si>
  <si>
    <t>{R/G}</t>
  </si>
  <si>
    <t>Fanatic of Xenagos / Fanático de Xenagos</t>
  </si>
  <si>
    <t>Trample Tribute 1 (As this creature enters, an opponent of your choice may put a +1/+1 counter on it.) When this creature enters, if tribute wasn't paid, it gets +1/+1 and gains haste until end of turn. / Atropelar Tributo 1 (Conforme esta criatura entra no campo de batalha, um oponente à sua escolha pode fazer com que ela receba um marcador +1/+1.) Quando Fanático de Xenagos entra no campo de batalha, se o tributo não tiver sido pago, ele recebe +1/+1 e ganha ímpeto até o final do turno.</t>
  </si>
  <si>
    <t>Rix Maadi Guildmage / Mago de Guilda de Rix Maadi</t>
  </si>
  <si>
    <t>{B}{R}: Target blocking creature gets -1/-1 until end of turn. {B}{R}: Target player who lost life this turn loses 1 life. / {B}{R}: A criatura bloqueadora alvo recebe -1/-1 até o final do turno. {B}{R}: O jogador alvo que perdeu pontos de vida neste turno perde 1 ponto de vida.</t>
  </si>
  <si>
    <t>Ragemonger / Instigador de Ódio</t>
  </si>
  <si>
    <t>Minotaur spells you cast cost {B}{R} less to cast. This effect reduces only the amount of colored mana you pay. (For example, if you cast a Minotaur spell with mana cost {2}{R}, it costs {2} to cast.) / As mágicas de Minotauro que você conjura custam {B}{R} a menos para serem conjuradas. Este efeito diminui apenas a quantidade de mana colorido que você paga. (Por exemplo, se você conjurar uma mágica de Minotauro com custo de {2}{R}, ela passa a custar {2} para ser conjurada.)</t>
  </si>
  <si>
    <t>Duskmantle Guildmage / Mago de Guilda do Manto do Crepúsculo</t>
  </si>
  <si>
    <t>{1}{U}{B}: Whenever a card is put into an opponent's graveyard from anywhere this turn, that player loses 1 life. {2}{U}{B}: Target player mills two cards. / {1}{U}{B}: Toda vez que um card for colocado no cemitério de um oponente vindo de qualquer lugar neste turno, aquele jogador perderá 1 ponto de vida.{2}{U}{B}: O jogador alvo coloca os dois cards do topo do grimório dele no próprio cemitério.</t>
  </si>
  <si>
    <t>Kiora's Follower / Seguidor de Kiora</t>
  </si>
  <si>
    <t>Creature — Merfolk / Criatura — Tritão</t>
  </si>
  <si>
    <t>{T}: Untap another target permanent. / {T}: Desvire outra permanente alvo.</t>
  </si>
  <si>
    <t>Join the Dance / Entrar na Dança</t>
  </si>
  <si>
    <t>Create two 1/1 white Human creature tokens. Flashback {3}{G}{W} (You may cast this card from your graveyard for its flashback cost. Then exile it.) / Crie duas fichas de criatura Humano branca 1/1. Recapitular {3}{G}{W} (Você pode conjurar este card de seu cemitério pagando seu custo de recapitular. Depois, exile-o.)</t>
  </si>
  <si>
    <t>Rakdos Ringleader / Líder Rakdos</t>
  </si>
  <si>
    <t>First strike Whenever this creature deals combat damage to a player, that player discards a card at random. {B}: Regenerate this creature. / Iniciativa Toda vez que Líder Rakdos causa dano de combate a um jogador, aquele jogador descarta um card aleatoriamente. {B}: Regenere Líder Rakdos.</t>
  </si>
  <si>
    <t>{4}{B}{R}</t>
  </si>
  <si>
    <t>Tolsimir Wolfblood / Tolsimir Sangue de Lobo</t>
  </si>
  <si>
    <t>Legendary Creature — Elf Warrior / Criatura Lendária - Guerreiro Elfo</t>
  </si>
  <si>
    <t>Other green creatures you control get +1/+1. Other white creatures you control get +1/+1. {T}: Create Voja, a legendary 2/2 green and white Wolf creature token. / As outras criaturas verdes que você controla recebem +1/+1. As outras criaturas brancas que você controla recebem +1/+1. {T}: Coloque em jogo uma ficha de criatura lendária verde e branca 2/2 do tipo Lobo chamada Voja.</t>
  </si>
  <si>
    <t>Scuzzback Scrapper / Sucateiro de Costas Sujas</t>
  </si>
  <si>
    <t>Old Ghastbark / Tronco-Pálido Ancião</t>
  </si>
  <si>
    <t>Creature — Treefolk Warrior / Criatura — Ent Guerreiro</t>
  </si>
  <si>
    <t>{3}{G/W}{G/W}</t>
  </si>
  <si>
    <t>Elvish Hexhunter / Caça-Feitiços Élfico</t>
  </si>
  <si>
    <t>{G/W}, {T}, Sacrifice this creature: Destroy target enchantment. / {G/W}, {T}, Sacrifique Caça-Feitiços Élfico: Destrua o encantamento alvo.</t>
  </si>
  <si>
    <t>{G/W}</t>
  </si>
  <si>
    <t>Seedcradle Witch / Bruxa Semeadora</t>
  </si>
  <si>
    <t>{2}{G}{W}: Target creature gets +3/+3 until end of turn. Untap that creature. / {2}{G}{W}: A criatura alvo recebe +3/+3 até o final do turno. Desvire aquela criatura.</t>
  </si>
  <si>
    <t>Runes of the Deus / Runas do Deus</t>
  </si>
  <si>
    <t>Enchant creature As long as enchanted creature is red, it gets +1/+1 and has double strike. (It deals both first-strike and regular combat damage.) As long as enchanted creature is green, it gets +1/+1 and has trample. / Encantar criatura Enquanto a criatura encantada for vermelha, ela receberá +1/+1 e terá golpe duplo. (Ela causa tanto o dano da iniciativa quanto o dano de combate normal.) Enquanto a criatura encantada for verde, ela receberá +1/+1 e terá atropelar.</t>
  </si>
  <si>
    <t>{4}{R/G}</t>
  </si>
  <si>
    <t>Silkbind Faerie / Fada Laço-de-Seda</t>
  </si>
  <si>
    <t>Flying {1}{W/U}, {Q}: Tap target creature. ({Q} is the untap symbol.) / Voar {1}{W/U}, {Q}: Vire a criatura alvo. ({Q} é o símbolo de desvirar.)</t>
  </si>
  <si>
    <t>{2}{W/U}</t>
  </si>
  <si>
    <t>Frenzied Tilling / Cultivo Frenético</t>
  </si>
  <si>
    <t>Destroy target land. Search your library for a basic land card, put that card onto the battlefield tapped, then shuffle. / Destrua o terreno alvo. Procure um card de terreno básico em seu grimório e coloque-o no campo de batalha virado. Depois, embaralhe seu grimório.</t>
  </si>
  <si>
    <t>{3}{R}{G}</t>
  </si>
  <si>
    <t>Carnage Gladiator / Gladiador Carniceiro</t>
  </si>
  <si>
    <t>Whenever a creature blocks, that creature's controller loses 1 life. {1}{B}{R}: Regenerate this creature. / Toda vez que uma criatura bloqueia, o controlador daquela criatura perde 1 ponto de vida. {1}{B}{R}: Regenere Gladiador Carniceiro.</t>
  </si>
  <si>
    <t>Emmara Tandris</t>
  </si>
  <si>
    <t>Legendary Creature — Elf Shaman / Criatura Lendária — Elfo Xamã</t>
  </si>
  <si>
    <t>Prevent all damage that would be dealt to creature tokens you control. / Previna todo o dano que seria causado a fichas de criatura que você controla.</t>
  </si>
  <si>
    <t>{5}{G}{W}</t>
  </si>
  <si>
    <t>Sleep / Dormir</t>
  </si>
  <si>
    <t>Tap all creatures target player controls. Those creatures don't untap during that player's next untap step. / Vire todas as criaturas que o jogador alvo controla. Essas criaturas não são desviradas durante a próxima etapa de desvirar daquele jogador.</t>
  </si>
  <si>
    <t>Ancestral Memories / Memórias Ancestrais</t>
  </si>
  <si>
    <t>Look at the top seven cards of your library. Put two of them into your hand and the rest into your graveyard.</t>
  </si>
  <si>
    <t>{2}{U}{U}{U}</t>
  </si>
  <si>
    <t>Runic Repetition / Repetição Rúnica</t>
  </si>
  <si>
    <t>Return target exiled card with flashback you own to your hand. / Devolva para a sua mão o seu card exilado alvo com recapitular.</t>
  </si>
  <si>
    <t>Flash of Insight / Lampejo de Percepção</t>
  </si>
  <si>
    <t>Look at the top X cards of your library. Put one of them into your hand and the rest on the bottom of your library in any order. Flashback—{1}{U}, Exile X blue cards from your graveyard. (You may cast this card from your graveyard for its flashback cost, then exile it. You can't exile Flash of Insight to pay for its own flashback cost.) / Olhe os primeiros X cards do topo de seu grimório. Coloque um deles em sua mão e o resto no fundo de seu grimório. Recapitular {1}{U}, Remova de jogo X cards azuis de seu cemitério. (Você não pode remover Lampejo de Percepção para pagar seu próprio custo de recapitulação.)</t>
  </si>
  <si>
    <t>{X}{1}{U}</t>
  </si>
  <si>
    <t>Hysterical Blindness / Cegueira Histérica</t>
  </si>
  <si>
    <t>Creatures your opponents control get -4/-0 until end of turn. / As criaturas controladas por seus oponentes recebem -4/-0 até o final do turno.</t>
  </si>
  <si>
    <t>Whirlpool Whelm / Inundar em Redemoinho</t>
  </si>
  <si>
    <t>Clash with an opponent, then return target creature to its owner's hand. If you win, you may put that creature on top of its owner's library instead. (Each clashing player reveals the top card of their library, then puts that card on their choice of the top or bottom. A player wins if their card had a greater mana value.) / Confronte um oponente, depois devolva a criatura alvo para a mão de seu dono. Se você vencer, você pode colocar aquela criatura no topo do grimório de seu dono. (Cada jogador confrontante revela o card do topo de seu próprio grimório, e então coloca aquele card no topo ou no fundo deste. Vence o jogador que tiver o card com o maior custo de mana convertido.)</t>
  </si>
  <si>
    <t>Oona's Grace / Graça de Oona</t>
  </si>
  <si>
    <t>Target player draws a card. Retrace (You may cast this card from your graveyard by discarding a land card in addition to paying its other costs.) / O jogador alvo compra um card. Retraçar (Você pode jogar este card de seu cemitério descartando um card de terreno, além de pagar seus outros custos.)</t>
  </si>
  <si>
    <t>Rushing River / Rio Bravo</t>
  </si>
  <si>
    <t>Kicker—Sacrifice a land. (You may sacrifice a land in addition to any other costs as you cast this spell.) Return target nonland permanent to its owner's hand. If this spell was kicked, return another target nonland permanent to its owner's hand.</t>
  </si>
  <si>
    <t>Planeshift (PLS)</t>
  </si>
  <si>
    <t>Quicksilver Geyser / Gêiser de Mercúrio</t>
  </si>
  <si>
    <t>Return up to two target nonland permanents to their owners' hands. / Devolva até duas permanentes alvo que não sejam terrenos para as mãos de seus donos.</t>
  </si>
  <si>
    <t>Spell Snip / Retalho de Mágica</t>
  </si>
  <si>
    <t>Counter target spell unless its controller pays {1}. Cycling {2} ({2}, Discard this card: Draw a card.) / Anule a mágica alvo, a menos que seu controlador pague {1}. Reciclar {2} ({2}, Descarte este card: Compre um card.)</t>
  </si>
  <si>
    <t>Frightful Delusion / Ilusão Aterrorizante</t>
  </si>
  <si>
    <t>Counter target spell unless its controller pays {1}. That player discards a card. / Anule a mágica alvo, a menos que seu controlador pague {1}. Aquele jogador descarta um card.</t>
  </si>
  <si>
    <t>Metamorphose / Metamorfosear</t>
  </si>
  <si>
    <t>Put target permanent an opponent controls on top of its owner's library. That opponent may put an artifact, creature, enchantment, or land card from their hand onto the battlefield. / Coloque a permanente alvo que um oponente controla no topo do grimório de seu dono. Aquele oponente pode colocar em jogo um card de artefato, criatura, encantamento ou terreno de sua própria mão.</t>
  </si>
  <si>
    <t>Jilt / Fim do Compromisso</t>
  </si>
  <si>
    <t>Kicker {1}{R} (You may pay an additional {1}{R} as you cast this spell.) Return target creature to its owner's hand. If this spell was kicked, it deals 2 damage to another target creature.</t>
  </si>
  <si>
    <t>Deluge / Dilúvio</t>
  </si>
  <si>
    <t>Tap all creatures without flying. / Vire todas as criaturas que não tenham a habilidade de voar.</t>
  </si>
  <si>
    <t>Mistform Mask / Máscara Nebuliforme</t>
  </si>
  <si>
    <t>Enchant creature {1}: Enchanted creature becomes the creature type of your choice until end of turn. / {1}: A criatura encantada torna-se do tipo de criatura de sua escolha até o final do turno.</t>
  </si>
  <si>
    <t>Nyxborn Triton / Talassido Nyxnato</t>
  </si>
  <si>
    <t>Enchantment Creature — Merfolk / Criatura Encantamento — Tritão</t>
  </si>
  <si>
    <t>Bestow {4}{U} (If you cast this card for its bestow cost, it's an Aura spell with enchant creature. It becomes a creature again if it's not attached.) Enchanted creature gets +2/+3. / Agraciar {4}{U} (Se você conjurar este card pagando seu custo de agraciar, ele será uma mágica de Aura com encantar criatura. Ele se tornará novamente uma criatura se não estiver anexado a uma criatura.) A criatura encantada recebe +2/+3.</t>
  </si>
  <si>
    <t>Training Grounds / Campos de Treinamento</t>
  </si>
  <si>
    <t>Activated abilities of creatures you control cost {2} less to activate. This effect can't reduce the mana in that cost to less than one mana. / As habilidades ativadas das criaturas que você controla custam até {2} a menos para serem ativadas. Este efeito não pode reduzir a quantidade de mana necessária para ativar uma habilidade para menos de um mana.</t>
  </si>
  <si>
    <t>Innistrad</t>
  </si>
  <si>
    <t>Eternity Snare / Armadilha da Eternidade</t>
  </si>
  <si>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</si>
  <si>
    <t>Levitation / Levitação</t>
  </si>
  <si>
    <t>Creatures you control have flying. / As criaturas que você controla têm voar.</t>
  </si>
  <si>
    <t>Ingenious Thief</t>
  </si>
  <si>
    <t>Flying When this creature enters, look at target player's hand.</t>
  </si>
  <si>
    <t>Portal (POR)</t>
  </si>
  <si>
    <t>Sunken City / Cidade Submersa</t>
  </si>
  <si>
    <t>At the beginning of your upkeep, sacrifice this enchantment unless you pay {U}{U}. Blue creatures get +1/+1.</t>
  </si>
  <si>
    <t>Traveler's Cloak / Manto do Viajante</t>
  </si>
  <si>
    <t>Enchant creature As this Aura enters, choose a land type. When this Aura enters, draw a card. Enchanted creature has landwalk of the chosen type. (It can't be blocked as long as defending player controls a land of that type.)</t>
  </si>
  <si>
    <t>Crown of Ascension / Coroa de Ascensão</t>
  </si>
  <si>
    <t>Enchant creature Enchanted creature has flying. Sacrifice this Aura: Enchanted creature and other creatures that share a creature type with it gain flying until end of turn. / A criatura encantada tem a habilidade de voar. Sacrifique Coroa de Ascensão: A criatura encantada e outras criaturas que compartilharem um tipo de criatura com ela ganham a habilidade de voar até o final do turno.</t>
  </si>
  <si>
    <t>Blighted Agent / Agente Deteriorado</t>
  </si>
  <si>
    <t>Creature — Phyrexian Human Rogue / Criatura — Humano Ladino</t>
  </si>
  <si>
    <t>Infect (This creature deals damage to creatures in the form of -1/-1 counters and to players in the form of poison counters.) This creature can't be blocked. / Infectar (Esta criatura causa dano a criaturas na forma de marcadores -1/-1 e a jogadores na forma de marcadores de veneno.) Agente Deteriorado não pode ser bloqueado.</t>
  </si>
  <si>
    <t>Aerie Worshippers / Adoradoras do Ninho</t>
  </si>
  <si>
    <t>Inspired — Whenever this creature becomes untapped, you may pay {2}{U}. If you do, create a 2/2 blue Bird enchantment creature token with flying. / Inspirado — Toda vez que Adoradoras do Ninho se torna desvirada, você pode pagar {2}{U}. Se fizer isso, coloque no campo de batalha uma ficha de criatura encantamento azul 2/2 do tipo Ave com voar.</t>
  </si>
  <si>
    <t>Mindreaver / Despojador de Mentes</t>
  </si>
  <si>
    <t>Heroic — Whenever you cast a spell that targets this creature, exile the top three cards of target player's library. {U}{U}, Sacrifice this creature: Counter target spell with the same name as a card exiled with this creature. / Heroico — Toda vez que você conjurar uma mágica cujo alvo seja Despojador de Mentes, exile os três cards do topo do grimório do jogador alvo. {U}{U}, Sacrifique Despojador de Mentes: Anule a mágica alvo com o mesmo nome de um card exilado com Despojador de Mentes.</t>
  </si>
  <si>
    <t>Aven Windreader / Leitor dos Ventos Aviano</t>
  </si>
  <si>
    <t>Creature — Bird Soldier Wizard / Criatura — Mago Soldado Pássaro</t>
  </si>
  <si>
    <t>Flying (This creature can't be blocked except by creatures with flying or reach.) {1}{U}: Target player reveals the top card of their library. / Voar (Esta criatura só pode ser bloqueada por criaturas com a habilidade de voar.) {1}{U}: O jogador alvo revela o card do topo de seu próprio grimório.</t>
  </si>
  <si>
    <t>Archaeomancer / Arqueomante</t>
  </si>
  <si>
    <t>When this creature enters, return target instant or sorcery card from your graveyard to your hand. / Quando Arqueomante entrar no campo de batalha, devolva o card de mágica instantânea ou de feitiço alvo de seu cemitério para a sua mão.</t>
  </si>
  <si>
    <t>Omenspeaker / Sibila</t>
  </si>
  <si>
    <t>When this creature enters, scry 2. (Look at the top two cards of your library, then put any number of them on the bottom and the rest on top in any order.) / Quando Sibila entrar no campo de batalha, use vidência 2. (Olhe os dois cards do topo do seu grimório. Depois, coloque qualquer número deles no fundo do seu grimório e o resto no topo em qualquer ordem.)</t>
  </si>
  <si>
    <t>Venerated Teacher / Professor Venerado</t>
  </si>
  <si>
    <t>When this creature enters, put two level counters on each creature you control with level up. / Quando Professor Venerado entrar no campo de batalha, coloque dois marcadores de nível em cada criatura que você controla com subir de nível.</t>
  </si>
  <si>
    <t>Stormscape Apprentice / Aprendiz de Stormscape</t>
  </si>
  <si>
    <t>{W}, {T}: Tap target creature. {B}, {T}: Target player loses 1 life.</t>
  </si>
  <si>
    <t>Thought Courier / Mensageiro de Pensamentos</t>
  </si>
  <si>
    <t>{T}: Draw a card, then discard a card. / {T}: Compre um card e depois descarte um card.</t>
  </si>
  <si>
    <t>Elgaud Shieldmate / Escudeiro de Elgaud</t>
  </si>
  <si>
    <t>Soulbond (You may pair this creature with another unpaired creature when either enters. They remain paired for as long as you control both of them.) As long as this creature is paired with another creature, both creatures have hexproof. (They can't be the targets of spells or abilities your opponents control.) / Elo espiritual (Você pode emparelhar esta criatura com outra criatura não emparelhada quando uma delas entrar no campo de batalha. Elas permanecem emparelhadas enquanto você controlar ambas.) Enquanto Escudeiro de Elgaud estiver emparelhado com outra criatura, ambas as criaturas terão resistência à magia. (Elas não podem ser alvo de mágicas nem de habilidades controladas por seus oponentes.)</t>
  </si>
  <si>
    <t>Crafty Pathmage / Magi-Trilhadora Ladina</t>
  </si>
  <si>
    <t>{T}: Target creature with power 2 or less can't be blocked this turn. / {T}: A criatura alvo com poder menor ou igual a 2 não pode ser bloqueada neste turno.</t>
  </si>
  <si>
    <t>Cephalid Scout</t>
  </si>
  <si>
    <t>Criatura — Cefalídeo Mago / Creature — Cephalid Wizard</t>
  </si>
  <si>
    <t>Flying. {2}{U}, Sacrifice a land: Draw a card.</t>
  </si>
  <si>
    <t>Mistform Wall / Barreira Nebuliforme</t>
  </si>
  <si>
    <t>Creature — Illusion Wall / Criatura — Barreira Ilusão</t>
  </si>
  <si>
    <t>This creature has defender as long as it's a Wall. {1}: This creature becomes the creature type of your choice until end of turn. / (As Barreiras não podem atacar.) {1}: Barreira Nebuliforme torna-se do tipo de criatura de sua escolha até o final do turno.</t>
  </si>
  <si>
    <t>Wall of Deceit / Barreira Enganosa</t>
  </si>
  <si>
    <t>Defender (This creature can't attack.) {3}: Turn this creature face down. Morph {U} (You may cast this card face down as a 2/2 creature for {3}. Turn it face up any time for its morph cost.) / (As Barreiras não podem atacar.) {3}: Volte a face de Barreira Enganosa para baixo. Metamorfose {U} (Você pode baixar este card com a face voltada para baixo como uma criatura 2/2 por {3}. Volte sua face para cima a qualquer momento pagando seu custo de metamorfose.)</t>
  </si>
  <si>
    <t>Vizzerdrix</t>
  </si>
  <si>
    <t>Creature — Rabbit Beast</t>
  </si>
  <si>
    <t>Sea Snidd / Snidd do Mar</t>
  </si>
  <si>
    <t>{T}: Target land becomes the basic land type of your choice until end of turn.</t>
  </si>
  <si>
    <t>Plated Seastrider / Andarilho Marinho Blindado</t>
  </si>
  <si>
    <t>Wormfang Turtle / Tartaruga Dentígera</t>
  </si>
  <si>
    <t>Creature — Nightmare Turtle Beast / Criatura — Besta Pesadelo</t>
  </si>
  <si>
    <t>When this creature enters, exile a land you control. When this creature leaves the battlefield, return the exiled card to the battlefield under its owner's control. / Quando Tartaruga Dentígera entra em jogo, remova de jogo um terreno que você controla. Quando Tartaruga Dentígera sai de jogo, devolva o card removido para o jogo sob o controle de seu dono.</t>
  </si>
  <si>
    <t>Wormfang Newt / Salamandra Dentígera</t>
  </si>
  <si>
    <t>Creature — Nightmare Salamander Beast / Criatura — Besta Pesadelo</t>
  </si>
  <si>
    <t>When this creature enters, exile a land you control. When this creature leaves the battlefield, return the exiled card to the battlefield under its owner's control. / Quando Salamandra Dentígera entra em jogo, remova de jogo um terreno que você controla. Quando Salamandra Dentígera sai de jogo, devolva o card removido para o jogo sob o controle de seu dono.</t>
  </si>
  <si>
    <t>Surrakar Banisher / Banidor Surrakar</t>
  </si>
  <si>
    <t>Creature — Surrakar / Criatura — Surrakar</t>
  </si>
  <si>
    <t>When this creature enters, you may return target tapped creature to its owner's hand. / Quando Banidor Surrakar entra no campo de batalha, você pode devolver a criatura virada alvo para a mão de seu dono.</t>
  </si>
  <si>
    <t>Frostwind Invoker / Invocador do Vento Gélido</t>
  </si>
  <si>
    <t>Flying {8}: Creatures you control gain flying until end of turn. / Voar {8}: As criaturas que você controla ganham voar até o final do turno.</t>
  </si>
  <si>
    <t>Crookclaw Transmuter / Transmutador de Garras Curvas</t>
  </si>
  <si>
    <t>Flash Flying When this creature enters, switch target creature's power and toughness until end of turn. / Lampejo Voar Quando Transmutador de Garras Curvas entrar no campo de batalha, permute o poder e a resistência da criatura alvo até o final do turno.</t>
  </si>
  <si>
    <t>Aven Fisher / Pescador Aviano</t>
  </si>
  <si>
    <t>Flying (This creature can't be blocked except by creatures with flying or reach.) When this creature dies, you may draw a card. / Voar (Esta criatura só pode ser bloqueada por criaturas com a habilidade de voar ou alcance.) Quando Pescador Aviano é colocado num cemitério vindo de jogo, você pode comprar um card.</t>
  </si>
  <si>
    <t>Dream Thrush / Tordo dos Sonhos</t>
  </si>
  <si>
    <t>Flying {T}: Target land becomes the basic land type of your choice until end of turn.</t>
  </si>
  <si>
    <t>Aven Fleetwing / Asa-veloz Aviano</t>
  </si>
  <si>
    <t>Flying Hexproof (This creature can't be the target of spells or abilities your opponents control.) / Voar Resistência à magia (Esta criatura alvo não pode ser alvo de mágicas nem de habilidades que seus oponentes controlam.)</t>
  </si>
  <si>
    <t>Storm Crow / Corvo da Tempestade</t>
  </si>
  <si>
    <t>Creature — Bird / Criatura — Pássaro</t>
  </si>
  <si>
    <t>Ninth Edition (9ED)</t>
  </si>
  <si>
    <t>Siren of the Fanged Coast / Sirena da Costa Acidentada</t>
  </si>
  <si>
    <t>Flying Tribute 3 (As this creature enters, an opponent of your choice may put three +1/+1 counters on it.) When this creature enters, if tribute wasn't paid, gain control of target creature. / Voar Tributo 3 (Conforme esta criatura entra no campo de batalha, um oponente à sua escolha pode fazer com que ela receba três marcadores +1/+1.) Quando Sirena da Costa Acidentada entrar no campo de batalha, se o tributo não tiver sido pago, ganhe o controle da criatura alvo.</t>
  </si>
  <si>
    <t>Telekinetic Sliver / Fractius Telecinético</t>
  </si>
  <si>
    <t>All Slivers have "{T}: Tap target permanent." / Todos os Fractius têm "{T}: Vire a permanente alvo."</t>
  </si>
  <si>
    <t>Coral Merfolk / Tritões dos Corais</t>
  </si>
  <si>
    <t>Coral Eel / Enguia dos Corais</t>
  </si>
  <si>
    <t>Creature — Fish / Criatura — Enguia</t>
  </si>
  <si>
    <t>Armored Cancrix / Cancrix de Armadura</t>
  </si>
  <si>
    <t>Triton Shorethief / Talassido Rouba-costa</t>
  </si>
  <si>
    <t>Armored Skaab / Skaab de Armadura</t>
  </si>
  <si>
    <t>When this creature enters, mill four cards. / Quando Skaab de Armadura entrar no campo de batalha, coloque os quatro cards do topo de seu grimório em seu cemitério.</t>
  </si>
  <si>
    <t>Oculus</t>
  </si>
  <si>
    <t>Creature — Phyrexian Homunculus / Criatura — Homúnculo</t>
  </si>
  <si>
    <t>When this creature dies, you may draw a card. / Quando Oculus é colocado num cemitério vindo do campo de batalha, você pode comprar um card.</t>
  </si>
  <si>
    <t>Talas Air Ship</t>
  </si>
  <si>
    <t>Creature — Human Pirate</t>
  </si>
  <si>
    <t>Cephalid Looter / Saqueador Cefálida</t>
  </si>
  <si>
    <t>Creature — Octopus Rogue / Criatura — Cefálida</t>
  </si>
  <si>
    <t>{T}: Target player draws a card, then discards a card. / {T}: O jogador alvo compra um card e então descarta um card de sua própria mão.</t>
  </si>
  <si>
    <t>Seacoast Drake / Dragonete Litorâneo</t>
  </si>
  <si>
    <t>Merfolk of the Pearl Trident / Tritões do Tridente Perolado</t>
  </si>
  <si>
    <t>Scroll Thief / Ladrão de Pergaminho</t>
  </si>
  <si>
    <t>Whenever this creature deals combat damage to a player, draw a card. / Toda vez que Ladrão de Pergaminho causar dano de combate a um jogador, compre um card.</t>
  </si>
  <si>
    <t>Scrivener / Escrivão</t>
  </si>
  <si>
    <t>Creature — Human Wizard / Criatura — Citadino</t>
  </si>
  <si>
    <t>When this creature enters, you may return target instant card from your graveyard to your hand. / Quando Escrivão entra em jogo você pode devolver a mágica instantânea alvo de seu cemitério para sua mão.</t>
  </si>
  <si>
    <t>Welcome Deck 2017 (W17)</t>
  </si>
  <si>
    <t>Kinscaer Harpoonist / Arpoeiro de Kinscaer</t>
  </si>
  <si>
    <t>Creature — Kithkin Soldier / Criatura — Kithkin Soldado</t>
  </si>
  <si>
    <t>Flying Whenever this creature attacks, you may have target creature lose flying until end of turn. / Voar Toda vez que Arpoeiro de Kinscaer ataca, você pode fazer com que a criatura alvo perca voar até o final do turno.</t>
  </si>
  <si>
    <t>Whimwader / Andarilho Mental</t>
  </si>
  <si>
    <t>This creature can't attack unless defending player controls a blue permanent. / Andarilho Mental não pode atacar, a menos que o jogador defensor controle uma permanente azul.</t>
  </si>
  <si>
    <t>Aethersnipe / Eteroquimera</t>
  </si>
  <si>
    <t>When this creature enters, return target nonland permanent to its owner's hand. Evoke {1}{U}{U} (You may cast this spell for its evoke cost. If you do, it's sacrificed when it enters.) / Quando Eteroquimera entrar em jogo, devolva a permanente alvo que não seja um terreno para a mão de seu dono. Evocar {1}{U}{U} (Você pode jogar esta mágica pagando seu custo de evocar. Se fizer isso, ela será sacrificada quando entrar em jogo.)</t>
  </si>
  <si>
    <t>Lumengrid Drake / Dragonete de Lumengrid</t>
  </si>
  <si>
    <t>Flying Metalcraft — When this creature enters, if you control three or more artifacts, return target creature to its owner's hand. / Voar Maestria com Metais — Quando Dragonete de Lumengrid entrar no campo de batalha, se você controlar três ou mais artefatos, devolva a criatura alvo para a mão de seu dono.</t>
  </si>
  <si>
    <t>Illusionary Servant / Servo Ilusório</t>
  </si>
  <si>
    <t>Creature — Illusion / Criatura — Ilusão</t>
  </si>
  <si>
    <t>Flying When this creature becomes the target of a spell or ability, sacrifice it. / Voar Quando Servo Ilusório tornar-se alvo de uma mágica ou habilidade, sacrifique-o.</t>
  </si>
  <si>
    <t>Ribbon Snake / Serpente de Fitas</t>
  </si>
  <si>
    <t>Flying {2}: This creature loses flying until end of turn. Any player may activate this ability.</t>
  </si>
  <si>
    <t>Cloud Sprite / Sílfide das Nuvens</t>
  </si>
  <si>
    <t>Flying (This creature can't be blocked except by creatures with flying or reach.) This creature can block only creatures with flying. / Voar (Esta criatura só pode ser bloqueada por criaturas com a habilidade de voar ou alcance.) Sílfide das Nuvens só pode bloquear criaturas com a habilidade de voar.</t>
  </si>
  <si>
    <t>Kraken of the Straits / Kraken do Estreito</t>
  </si>
  <si>
    <t>Creature — Kraken / Criatura — Kraken</t>
  </si>
  <si>
    <t>Creatures with power less than the number of Islands you control can't block this creature. / As criaturas com poder menor que o número de Ilhas que você controla não podem bloquear Kraken do Estreito.</t>
  </si>
  <si>
    <t>Merfolk Spy / Espião Tritão</t>
  </si>
  <si>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</si>
  <si>
    <t>Azure Drake / Dragonete Lazur</t>
  </si>
  <si>
    <t>Deepwater Hypnotist / Hipnotizador do Mar Profundo</t>
  </si>
  <si>
    <t>Inspired — Whenever this creature becomes untapped, target creature an opponent controls gets -3/-0 until end of turn. / Inspirado — Toda vez que Hipnotizador do Mar Profundo se torna desvirado, a criatura alvo que um oponente controla recebe -3/-0 até o final do turno.</t>
  </si>
  <si>
    <t>Phantom Warrior / Guerreiro Fantasma</t>
  </si>
  <si>
    <t>Creature — Illusion Warrior / Criatura — Ilusão Guerreiro</t>
  </si>
  <si>
    <t>This creature can't be blocked. / Guerreiro Fantasma não pode ser bloqueado.</t>
  </si>
  <si>
    <t>Esperzoa</t>
  </si>
  <si>
    <t>Artifact Creature — Jellyfish / Criatura Artefato — Água-viva</t>
  </si>
  <si>
    <t>Flying At the beginning of your upkeep, return an artifact you control to its owner's hand. / Voar No início de sua manutenção, devolva um artefato que você controla para a mão de seu dono.</t>
  </si>
  <si>
    <t>Duel Decks: Elspeth vs. Tezzeret (DDF)</t>
  </si>
  <si>
    <t>Floodchaser / Caça-Água</t>
  </si>
  <si>
    <t>This creature enters with six +1/+1 counters on it. This creature can't attack unless defending player controls an Island. {U}, Remove a +1/+1 counter from this creature: Target land becomes an Island until end of turn. / Caça-Água entra em jogo com seis marcadores +1/+1 sobre ele. Caça-Água não pode atacar, a menos que o jogador defensor controle uma Ilha. {U}, Remova um marcador +1/+1 de Caça-Água: O terreno alvo torna-se uma Ilha até o final do turno.</t>
  </si>
  <si>
    <t>Prescient Chimera / Quimera Presciente</t>
  </si>
  <si>
    <t>Flying Whenever you cast an instant or sorcery spell, scry 1. (Look at the top card of your library. You may put that card on the bottom.) / Voar Toda vez que conjurar uma mágica instantânea ou feitiço, use vidência 1. (Olhe o card do topo de seu grimório. Você pode colocar aquele card no fundo de seu grimório.)</t>
  </si>
  <si>
    <t>Merfolk Raiders / Tritões Salteadores</t>
  </si>
  <si>
    <t>Islandwalk (This creature can't be blocked as long as defending player controls an Island.) Phasing (This phases in or out before you untap during each of your untap steps. While it's phased out, it's treated as though it doesn't exist.)</t>
  </si>
  <si>
    <t>Fleeting Image / Visão Fugaz</t>
  </si>
  <si>
    <t>Flying (This creature can't be blocked except by creatures with flying or reach.) {1}{U}: Return this creature to its owner's hand. / Voar (Esta criatura só pode ser bloqueada por criaturas com a habilidade de voar.) {1}{U}: Devolve Visão Fugaz para a mão de seu dono.</t>
  </si>
  <si>
    <t>Cloud Elemental / Elemental das Nuvens</t>
  </si>
  <si>
    <t>Flying This creature can block only creatures with flying. / Voar Elemental das Nuvens só pode bloquear criaturas com a habilidade de voar.</t>
  </si>
  <si>
    <t>Chasm Drake / Dragonete do Precipício</t>
  </si>
  <si>
    <t>Flying Whenever this creature attacks, target creature you control gains flying until end of turn. / Voar Toda vez que Dragonete do Precipício ataca, a criatura alvo que você controla ganha voar até o final do turno.</t>
  </si>
  <si>
    <t>Elvish Harbinger / Anunciadora Élfica</t>
  </si>
  <si>
    <t>When this creature enters, you may search your library for an Elf card, reveal it, then shuffle and put that card on top. {T}: Add one mana of any color. / Quando Anunciadora Élfica entra em jogo, você pode procurar em seu grimório um card de Elfo, revelá-lo, e então embaralhar seu grimório e colocar aquele card no topo. {T}: Adicione um mana de qualquer cor à sua reserva de mana.</t>
  </si>
  <si>
    <t>Bulk old frame</t>
  </si>
  <si>
    <t>Bulk Vitor RJ</t>
  </si>
  <si>
    <t>Ok</t>
  </si>
  <si>
    <t>Bulk Leticia SC</t>
  </si>
  <si>
    <t>Bulk Sol</t>
  </si>
  <si>
    <t>Bulk Tiago SC</t>
  </si>
  <si>
    <t>Bulk Sapucaia</t>
  </si>
  <si>
    <t>Bulk Nissa</t>
  </si>
  <si>
    <t>Bulk Nat Poa</t>
  </si>
  <si>
    <t>Bulk Alex Cotia</t>
  </si>
  <si>
    <t>Bulk Macky SC</t>
  </si>
  <si>
    <t>Cor(cores)</t>
  </si>
  <si>
    <t>Item</t>
  </si>
  <si>
    <t>Quantidade</t>
  </si>
  <si>
    <t>Cor</t>
  </si>
  <si>
    <t>Total de cartas</t>
  </si>
  <si>
    <t>Cartas únicas</t>
  </si>
  <si>
    <t>Foil / Sim</t>
  </si>
  <si>
    <t>Não foil</t>
  </si>
  <si>
    <t>Valor total aproximado</t>
  </si>
  <si>
    <t>R$ 4,75</t>
  </si>
  <si>
    <t>Valor médio por carta</t>
  </si>
  <si>
    <t>R$ 0,09</t>
  </si>
  <si>
    <t>Raras</t>
  </si>
  <si>
    <t>Míticas</t>
  </si>
  <si>
    <t>Cor / Identidade exibida</t>
  </si>
  <si>
    <t>Criatura</t>
  </si>
  <si>
    <t>Instantânea</t>
  </si>
  <si>
    <t>The Wasp, Winsome Avenger</t>
  </si>
  <si>
    <t>Flash Flying When The Wasp enters, target Hero gains hexproof until end of turn. Whenever The Wasp attacks, tap target creature defending player controls.</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</si>
  <si>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</si>
  <si>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</si>
  <si>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</si>
  <si>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</si>
  <si>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</si>
  <si>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</si>
  <si>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</si>
  <si>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</si>
  <si>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</si>
  <si>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</si>
  <si>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</si>
  <si>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</si>
  <si>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</si>
  <si>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</si>
  <si>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</si>
  <si>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</si>
  <si>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</si>
  <si>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Branca</t>
  </si>
  <si>
    <t>Folk Hero / Herói do Povo</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</si>
  <si>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</si>
  <si>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</si>
  <si>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</si>
  <si>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</si>
  <si>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</si>
  <si>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</si>
  <si>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</si>
  <si>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</si>
  <si>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</si>
  <si>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</si>
  <si>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</si>
  <si>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</si>
  <si>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</si>
  <si>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</si>
  <si>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</si>
  <si>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</si>
  <si>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</si>
  <si>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</si>
  <si>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</si>
  <si>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</si>
  <si>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</si>
  <si>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</si>
  <si>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</si>
  <si>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</si>
  <si>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</si>
  <si>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</si>
  <si>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</si>
  <si>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</si>
  <si>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</si>
  <si>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</si>
  <si>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</si>
  <si>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Shang-Chi and the Ten Rings</t>
  </si>
  <si>
    <t>First strike Whenever you draw a card, put a +1/+1 counter on Shang-Chi. When the tenth +1/+1 counter is put on Shang-Chi, you draw five cards and gain 5 life.</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</si>
  <si>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</si>
  <si>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</si>
  <si>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</si>
  <si>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</si>
  <si>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</si>
  <si>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</si>
  <si>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</si>
  <si>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</si>
  <si>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</si>
  <si>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</si>
  <si>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</si>
  <si>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</si>
  <si>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</si>
  <si>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</si>
  <si>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Flash Double strike, haste As long as Quicksilver is tapped, you may cast spells as though they had flash.</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</si>
  <si>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</si>
  <si>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</si>
  <si>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</si>
  <si>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</si>
  <si>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</si>
  <si>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</si>
  <si>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</si>
  <si>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</si>
  <si>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</si>
  <si>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</si>
  <si>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</si>
  <si>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</si>
  <si>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</si>
  <si>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</si>
  <si>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</si>
  <si>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</si>
  <si>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</si>
  <si>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</si>
  <si>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</si>
  <si>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</si>
  <si>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</si>
  <si>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</si>
  <si>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</si>
  <si>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</si>
  <si>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</si>
  <si>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</si>
  <si>
    <t>Furycalm Snarl / Liame da Calmafuriosa</t>
  </si>
  <si>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</si>
  <si>
    <t>Captain Marvel, Apex Avenger</t>
  </si>
  <si>
    <t>Legendary Creature — Human Kree Hero</t>
  </si>
  <si>
    <t>Flying, double strike, indestructible Whenever you put one or more counters on another creature, if it's not a Kree, you may put the same number and kind of counters on Captain Marvel.</t>
  </si>
  <si>
    <t>{5}{R}{W}</t>
  </si>
  <si>
    <t>Black Widow, Agile Avenger</t>
  </si>
  <si>
    <t>Menace Whenever an opponent draws their second card each turn, put a +1/+1 counter on Black Widow and you draw a card.</t>
  </si>
  <si>
    <t>Ant-Man, Elusive Avenger</t>
  </si>
  <si>
    <t>Legendary Creature — Human Rogue Hero</t>
  </si>
  <si>
    <t>Ant-Man can't be blocked by creatures with greater power. Whenever Ant-Man deals combat damage to a player, create that many Treasure tokens.</t>
  </si>
  <si>
    <t>Prairie Stream / Riacho da Pradaria</t>
  </si>
  <si>
    <t>Land — Plains Island / Terreno — Planície Ilha</t>
  </si>
  <si>
    <t>({T}: Add {W} or {U}.) This land enters tapped unless you control two or more basic lands. / ({T}: Adicione {W} ou {U} à sua reserva de mana.)Riacho da Pradaria entra no campo de batalha virado a menos que você controle dois ou mais terrenos básicos.</t>
  </si>
  <si>
    <t>Arcane Denial / Contradição Arcana</t>
  </si>
  <si>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</si>
  <si>
    <t>Avengers Tower</t>
  </si>
  <si>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</si>
  <si>
    <t>War Machine, Avenging Arsenal</t>
  </si>
  <si>
    <t>Flying Whenever War Machine attacks, attacking modified creatures you control gain double strike until end of turn. (Equipment, Auras you control, and counters are modifications.)</t>
  </si>
  <si>
    <t>Kindred Discovery / Descoberta da Estirpe</t>
  </si>
  <si>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</si>
  <si>
    <t>She-Hulk, Wallbreaker</t>
  </si>
  <si>
    <t>Legendary Creature — Gamma Hero</t>
  </si>
  <si>
    <t>Trample Other Heroes you control have trample. Whenever a Hero you control becomes blocked, put a +1/+1 counter on that Hero for each creature blocking it.</t>
  </si>
  <si>
    <t>Arcane Signet / Sinete Arcano</t>
  </si>
  <si>
    <t>Clifftop Retreat / Retiro da Falésia</t>
  </si>
  <si>
    <t>This land enters tapped unless you control a Mountain or a Plains. {T}: Add {R} or {W}. / Retiro da Falésia entra no campo de batalha virado, a menos que você controle uma Montanha ou uma Planície. {T}: Adicione {R} ou {W} à sua reserva de mana.</t>
  </si>
  <si>
    <t>Firebird, Blazing Ranger</t>
  </si>
  <si>
    <t>Legendary Creature — Human Ranger Hero</t>
  </si>
  <si>
    <t>Flying Whenever Firebird attacks, other attacking creatures get +X/+0 until end of turn, where X is Firebird's power.</t>
  </si>
  <si>
    <t>Relic of Legends / Relíquia das Lendas</t>
  </si>
  <si>
    <t>{T}: Add one mana of any color. Tap an untapped legendary creature you control: Add one mana of any color. / {T}: Adicione um mana de qualquer cor. Vire uma criatura lendária desvirada que você controla: Adicione um mana de qualquer cor.</t>
  </si>
  <si>
    <t>West Coast Expansion</t>
  </si>
  <si>
    <t>Draw X cards. If X is 5 or more, you may cast a Hero spell from your hand without paying its mana cost.</t>
  </si>
  <si>
    <t>Metallic Mimic / Mímico Metálico</t>
  </si>
  <si>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</si>
  <si>
    <t>Spectator Seating / Lugar de Espectador</t>
  </si>
  <si>
    <t>This land enters tapped unless you have two or more opponents. {T}: Add {R} or {W}. / Lugar de Espectador entra no campo de batalha virado, a menos que você tenha dois ou mais oponentes. {T}: Adicione {R} ou {W}.</t>
  </si>
  <si>
    <t>Professor Hulk</t>
  </si>
  <si>
    <t>Trample Whenever Professor Hulk deals combat damage to a player, draw that many cards.</t>
  </si>
  <si>
    <t>Sulfur Falls / Cascata de Enxofre</t>
  </si>
  <si>
    <t>This land enters tapped unless you control an Island or a Mountain. {T}: Add {U} or {R}. / Cascata de Enxofre entra no campo de batalha virado, a menos que você controle uma Ilha ou uma Montanha. {T}: Adicione {U} ou {R} à sua reserva de mana.</t>
  </si>
  <si>
    <t>Reconnaissance Mission / Missão de Reconhecimento</t>
  </si>
  <si>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</si>
  <si>
    <t>Jarvis, Earth's Mightiest Butler</t>
  </si>
  <si>
    <t>Whenever you cast a Hero spell, draw a card.</t>
  </si>
  <si>
    <t>Iron Man, Armored Avenger</t>
  </si>
  <si>
    <t>Flying Whenever you draw a card, put a +1/+1 counter on target creature. Whenever Iron Man attacks, other attacking modified creatures gain flying until end of turn. (Equipment, Auras you control, and counters are modifications.)</t>
  </si>
  <si>
    <t>Radiant Summit</t>
  </si>
  <si>
    <t>({T}: Add {R} or {W}.) This land enters tapped unless you control two or more basic lands.</t>
  </si>
  <si>
    <t>Patriot, Shield Wielder</t>
  </si>
  <si>
    <t>{2}, {T}: Another target creature you control gets +2/+0 and gains hexproof until end of turn. (It can't be the target of spells or abilities your opponents control.)</t>
  </si>
  <si>
    <t>Talisman of Conviction / Talismã da Convicção</t>
  </si>
  <si>
    <t>{T}: Add {C}. {T}: Add {R} or {W}. This artifact deals 1 damage to you. / {T}: Adicione {C}. {T}: Adicione {R} ou {W}. Talismã da Convicção causa 1 ponto de dano a você.</t>
  </si>
  <si>
    <t>Irrigated Farmland / Fazendas Irrigadas</t>
  </si>
  <si>
    <t>({T}: Add {W} or {U}.) This land enters tapped. Cycling {2} ({2}, Discard this card: Draw a card.) / ({T}: Adicione {W} ou {U} à sua reserva de mana.) Fazendas Irrigadas entra no campo de batalha virada. Reciclar {2} ({2}, Descarte este card: Compre um card.)</t>
  </si>
  <si>
    <t>Plaza of Heroes / Praça dos Heróis</t>
  </si>
  <si>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</si>
  <si>
    <t>Hero's Blade / Lâmina do Herói</t>
  </si>
  <si>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</si>
  <si>
    <t>Winter Soldier, Reborn Avenger</t>
  </si>
  <si>
    <t>Whenever Winter Soldier attacks, return target creature card with mana value less than or equal to Winter Soldier's power from your graveyard to the battlefield. If a Hero enters this way, it enters with an additional +1/+1 counter on it.</t>
  </si>
  <si>
    <t>Methods of the Mighty</t>
  </si>
  <si>
    <t>Choose one or more — • Destroy target artifact. • Destroy target tapped creature. • Put a +1/+1 counter on each creature you control.</t>
  </si>
  <si>
    <t>Talisman of Creativity / Talismã da Criatividade</t>
  </si>
  <si>
    <t>{T}: Add {C}. {T}: Add {U} or {R}. This artifact deals 1 damage to you. / {T}: Adicione {C}. {T}: Adicione {U} ou {R}. Talismã da Criatividade causa 1 ponto de dano a você.</t>
  </si>
  <si>
    <t>Heroic Sacrifice</t>
  </si>
  <si>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</si>
  <si>
    <t>Heroic Return</t>
  </si>
  <si>
    <t>This spell costs {2} less to cast if a creature is attacking you. Return target creature card from your graveyard to the battlefield. If a Hero enters this way, it enters with two additional +1/+1 counters on it.</t>
  </si>
  <si>
    <t>Sol Ring / Anel Solar</t>
  </si>
  <si>
    <t>{T}: Add {C}{C}. / {T}: Adicione {C}{C}.</t>
  </si>
  <si>
    <t>Hercules, Olympian Hero</t>
  </si>
  <si>
    <t>Legendary Creature — Demigod Warrior Hero</t>
  </si>
  <si>
    <t>Whenever Hercules attacks, put a +1/+1 counter on him. He gains indestructible until end of turn. Whenever Hercules is dealt damage for the first time each turn, put that many +1/+1 counters on him. (He must survive the damage to get the counters.)</t>
  </si>
  <si>
    <t>Falcon and Redwing</t>
  </si>
  <si>
    <t>Legendary Creature — Human Bird Hero</t>
  </si>
  <si>
    <t>Flying Whenever Falcon and Redwing deal combat damage to a player, create that many 1/1 white Bird creature tokens with flying, then put a +1/+1 counter on Falcon and Redwing.</t>
  </si>
  <si>
    <t>Captain America, Living Legend</t>
  </si>
  <si>
    <t>Vigilance Whenever a creature you control becomes tapped during your turn, if it's the first time that creature has become tapped this turn, untap it.</t>
  </si>
  <si>
    <t>Avenge</t>
  </si>
  <si>
    <t>This spell costs {2} less to cast if a player attacked you during their last turn. Destroy all creatures. You gain 1 life for each creature destroyed this way.</t>
  </si>
  <si>
    <t>Herald's Horn / Corneta do Arauto</t>
  </si>
  <si>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</si>
  <si>
    <t>Magda, Brazen Outlaw / Magda, Criminosa Intrépida</t>
  </si>
  <si>
    <t>Legendary Creature — Dwarf Berserker / Criatura Lendária — Anão Amoque</t>
  </si>
  <si>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</si>
  <si>
    <t>Crashing Drawbridge / Ponte Levadiça Esmagadora</t>
  </si>
  <si>
    <t>Defender {T}: Creatures you control gain haste until end of turn. / Defensor {T}: As criaturas que você controla ganham ímpeto até o final do turno.</t>
  </si>
  <si>
    <t>Goblin Glasswright</t>
  </si>
  <si>
    <t>Criatura — Goblin Feiticeiro / Creature — Goblin Sorcerer</t>
  </si>
  <si>
    <t>This creature enters prepared. (While it's prepared, you may cast a copy of its spell. Doing so unprepares it.) / Craft with Pride {R}: Sorcery - Create a Treasure token.</t>
  </si>
  <si>
    <t>Vermelho / Red</t>
  </si>
  <si>
    <t>Dwarven Forge-Chanter / Cantor de Forja Anão</t>
  </si>
  <si>
    <t>Creature — Dwarf Wizard / Criatura — Anão Mago</t>
  </si>
  <si>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</si>
  <si>
    <t>Rimrock Knight // Boulder Rush / Cavaleiro de Rochabeira // Carga do Pedregulho</t>
  </si>
  <si>
    <t>Creature — Dwarf Knight // Instant — Adventure / Criatura — Anão Cavaleiro</t>
  </si>
  <si>
    <t>Rimrock Knight: This creature can't block. // Boulder Rush: Target creature gets +2/+0 until end of turn. (Then exile this card. You may cast the creature later from exile.) / Cavaleiro de Rochabeira não pode bloquear.</t>
  </si>
  <si>
    <t>{1}{R} // {R}</t>
  </si>
  <si>
    <t>Dragon's Fire / Fogo do Dragão</t>
  </si>
  <si>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</sst>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 -416]#,##0.00"/>
    <numFmt numFmtId="165" formatCode="[$R$ -416]#,##0.0000"/>
    <numFmt numFmtId="166" formatCode="d/m"/>
  </numFmts>
  <fonts count="4">
    <font>
      <sz val="10.0"/>
      <color rgb="FF000000"/>
      <name val="Arial"/>
      <scheme val="minor"/>
    </font>
    <font>
      <b/>
      <color theme="1"/>
      <name val="Arial"/>
      <scheme val="minor"/>
    </font>
    <font>
      <color theme="1"/>
      <name val="Arial"/>
      <scheme val="minor"/>
    </font>
    <font>
      <color theme="1"/>
      <name val="Arial"/>
    </font>
  </fonts>
  <fills count="4">
    <fill>
      <patternFill patternType="none"/>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1" numFmtId="165" xfId="0" applyFont="1" applyNumberForma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Font="1" applyNumberFormat="1"/>
    <xf borderId="0" fillId="0" fontId="2" numFmtId="166" xfId="0" applyAlignment="1" applyFont="1" applyNumberFormat="1">
      <alignment readingOrder="0"/>
    </xf>
    <xf borderId="0" fillId="0" fontId="3" numFmtId="0" xfId="0" applyAlignment="1" applyFont="1">
      <alignment vertical="bottom"/>
    </xf>
    <xf borderId="0" fillId="0" fontId="3" numFmtId="0" xfId="0" applyAlignment="1" applyFont="1">
      <alignment horizontal="right" readingOrder="0" vertical="bottom"/>
    </xf>
    <xf borderId="0" fillId="0" fontId="2" numFmtId="0" xfId="0" applyFont="1"/>
    <xf borderId="0" fillId="2" fontId="1" numFmtId="0" xfId="0" applyAlignment="1" applyFill="1" applyFont="1">
      <alignment horizontal="left" readingOrder="0"/>
    </xf>
    <xf borderId="0" fillId="0" fontId="2" numFmtId="0" xfId="0" applyAlignment="1" applyFont="1">
      <alignment horizontal="right" readingOrder="0"/>
    </xf>
    <xf borderId="0" fillId="2" fontId="1" numFmtId="0" xfId="0" applyAlignment="1" applyFont="1">
      <alignment horizontal="right" readingOrder="0"/>
    </xf>
    <xf borderId="0" fillId="3" fontId="2" numFmtId="0" xfId="0" applyAlignment="1" applyFill="1" applyFont="1">
      <alignment readingOrder="0"/>
    </xf>
    <xf borderId="0" fillId="3" fontId="2" numFmtId="166" xfId="0" applyAlignment="1" applyFont="1" applyNumberFormat="1">
      <alignment readingOrder="0"/>
    </xf>
    <xf borderId="0" fillId="3"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63"/>
    <col customWidth="1" min="2" max="2" width="16.75"/>
    <col customWidth="1" min="3" max="3" width="12.75"/>
    <col customWidth="1" min="4" max="4" width="14.25"/>
    <col customWidth="1" min="5" max="5" width="11.13"/>
    <col customWidth="1" min="6" max="6" width="28.63"/>
    <col customWidth="1" min="7" max="7" width="12.0"/>
    <col customWidth="1" min="8" max="8" width="40.0"/>
    <col customWidth="1" min="9" max="9" width="6.13"/>
    <col customWidth="1" min="10" max="10" width="4.75"/>
    <col customWidth="1" min="11" max="11" width="5.75"/>
    <col customWidth="1" min="12" max="12" width="3.88"/>
    <col customWidth="1" min="13" max="13" width="7.75"/>
    <col customWidth="1" min="14" max="14" width="10.13"/>
    <col customWidth="1" min="15" max="15" width="4.75"/>
    <col customWidth="1" min="16" max="16" width="8.75"/>
  </cols>
  <sheetData>
    <row r="1">
      <c r="A1" s="1" t="s">
        <v>0</v>
      </c>
      <c r="B1" s="1" t="s">
        <v>1</v>
      </c>
      <c r="C1" s="1" t="s">
        <v>2</v>
      </c>
      <c r="D1" s="1" t="s">
        <v>3</v>
      </c>
      <c r="E1" s="1" t="s">
        <v>4</v>
      </c>
      <c r="F1" s="1" t="s">
        <v>5</v>
      </c>
      <c r="G1" s="2" t="s">
        <v>6</v>
      </c>
      <c r="H1" s="1" t="s">
        <v>7</v>
      </c>
      <c r="I1" s="1" t="s">
        <v>8</v>
      </c>
      <c r="J1" s="1" t="s">
        <v>9</v>
      </c>
      <c r="K1" s="1" t="s">
        <v>10</v>
      </c>
      <c r="L1" s="1" t="s">
        <v>11</v>
      </c>
      <c r="M1" s="2" t="s">
        <v>12</v>
      </c>
      <c r="N1" s="3">
        <f>sum(M:M)</f>
        <v>3029.19</v>
      </c>
      <c r="O1" s="4">
        <f>sum(L:L)</f>
        <v>8107</v>
      </c>
      <c r="P1" s="5">
        <f>N1/O1</f>
        <v>0.3736511657</v>
      </c>
      <c r="Q1" s="4"/>
      <c r="R1" s="4"/>
      <c r="S1" s="4"/>
      <c r="T1" s="4"/>
      <c r="U1" s="4"/>
      <c r="V1" s="4"/>
      <c r="W1" s="4"/>
      <c r="X1" s="4"/>
      <c r="Y1" s="4"/>
    </row>
    <row r="2">
      <c r="A2" s="6" t="s">
        <v>13</v>
      </c>
      <c r="B2" s="6" t="s">
        <v>14</v>
      </c>
      <c r="C2" s="6" t="s">
        <v>15</v>
      </c>
      <c r="D2" s="6" t="s">
        <v>16</v>
      </c>
      <c r="E2" s="6" t="s">
        <v>17</v>
      </c>
      <c r="F2" s="6" t="s">
        <v>18</v>
      </c>
      <c r="G2" s="7">
        <v>0.25</v>
      </c>
      <c r="H2" s="6" t="s">
        <v>19</v>
      </c>
      <c r="I2" s="6" t="s">
        <v>20</v>
      </c>
      <c r="J2" s="6">
        <v>2023.0</v>
      </c>
      <c r="L2" s="6">
        <v>2.0</v>
      </c>
      <c r="M2" s="8">
        <f t="shared" ref="M2:M1018" si="1">L2*G2</f>
        <v>0.5</v>
      </c>
      <c r="P2" s="9"/>
    </row>
    <row r="3">
      <c r="A3" s="6" t="s">
        <v>21</v>
      </c>
      <c r="B3" s="6" t="s">
        <v>22</v>
      </c>
      <c r="C3" s="6" t="s">
        <v>23</v>
      </c>
      <c r="D3" s="6" t="s">
        <v>24</v>
      </c>
      <c r="E3" s="6" t="s">
        <v>25</v>
      </c>
      <c r="F3" s="6" t="s">
        <v>26</v>
      </c>
      <c r="G3" s="7">
        <v>0.13</v>
      </c>
      <c r="H3" s="6" t="s">
        <v>27</v>
      </c>
      <c r="I3" s="6" t="s">
        <v>20</v>
      </c>
      <c r="J3" s="6">
        <v>2026.0</v>
      </c>
      <c r="K3" s="10">
        <v>46082.0</v>
      </c>
      <c r="L3" s="6">
        <v>1.0</v>
      </c>
      <c r="M3" s="8">
        <f t="shared" si="1"/>
        <v>0.13</v>
      </c>
      <c r="P3" s="9"/>
    </row>
    <row r="4">
      <c r="A4" s="6" t="s">
        <v>28</v>
      </c>
      <c r="B4" s="6" t="s">
        <v>29</v>
      </c>
      <c r="C4" s="6" t="s">
        <v>30</v>
      </c>
      <c r="D4" s="6" t="s">
        <v>31</v>
      </c>
      <c r="E4" s="6" t="s">
        <v>32</v>
      </c>
      <c r="F4" s="6" t="s">
        <v>33</v>
      </c>
      <c r="G4" s="7">
        <v>4.5</v>
      </c>
      <c r="H4" s="6" t="s">
        <v>34</v>
      </c>
      <c r="I4" s="6" t="s">
        <v>20</v>
      </c>
      <c r="J4" s="6">
        <v>2025.0</v>
      </c>
      <c r="K4" s="10">
        <v>46084.0</v>
      </c>
      <c r="L4" s="6">
        <v>1.0</v>
      </c>
      <c r="M4" s="8">
        <f t="shared" si="1"/>
        <v>4.5</v>
      </c>
      <c r="P4" s="9"/>
    </row>
    <row r="5">
      <c r="A5" s="6" t="s">
        <v>35</v>
      </c>
      <c r="B5" s="6" t="s">
        <v>36</v>
      </c>
      <c r="C5" s="6" t="s">
        <v>37</v>
      </c>
      <c r="D5" s="6" t="s">
        <v>38</v>
      </c>
      <c r="E5" s="6" t="s">
        <v>39</v>
      </c>
      <c r="F5" s="6" t="s">
        <v>40</v>
      </c>
      <c r="G5" s="7">
        <v>0.15</v>
      </c>
      <c r="H5" s="6" t="s">
        <v>34</v>
      </c>
      <c r="I5" s="6" t="s">
        <v>20</v>
      </c>
      <c r="J5" s="6">
        <v>2025.0</v>
      </c>
      <c r="K5" s="10">
        <v>46056.0</v>
      </c>
      <c r="L5" s="6">
        <v>1.0</v>
      </c>
      <c r="M5" s="8">
        <f t="shared" si="1"/>
        <v>0.15</v>
      </c>
      <c r="P5" s="9"/>
    </row>
    <row r="6">
      <c r="A6" s="6" t="s">
        <v>41</v>
      </c>
      <c r="B6" s="6" t="s">
        <v>42</v>
      </c>
      <c r="C6" s="6" t="s">
        <v>43</v>
      </c>
      <c r="D6" s="6" t="s">
        <v>44</v>
      </c>
      <c r="E6" s="6" t="s">
        <v>25</v>
      </c>
      <c r="F6" s="6" t="s">
        <v>26</v>
      </c>
      <c r="G6" s="7">
        <v>0.17</v>
      </c>
      <c r="H6" s="6" t="s">
        <v>34</v>
      </c>
      <c r="I6" s="6" t="s">
        <v>20</v>
      </c>
      <c r="J6" s="6">
        <v>2025.0</v>
      </c>
      <c r="L6" s="6">
        <v>1.0</v>
      </c>
      <c r="M6" s="8">
        <f t="shared" si="1"/>
        <v>0.17</v>
      </c>
      <c r="P6" s="9"/>
    </row>
    <row r="7">
      <c r="A7" s="6" t="s">
        <v>41</v>
      </c>
      <c r="B7" s="6" t="s">
        <v>42</v>
      </c>
      <c r="C7" s="6" t="s">
        <v>43</v>
      </c>
      <c r="D7" s="6" t="s">
        <v>44</v>
      </c>
      <c r="E7" s="6" t="s">
        <v>25</v>
      </c>
      <c r="F7" s="6" t="s">
        <v>26</v>
      </c>
      <c r="G7" s="7">
        <v>0.4</v>
      </c>
      <c r="H7" s="6" t="s">
        <v>34</v>
      </c>
      <c r="I7" s="6" t="s">
        <v>45</v>
      </c>
      <c r="J7" s="6">
        <v>2025.0</v>
      </c>
      <c r="L7" s="6">
        <v>1.0</v>
      </c>
      <c r="M7" s="8">
        <f t="shared" si="1"/>
        <v>0.4</v>
      </c>
      <c r="P7" s="9"/>
    </row>
    <row r="8">
      <c r="A8" s="6" t="s">
        <v>46</v>
      </c>
      <c r="B8" s="6" t="s">
        <v>47</v>
      </c>
      <c r="C8" s="6" t="s">
        <v>43</v>
      </c>
      <c r="D8" s="6" t="s">
        <v>48</v>
      </c>
      <c r="E8" s="6" t="s">
        <v>49</v>
      </c>
      <c r="F8" s="6" t="s">
        <v>50</v>
      </c>
      <c r="G8" s="7">
        <v>6.27</v>
      </c>
      <c r="H8" s="6" t="s">
        <v>34</v>
      </c>
      <c r="I8" s="6" t="s">
        <v>20</v>
      </c>
      <c r="J8" s="6">
        <v>2025.0</v>
      </c>
      <c r="L8" s="6">
        <v>2.0</v>
      </c>
      <c r="M8" s="8">
        <f t="shared" si="1"/>
        <v>12.54</v>
      </c>
      <c r="P8" s="9"/>
    </row>
    <row r="9">
      <c r="A9" s="6" t="s">
        <v>51</v>
      </c>
      <c r="B9" s="6" t="s">
        <v>52</v>
      </c>
      <c r="C9" s="6" t="s">
        <v>30</v>
      </c>
      <c r="D9" s="6" t="s">
        <v>53</v>
      </c>
      <c r="F9" s="6" t="s">
        <v>40</v>
      </c>
      <c r="G9" s="7">
        <v>40.0</v>
      </c>
      <c r="H9" s="6" t="s">
        <v>34</v>
      </c>
      <c r="I9" s="6" t="s">
        <v>20</v>
      </c>
      <c r="J9" s="6">
        <v>2025.0</v>
      </c>
      <c r="L9" s="6">
        <v>1.0</v>
      </c>
      <c r="M9" s="8">
        <f t="shared" si="1"/>
        <v>40</v>
      </c>
      <c r="P9" s="9"/>
    </row>
    <row r="10">
      <c r="A10" s="6" t="s">
        <v>54</v>
      </c>
      <c r="B10" s="6" t="s">
        <v>55</v>
      </c>
      <c r="C10" s="6" t="s">
        <v>43</v>
      </c>
      <c r="D10" s="6" t="s">
        <v>56</v>
      </c>
      <c r="E10" s="6" t="s">
        <v>57</v>
      </c>
      <c r="F10" s="6" t="s">
        <v>40</v>
      </c>
      <c r="G10" s="7">
        <v>0.1</v>
      </c>
      <c r="H10" s="6" t="s">
        <v>58</v>
      </c>
      <c r="I10" s="6" t="s">
        <v>20</v>
      </c>
      <c r="J10" s="6">
        <v>1995.0</v>
      </c>
      <c r="K10" s="10">
        <v>46082.0</v>
      </c>
      <c r="L10" s="6">
        <v>1.0</v>
      </c>
      <c r="M10" s="8">
        <f t="shared" si="1"/>
        <v>0.1</v>
      </c>
      <c r="P10" s="9"/>
    </row>
    <row r="11">
      <c r="A11" s="6" t="s">
        <v>59</v>
      </c>
      <c r="B11" s="6" t="s">
        <v>60</v>
      </c>
      <c r="C11" s="6" t="s">
        <v>61</v>
      </c>
      <c r="D11" s="6" t="s">
        <v>62</v>
      </c>
      <c r="E11" s="6" t="s">
        <v>63</v>
      </c>
      <c r="F11" s="6" t="s">
        <v>64</v>
      </c>
      <c r="G11" s="7">
        <v>0.3</v>
      </c>
      <c r="H11" s="6" t="s">
        <v>65</v>
      </c>
      <c r="I11" s="6" t="s">
        <v>20</v>
      </c>
      <c r="J11" s="6">
        <v>2013.0</v>
      </c>
      <c r="K11" s="6" t="s">
        <v>66</v>
      </c>
      <c r="L11" s="6">
        <v>1.0</v>
      </c>
      <c r="M11" s="8">
        <f t="shared" si="1"/>
        <v>0.3</v>
      </c>
      <c r="P11" s="9"/>
    </row>
    <row r="12">
      <c r="A12" s="6" t="s">
        <v>67</v>
      </c>
      <c r="B12" s="6" t="s">
        <v>68</v>
      </c>
      <c r="C12" s="6" t="s">
        <v>37</v>
      </c>
      <c r="D12" s="6" t="s">
        <v>69</v>
      </c>
      <c r="E12" s="6" t="s">
        <v>70</v>
      </c>
      <c r="F12" s="6" t="s">
        <v>71</v>
      </c>
      <c r="G12" s="7">
        <v>0.29</v>
      </c>
      <c r="H12" s="6" t="s">
        <v>72</v>
      </c>
      <c r="I12" s="6" t="s">
        <v>20</v>
      </c>
      <c r="J12" s="6">
        <v>2026.0</v>
      </c>
      <c r="K12" s="10">
        <v>46083.0</v>
      </c>
      <c r="L12" s="6">
        <v>1.0</v>
      </c>
      <c r="M12" s="8">
        <f t="shared" si="1"/>
        <v>0.29</v>
      </c>
      <c r="P12" s="9"/>
    </row>
    <row r="13">
      <c r="A13" s="6" t="s">
        <v>73</v>
      </c>
      <c r="B13" s="6" t="s">
        <v>74</v>
      </c>
      <c r="C13" s="6" t="s">
        <v>43</v>
      </c>
      <c r="D13" s="6" t="s">
        <v>75</v>
      </c>
      <c r="E13" s="6" t="s">
        <v>76</v>
      </c>
      <c r="F13" s="6" t="s">
        <v>77</v>
      </c>
      <c r="G13" s="7">
        <v>0.03</v>
      </c>
      <c r="H13" s="6" t="s">
        <v>78</v>
      </c>
      <c r="I13" s="6" t="s">
        <v>20</v>
      </c>
      <c r="J13" s="6">
        <v>2018.0</v>
      </c>
      <c r="L13" s="6">
        <v>1.0</v>
      </c>
      <c r="M13" s="8">
        <f t="shared" si="1"/>
        <v>0.03</v>
      </c>
      <c r="P13" s="9"/>
    </row>
    <row r="14">
      <c r="A14" s="6" t="s">
        <v>79</v>
      </c>
      <c r="B14" s="6" t="s">
        <v>80</v>
      </c>
      <c r="C14" s="6" t="s">
        <v>37</v>
      </c>
      <c r="D14" s="6" t="s">
        <v>81</v>
      </c>
      <c r="E14" s="6" t="s">
        <v>82</v>
      </c>
      <c r="F14" s="6" t="s">
        <v>77</v>
      </c>
      <c r="G14" s="7">
        <v>0.2</v>
      </c>
      <c r="H14" s="6" t="s">
        <v>83</v>
      </c>
      <c r="I14" s="6" t="s">
        <v>20</v>
      </c>
      <c r="J14" s="6">
        <v>1995.0</v>
      </c>
      <c r="K14" s="10">
        <v>46175.0</v>
      </c>
      <c r="L14" s="6">
        <v>1.0</v>
      </c>
      <c r="M14" s="8">
        <f t="shared" si="1"/>
        <v>0.2</v>
      </c>
      <c r="P14" s="9"/>
    </row>
    <row r="15">
      <c r="A15" s="6" t="s">
        <v>84</v>
      </c>
      <c r="B15" s="6" t="s">
        <v>74</v>
      </c>
      <c r="C15" s="6" t="s">
        <v>37</v>
      </c>
      <c r="D15" s="6" t="s">
        <v>85</v>
      </c>
      <c r="E15" s="6" t="s">
        <v>86</v>
      </c>
      <c r="F15" s="6" t="s">
        <v>87</v>
      </c>
      <c r="G15" s="7">
        <v>0.3</v>
      </c>
      <c r="H15" s="6" t="s">
        <v>88</v>
      </c>
      <c r="I15" s="6" t="s">
        <v>20</v>
      </c>
      <c r="J15" s="6">
        <v>2024.0</v>
      </c>
      <c r="L15" s="6">
        <v>1.0</v>
      </c>
      <c r="M15" s="8">
        <f t="shared" si="1"/>
        <v>0.3</v>
      </c>
      <c r="P15" s="9"/>
    </row>
    <row r="16">
      <c r="A16" s="6" t="s">
        <v>84</v>
      </c>
      <c r="B16" s="6" t="s">
        <v>74</v>
      </c>
      <c r="C16" s="6" t="s">
        <v>43</v>
      </c>
      <c r="D16" s="6" t="s">
        <v>85</v>
      </c>
      <c r="E16" s="6" t="s">
        <v>86</v>
      </c>
      <c r="F16" s="6" t="s">
        <v>87</v>
      </c>
      <c r="G16" s="7">
        <v>0.3</v>
      </c>
      <c r="H16" s="6" t="s">
        <v>89</v>
      </c>
      <c r="I16" s="6" t="s">
        <v>20</v>
      </c>
      <c r="J16" s="6">
        <v>2021.0</v>
      </c>
      <c r="L16" s="6">
        <v>3.0</v>
      </c>
      <c r="M16" s="8">
        <f t="shared" si="1"/>
        <v>0.9</v>
      </c>
      <c r="P16" s="9"/>
    </row>
    <row r="17">
      <c r="A17" s="6" t="s">
        <v>84</v>
      </c>
      <c r="B17" s="6" t="s">
        <v>74</v>
      </c>
      <c r="C17" s="6" t="s">
        <v>43</v>
      </c>
      <c r="D17" s="6" t="s">
        <v>85</v>
      </c>
      <c r="E17" s="6" t="s">
        <v>86</v>
      </c>
      <c r="F17" s="6" t="s">
        <v>87</v>
      </c>
      <c r="G17" s="7">
        <v>0.25</v>
      </c>
      <c r="H17" s="6" t="s">
        <v>89</v>
      </c>
      <c r="I17" s="6" t="s">
        <v>20</v>
      </c>
      <c r="J17" s="6">
        <v>2021.0</v>
      </c>
      <c r="L17" s="6">
        <v>1.0</v>
      </c>
      <c r="M17" s="8">
        <f t="shared" si="1"/>
        <v>0.25</v>
      </c>
      <c r="P17" s="9"/>
    </row>
    <row r="18">
      <c r="A18" s="6" t="s">
        <v>90</v>
      </c>
      <c r="B18" s="6" t="s">
        <v>91</v>
      </c>
      <c r="C18" s="6" t="s">
        <v>37</v>
      </c>
      <c r="D18" s="6" t="s">
        <v>92</v>
      </c>
      <c r="E18" s="6" t="s">
        <v>93</v>
      </c>
      <c r="F18" s="6" t="s">
        <v>77</v>
      </c>
      <c r="G18" s="7">
        <v>0.15</v>
      </c>
      <c r="H18" s="6" t="s">
        <v>94</v>
      </c>
      <c r="I18" s="6" t="s">
        <v>20</v>
      </c>
      <c r="J18" s="6">
        <v>1996.0</v>
      </c>
      <c r="K18" s="10">
        <v>46083.0</v>
      </c>
      <c r="L18" s="6">
        <v>1.0</v>
      </c>
      <c r="M18" s="8">
        <f t="shared" si="1"/>
        <v>0.15</v>
      </c>
      <c r="P18" s="9"/>
    </row>
    <row r="19">
      <c r="A19" s="6" t="s">
        <v>95</v>
      </c>
      <c r="B19" s="6" t="s">
        <v>96</v>
      </c>
      <c r="C19" s="6" t="s">
        <v>43</v>
      </c>
      <c r="D19" s="6" t="s">
        <v>97</v>
      </c>
      <c r="E19" s="6" t="s">
        <v>98</v>
      </c>
      <c r="F19" s="6" t="s">
        <v>18</v>
      </c>
      <c r="G19" s="7">
        <v>0.2</v>
      </c>
      <c r="H19" s="6" t="s">
        <v>99</v>
      </c>
      <c r="I19" s="6" t="s">
        <v>45</v>
      </c>
      <c r="J19" s="6">
        <v>2022.0</v>
      </c>
      <c r="K19" s="6" t="s">
        <v>100</v>
      </c>
      <c r="L19" s="6">
        <v>1.0</v>
      </c>
      <c r="M19" s="8">
        <f t="shared" si="1"/>
        <v>0.2</v>
      </c>
      <c r="P19" s="9"/>
    </row>
    <row r="20">
      <c r="A20" s="6" t="s">
        <v>101</v>
      </c>
      <c r="B20" s="6" t="s">
        <v>102</v>
      </c>
      <c r="C20" s="6" t="s">
        <v>30</v>
      </c>
      <c r="D20" s="6" t="s">
        <v>103</v>
      </c>
      <c r="E20" s="6" t="s">
        <v>57</v>
      </c>
      <c r="F20" s="6" t="s">
        <v>40</v>
      </c>
      <c r="G20" s="7">
        <v>0.65</v>
      </c>
      <c r="H20" s="6" t="s">
        <v>104</v>
      </c>
      <c r="I20" s="6" t="s">
        <v>45</v>
      </c>
      <c r="J20" s="6">
        <v>2019.0</v>
      </c>
      <c r="K20" s="10">
        <v>46084.0</v>
      </c>
      <c r="L20" s="6">
        <v>1.0</v>
      </c>
      <c r="M20" s="8">
        <f t="shared" si="1"/>
        <v>0.65</v>
      </c>
      <c r="P20" s="9"/>
    </row>
    <row r="21">
      <c r="A21" s="6" t="s">
        <v>105</v>
      </c>
      <c r="B21" s="6" t="s">
        <v>47</v>
      </c>
      <c r="C21" s="6" t="s">
        <v>37</v>
      </c>
      <c r="D21" s="6" t="s">
        <v>106</v>
      </c>
      <c r="E21" s="6" t="s">
        <v>107</v>
      </c>
      <c r="F21" s="6" t="s">
        <v>18</v>
      </c>
      <c r="G21" s="7">
        <v>5.7</v>
      </c>
      <c r="H21" s="6" t="s">
        <v>34</v>
      </c>
      <c r="I21" s="6" t="s">
        <v>45</v>
      </c>
      <c r="J21" s="6">
        <v>2025.0</v>
      </c>
      <c r="L21" s="6">
        <v>1.0</v>
      </c>
      <c r="M21" s="8">
        <f t="shared" si="1"/>
        <v>5.7</v>
      </c>
      <c r="P21" s="9"/>
    </row>
    <row r="22">
      <c r="A22" s="6" t="s">
        <v>108</v>
      </c>
      <c r="B22" s="6" t="s">
        <v>109</v>
      </c>
      <c r="C22" s="6" t="s">
        <v>37</v>
      </c>
      <c r="D22" s="6" t="s">
        <v>110</v>
      </c>
      <c r="E22" s="6" t="s">
        <v>111</v>
      </c>
      <c r="F22" s="6" t="s">
        <v>112</v>
      </c>
      <c r="G22" s="7">
        <v>0.25</v>
      </c>
      <c r="H22" s="6" t="s">
        <v>113</v>
      </c>
      <c r="I22" s="6" t="s">
        <v>20</v>
      </c>
      <c r="J22" s="6">
        <v>2023.0</v>
      </c>
      <c r="K22" s="10">
        <v>46055.0</v>
      </c>
      <c r="L22" s="6">
        <v>1.0</v>
      </c>
      <c r="M22" s="8">
        <f t="shared" si="1"/>
        <v>0.25</v>
      </c>
      <c r="P22" s="9"/>
    </row>
    <row r="23">
      <c r="A23" s="6" t="s">
        <v>114</v>
      </c>
      <c r="B23" s="6" t="s">
        <v>115</v>
      </c>
      <c r="C23" s="6" t="s">
        <v>23</v>
      </c>
      <c r="D23" s="6" t="s">
        <v>116</v>
      </c>
      <c r="E23" s="6" t="s">
        <v>117</v>
      </c>
      <c r="F23" s="6" t="s">
        <v>77</v>
      </c>
      <c r="G23" s="7">
        <v>0.59</v>
      </c>
      <c r="H23" s="6" t="s">
        <v>19</v>
      </c>
      <c r="I23" s="6" t="s">
        <v>45</v>
      </c>
      <c r="J23" s="6">
        <v>2023.0</v>
      </c>
      <c r="L23" s="6">
        <v>1.0</v>
      </c>
      <c r="M23" s="8">
        <f t="shared" si="1"/>
        <v>0.59</v>
      </c>
      <c r="P23" s="9"/>
    </row>
    <row r="24">
      <c r="A24" s="6" t="s">
        <v>114</v>
      </c>
      <c r="B24" s="6" t="s">
        <v>115</v>
      </c>
      <c r="C24" s="6" t="s">
        <v>23</v>
      </c>
      <c r="D24" s="6" t="s">
        <v>116</v>
      </c>
      <c r="E24" s="6" t="s">
        <v>117</v>
      </c>
      <c r="F24" s="6" t="s">
        <v>77</v>
      </c>
      <c r="G24" s="7">
        <v>0.18</v>
      </c>
      <c r="H24" s="6" t="s">
        <v>19</v>
      </c>
      <c r="I24" s="6" t="s">
        <v>20</v>
      </c>
      <c r="J24" s="6">
        <v>2023.0</v>
      </c>
      <c r="L24" s="6">
        <v>3.0</v>
      </c>
      <c r="M24" s="8">
        <f t="shared" si="1"/>
        <v>0.54</v>
      </c>
      <c r="P24" s="9"/>
    </row>
    <row r="25">
      <c r="A25" s="6" t="s">
        <v>118</v>
      </c>
      <c r="B25" s="6" t="s">
        <v>119</v>
      </c>
      <c r="C25" s="6" t="s">
        <v>61</v>
      </c>
      <c r="D25" s="6" t="s">
        <v>120</v>
      </c>
      <c r="E25" s="6" t="s">
        <v>107</v>
      </c>
      <c r="F25" s="6" t="s">
        <v>18</v>
      </c>
      <c r="G25" s="7">
        <v>2.9</v>
      </c>
      <c r="H25" s="6" t="s">
        <v>121</v>
      </c>
      <c r="I25" s="6" t="s">
        <v>45</v>
      </c>
      <c r="J25" s="6">
        <v>2021.0</v>
      </c>
      <c r="L25" s="6">
        <v>1.0</v>
      </c>
      <c r="M25" s="8">
        <f t="shared" si="1"/>
        <v>2.9</v>
      </c>
      <c r="N25" s="6" t="s">
        <v>122</v>
      </c>
      <c r="P25" s="9"/>
    </row>
    <row r="26">
      <c r="A26" s="6" t="s">
        <v>123</v>
      </c>
      <c r="B26" s="6" t="s">
        <v>74</v>
      </c>
      <c r="C26" s="6" t="s">
        <v>43</v>
      </c>
      <c r="D26" s="6" t="s">
        <v>124</v>
      </c>
      <c r="E26" s="6" t="s">
        <v>125</v>
      </c>
      <c r="F26" s="6" t="s">
        <v>40</v>
      </c>
      <c r="G26" s="7">
        <v>0.15</v>
      </c>
      <c r="H26" s="6" t="s">
        <v>126</v>
      </c>
      <c r="I26" s="6" t="s">
        <v>20</v>
      </c>
      <c r="J26" s="6">
        <v>2025.0</v>
      </c>
      <c r="L26" s="6">
        <v>1.0</v>
      </c>
      <c r="M26" s="8">
        <f t="shared" si="1"/>
        <v>0.15</v>
      </c>
      <c r="P26" s="9"/>
    </row>
    <row r="27">
      <c r="A27" s="6" t="s">
        <v>127</v>
      </c>
      <c r="B27" s="6" t="s">
        <v>115</v>
      </c>
      <c r="C27" s="6" t="s">
        <v>23</v>
      </c>
      <c r="D27" s="6" t="s">
        <v>128</v>
      </c>
      <c r="E27" s="6" t="s">
        <v>129</v>
      </c>
      <c r="F27" s="6" t="s">
        <v>87</v>
      </c>
      <c r="G27" s="7">
        <v>0.13</v>
      </c>
      <c r="H27" s="6" t="s">
        <v>130</v>
      </c>
      <c r="I27" s="6" t="s">
        <v>20</v>
      </c>
      <c r="J27" s="6">
        <v>2014.0</v>
      </c>
      <c r="L27" s="6">
        <v>1.0</v>
      </c>
      <c r="M27" s="8">
        <f t="shared" si="1"/>
        <v>0.13</v>
      </c>
      <c r="P27" s="9"/>
    </row>
    <row r="28">
      <c r="A28" s="6" t="s">
        <v>127</v>
      </c>
      <c r="B28" s="6" t="s">
        <v>115</v>
      </c>
      <c r="C28" s="6" t="s">
        <v>23</v>
      </c>
      <c r="D28" s="6" t="s">
        <v>128</v>
      </c>
      <c r="E28" s="6" t="s">
        <v>129</v>
      </c>
      <c r="F28" s="6" t="s">
        <v>87</v>
      </c>
      <c r="G28" s="7">
        <v>0.03</v>
      </c>
      <c r="H28" s="6" t="s">
        <v>131</v>
      </c>
      <c r="I28" s="6" t="s">
        <v>20</v>
      </c>
      <c r="J28" s="6">
        <v>2019.0</v>
      </c>
      <c r="L28" s="6">
        <v>1.0</v>
      </c>
      <c r="M28" s="8">
        <f t="shared" si="1"/>
        <v>0.03</v>
      </c>
      <c r="P28" s="9"/>
    </row>
    <row r="29">
      <c r="A29" s="6" t="s">
        <v>132</v>
      </c>
      <c r="B29" s="6" t="s">
        <v>133</v>
      </c>
      <c r="C29" s="6" t="s">
        <v>43</v>
      </c>
      <c r="D29" s="6" t="s">
        <v>134</v>
      </c>
      <c r="E29" s="6" t="s">
        <v>135</v>
      </c>
      <c r="F29" s="6" t="s">
        <v>40</v>
      </c>
      <c r="G29" s="7">
        <v>0.1</v>
      </c>
      <c r="H29" s="6" t="s">
        <v>136</v>
      </c>
      <c r="I29" s="6" t="s">
        <v>20</v>
      </c>
      <c r="J29" s="6">
        <v>2026.0</v>
      </c>
      <c r="K29" s="10">
        <v>46055.0</v>
      </c>
      <c r="L29" s="6">
        <v>2.0</v>
      </c>
      <c r="M29" s="8">
        <f t="shared" si="1"/>
        <v>0.2</v>
      </c>
      <c r="P29" s="9"/>
    </row>
    <row r="30">
      <c r="A30" s="6" t="s">
        <v>137</v>
      </c>
      <c r="B30" s="6" t="s">
        <v>138</v>
      </c>
      <c r="C30" s="6" t="s">
        <v>43</v>
      </c>
      <c r="D30" s="6" t="s">
        <v>139</v>
      </c>
      <c r="E30" s="6" t="s">
        <v>140</v>
      </c>
      <c r="F30" s="6" t="s">
        <v>87</v>
      </c>
      <c r="G30" s="7">
        <v>1.43</v>
      </c>
      <c r="H30" s="6" t="s">
        <v>141</v>
      </c>
      <c r="I30" s="6" t="s">
        <v>20</v>
      </c>
      <c r="J30" s="6">
        <v>1995.0</v>
      </c>
      <c r="L30" s="6">
        <v>2.0</v>
      </c>
      <c r="M30" s="8">
        <f t="shared" si="1"/>
        <v>2.86</v>
      </c>
      <c r="P30" s="9"/>
    </row>
    <row r="31">
      <c r="A31" s="6" t="s">
        <v>142</v>
      </c>
      <c r="B31" s="6" t="s">
        <v>74</v>
      </c>
      <c r="C31" s="6" t="s">
        <v>43</v>
      </c>
      <c r="D31" s="6" t="s">
        <v>143</v>
      </c>
      <c r="E31" s="6" t="s">
        <v>135</v>
      </c>
      <c r="F31" s="6" t="s">
        <v>40</v>
      </c>
      <c r="G31" s="7">
        <v>0.3</v>
      </c>
      <c r="H31" s="6" t="s">
        <v>144</v>
      </c>
      <c r="I31" s="6" t="s">
        <v>45</v>
      </c>
      <c r="J31" s="6">
        <v>2018.0</v>
      </c>
      <c r="L31" s="6">
        <v>1.0</v>
      </c>
      <c r="M31" s="8">
        <f t="shared" si="1"/>
        <v>0.3</v>
      </c>
      <c r="P31" s="9"/>
    </row>
    <row r="32">
      <c r="A32" s="6" t="s">
        <v>145</v>
      </c>
      <c r="B32" s="6" t="s">
        <v>146</v>
      </c>
      <c r="C32" s="6" t="s">
        <v>37</v>
      </c>
      <c r="D32" s="6" t="s">
        <v>147</v>
      </c>
      <c r="E32" s="6" t="s">
        <v>111</v>
      </c>
      <c r="F32" s="6" t="s">
        <v>112</v>
      </c>
      <c r="G32" s="7">
        <v>0.19</v>
      </c>
      <c r="H32" s="6" t="s">
        <v>148</v>
      </c>
      <c r="I32" s="6" t="s">
        <v>20</v>
      </c>
      <c r="J32" s="6">
        <v>2026.0</v>
      </c>
      <c r="L32" s="6">
        <v>1.0</v>
      </c>
      <c r="M32" s="8">
        <f t="shared" si="1"/>
        <v>0.19</v>
      </c>
      <c r="P32" s="9"/>
    </row>
    <row r="33">
      <c r="A33" s="6" t="s">
        <v>149</v>
      </c>
      <c r="B33" s="6" t="s">
        <v>150</v>
      </c>
      <c r="C33" s="6" t="s">
        <v>15</v>
      </c>
      <c r="D33" s="6" t="s">
        <v>151</v>
      </c>
      <c r="E33" s="6" t="s">
        <v>152</v>
      </c>
      <c r="F33" s="6" t="s">
        <v>40</v>
      </c>
      <c r="G33" s="7">
        <v>0.11</v>
      </c>
      <c r="H33" s="6" t="s">
        <v>153</v>
      </c>
      <c r="I33" s="6" t="s">
        <v>20</v>
      </c>
      <c r="J33" s="6">
        <v>2025.0</v>
      </c>
      <c r="K33" s="10">
        <v>46024.0</v>
      </c>
      <c r="L33" s="6">
        <v>1.0</v>
      </c>
      <c r="M33" s="8">
        <f t="shared" si="1"/>
        <v>0.11</v>
      </c>
      <c r="P33" s="9"/>
    </row>
    <row r="34">
      <c r="A34" s="6" t="s">
        <v>149</v>
      </c>
      <c r="B34" s="6" t="s">
        <v>150</v>
      </c>
      <c r="C34" s="6" t="s">
        <v>15</v>
      </c>
      <c r="D34" s="6" t="s">
        <v>151</v>
      </c>
      <c r="E34" s="6" t="s">
        <v>152</v>
      </c>
      <c r="F34" s="6" t="s">
        <v>40</v>
      </c>
      <c r="G34" s="7">
        <v>0.99</v>
      </c>
      <c r="H34" s="6" t="s">
        <v>153</v>
      </c>
      <c r="I34" s="6" t="s">
        <v>45</v>
      </c>
      <c r="J34" s="6">
        <v>2025.0</v>
      </c>
      <c r="K34" s="10">
        <v>46024.0</v>
      </c>
      <c r="L34" s="6">
        <v>1.0</v>
      </c>
      <c r="M34" s="8">
        <f t="shared" si="1"/>
        <v>0.99</v>
      </c>
      <c r="P34" s="9"/>
    </row>
    <row r="35">
      <c r="A35" s="6" t="s">
        <v>154</v>
      </c>
      <c r="B35" s="6" t="s">
        <v>155</v>
      </c>
      <c r="C35" s="6" t="s">
        <v>156</v>
      </c>
      <c r="D35" s="6" t="s">
        <v>157</v>
      </c>
      <c r="E35" s="6" t="s">
        <v>158</v>
      </c>
      <c r="F35" s="6" t="s">
        <v>159</v>
      </c>
      <c r="G35" s="7">
        <v>0.75</v>
      </c>
      <c r="H35" s="6" t="s">
        <v>160</v>
      </c>
      <c r="I35" s="6" t="s">
        <v>20</v>
      </c>
      <c r="J35" s="6">
        <v>2024.0</v>
      </c>
      <c r="L35" s="6">
        <v>1.0</v>
      </c>
      <c r="M35" s="8">
        <f t="shared" si="1"/>
        <v>0.75</v>
      </c>
      <c r="P35" s="9"/>
    </row>
    <row r="36">
      <c r="A36" s="6" t="s">
        <v>161</v>
      </c>
      <c r="B36" s="6" t="s">
        <v>162</v>
      </c>
      <c r="C36" s="6" t="s">
        <v>43</v>
      </c>
      <c r="D36" s="6" t="s">
        <v>163</v>
      </c>
      <c r="E36" s="6" t="s">
        <v>164</v>
      </c>
      <c r="F36" s="6" t="s">
        <v>112</v>
      </c>
      <c r="G36" s="7">
        <v>0.05</v>
      </c>
      <c r="H36" s="6" t="s">
        <v>165</v>
      </c>
      <c r="I36" s="6" t="s">
        <v>20</v>
      </c>
      <c r="J36" s="6">
        <v>2020.0</v>
      </c>
      <c r="L36" s="6">
        <v>1.0</v>
      </c>
      <c r="M36" s="8">
        <f t="shared" si="1"/>
        <v>0.05</v>
      </c>
      <c r="P36" s="9"/>
    </row>
    <row r="37">
      <c r="A37" s="6" t="s">
        <v>166</v>
      </c>
      <c r="B37" s="6" t="s">
        <v>167</v>
      </c>
      <c r="C37" s="6" t="s">
        <v>23</v>
      </c>
      <c r="D37" s="6" t="s">
        <v>168</v>
      </c>
      <c r="E37" s="6">
        <v>3.0</v>
      </c>
      <c r="F37" s="6" t="s">
        <v>26</v>
      </c>
      <c r="G37" s="7">
        <v>0.05</v>
      </c>
      <c r="H37" s="6" t="s">
        <v>153</v>
      </c>
      <c r="I37" s="6" t="s">
        <v>20</v>
      </c>
      <c r="J37" s="6">
        <v>2025.0</v>
      </c>
      <c r="K37" s="10">
        <v>46056.0</v>
      </c>
      <c r="L37" s="6">
        <v>7.0</v>
      </c>
      <c r="M37" s="8">
        <f t="shared" si="1"/>
        <v>0.35</v>
      </c>
      <c r="P37" s="9"/>
    </row>
    <row r="38">
      <c r="A38" s="6" t="s">
        <v>169</v>
      </c>
      <c r="B38" s="6" t="s">
        <v>170</v>
      </c>
      <c r="C38" s="6" t="s">
        <v>23</v>
      </c>
      <c r="D38" s="6" t="s">
        <v>171</v>
      </c>
      <c r="E38" s="6" t="s">
        <v>172</v>
      </c>
      <c r="F38" s="6" t="s">
        <v>26</v>
      </c>
      <c r="G38" s="7">
        <v>0.25</v>
      </c>
      <c r="H38" s="6" t="s">
        <v>153</v>
      </c>
      <c r="I38" s="6" t="s">
        <v>20</v>
      </c>
      <c r="J38" s="6">
        <v>2025.0</v>
      </c>
      <c r="L38" s="6">
        <v>5.0</v>
      </c>
      <c r="M38" s="8">
        <f t="shared" si="1"/>
        <v>1.25</v>
      </c>
      <c r="P38" s="9"/>
    </row>
    <row r="39">
      <c r="A39" s="6" t="s">
        <v>173</v>
      </c>
      <c r="B39" s="6" t="s">
        <v>174</v>
      </c>
      <c r="C39" s="6" t="s">
        <v>43</v>
      </c>
      <c r="D39" s="6" t="s">
        <v>175</v>
      </c>
      <c r="E39" s="6" t="s">
        <v>176</v>
      </c>
      <c r="F39" s="6" t="s">
        <v>77</v>
      </c>
      <c r="G39" s="7">
        <v>0.09</v>
      </c>
      <c r="H39" s="6" t="s">
        <v>148</v>
      </c>
      <c r="I39" s="6" t="s">
        <v>20</v>
      </c>
      <c r="J39" s="6">
        <v>2026.0</v>
      </c>
      <c r="K39" s="10">
        <v>46056.0</v>
      </c>
      <c r="L39" s="6">
        <v>1.0</v>
      </c>
      <c r="M39" s="8">
        <f t="shared" si="1"/>
        <v>0.09</v>
      </c>
      <c r="P39" s="9"/>
    </row>
    <row r="40">
      <c r="A40" s="6" t="s">
        <v>177</v>
      </c>
      <c r="B40" s="6" t="s">
        <v>162</v>
      </c>
      <c r="C40" s="6" t="s">
        <v>43</v>
      </c>
      <c r="D40" s="6" t="s">
        <v>178</v>
      </c>
      <c r="E40" s="6" t="s">
        <v>179</v>
      </c>
      <c r="F40" s="6" t="s">
        <v>112</v>
      </c>
      <c r="G40" s="7">
        <v>0.15</v>
      </c>
      <c r="H40" s="6" t="s">
        <v>180</v>
      </c>
      <c r="I40" s="6" t="s">
        <v>20</v>
      </c>
      <c r="J40" s="6">
        <v>2024.0</v>
      </c>
      <c r="L40" s="6">
        <v>1.0</v>
      </c>
      <c r="M40" s="8">
        <f t="shared" si="1"/>
        <v>0.15</v>
      </c>
      <c r="P40" s="9"/>
    </row>
    <row r="41">
      <c r="A41" s="6" t="s">
        <v>181</v>
      </c>
      <c r="B41" s="6" t="s">
        <v>182</v>
      </c>
      <c r="C41" s="6" t="s">
        <v>183</v>
      </c>
      <c r="D41" s="6" t="s">
        <v>184</v>
      </c>
      <c r="E41" s="6" t="s">
        <v>185</v>
      </c>
      <c r="F41" s="6" t="s">
        <v>186</v>
      </c>
      <c r="G41" s="7">
        <v>2.95</v>
      </c>
      <c r="H41" s="6" t="s">
        <v>187</v>
      </c>
      <c r="I41" s="6" t="s">
        <v>20</v>
      </c>
      <c r="J41" s="6">
        <v>1995.0</v>
      </c>
      <c r="L41" s="6">
        <v>1.0</v>
      </c>
      <c r="M41" s="8">
        <f t="shared" si="1"/>
        <v>2.95</v>
      </c>
      <c r="N41" s="6" t="s">
        <v>122</v>
      </c>
      <c r="P41" s="9"/>
    </row>
    <row r="42">
      <c r="A42" s="6" t="s">
        <v>188</v>
      </c>
      <c r="B42" s="6" t="s">
        <v>189</v>
      </c>
      <c r="C42" s="6" t="s">
        <v>43</v>
      </c>
      <c r="E42" s="6" t="s">
        <v>190</v>
      </c>
      <c r="F42" s="6" t="s">
        <v>18</v>
      </c>
      <c r="G42" s="7">
        <v>0.02</v>
      </c>
      <c r="H42" s="6" t="s">
        <v>88</v>
      </c>
      <c r="I42" s="6" t="s">
        <v>20</v>
      </c>
      <c r="J42" s="6">
        <v>2024.0</v>
      </c>
      <c r="K42" s="6" t="s">
        <v>100</v>
      </c>
      <c r="L42" s="6">
        <v>1.0</v>
      </c>
      <c r="M42" s="8">
        <f t="shared" si="1"/>
        <v>0.02</v>
      </c>
      <c r="P42" s="9"/>
    </row>
    <row r="43">
      <c r="A43" s="6" t="s">
        <v>191</v>
      </c>
      <c r="B43" s="6" t="s">
        <v>192</v>
      </c>
      <c r="C43" s="6" t="s">
        <v>30</v>
      </c>
      <c r="D43" s="6" t="s">
        <v>193</v>
      </c>
      <c r="E43" s="6" t="s">
        <v>25</v>
      </c>
      <c r="F43" s="6" t="s">
        <v>26</v>
      </c>
      <c r="G43" s="7">
        <v>7.92</v>
      </c>
      <c r="H43" s="6" t="s">
        <v>194</v>
      </c>
      <c r="I43" s="6" t="s">
        <v>20</v>
      </c>
      <c r="J43" s="6">
        <v>1994.0</v>
      </c>
      <c r="L43" s="6">
        <v>1.0</v>
      </c>
      <c r="M43" s="8">
        <f t="shared" si="1"/>
        <v>7.92</v>
      </c>
      <c r="N43" s="6" t="s">
        <v>122</v>
      </c>
      <c r="P43" s="9"/>
    </row>
    <row r="44">
      <c r="A44" s="6" t="s">
        <v>195</v>
      </c>
      <c r="B44" s="6" t="s">
        <v>22</v>
      </c>
      <c r="C44" s="6" t="s">
        <v>23</v>
      </c>
      <c r="D44" s="6" t="s">
        <v>196</v>
      </c>
      <c r="E44" s="6" t="s">
        <v>190</v>
      </c>
      <c r="F44" s="6" t="s">
        <v>18</v>
      </c>
      <c r="G44" s="7">
        <v>0.13</v>
      </c>
      <c r="H44" s="6" t="s">
        <v>27</v>
      </c>
      <c r="I44" s="6" t="s">
        <v>20</v>
      </c>
      <c r="J44" s="6">
        <v>2026.0</v>
      </c>
      <c r="K44" s="10">
        <v>46023.0</v>
      </c>
      <c r="L44" s="6">
        <v>2.0</v>
      </c>
      <c r="M44" s="8">
        <f t="shared" si="1"/>
        <v>0.26</v>
      </c>
      <c r="P44" s="9"/>
    </row>
    <row r="45">
      <c r="A45" s="6" t="s">
        <v>197</v>
      </c>
      <c r="B45" s="6" t="s">
        <v>74</v>
      </c>
      <c r="C45" s="6" t="s">
        <v>43</v>
      </c>
      <c r="D45" s="6" t="s">
        <v>198</v>
      </c>
      <c r="E45" s="6" t="s">
        <v>135</v>
      </c>
      <c r="F45" s="6" t="s">
        <v>40</v>
      </c>
      <c r="G45" s="7">
        <v>0.05</v>
      </c>
      <c r="H45" s="6" t="s">
        <v>65</v>
      </c>
      <c r="I45" s="6" t="s">
        <v>20</v>
      </c>
      <c r="J45" s="6">
        <v>2013.0</v>
      </c>
      <c r="L45" s="6">
        <v>1.0</v>
      </c>
      <c r="M45" s="8">
        <f t="shared" si="1"/>
        <v>0.05</v>
      </c>
      <c r="P45" s="9"/>
    </row>
    <row r="46">
      <c r="A46" s="6" t="s">
        <v>199</v>
      </c>
      <c r="B46" s="6" t="s">
        <v>115</v>
      </c>
      <c r="C46" s="6" t="s">
        <v>23</v>
      </c>
      <c r="D46" s="6" t="s">
        <v>200</v>
      </c>
      <c r="E46" s="6" t="s">
        <v>201</v>
      </c>
      <c r="F46" s="6" t="s">
        <v>40</v>
      </c>
      <c r="G46" s="7">
        <v>0.1</v>
      </c>
      <c r="H46" s="6" t="s">
        <v>153</v>
      </c>
      <c r="I46" s="6" t="s">
        <v>20</v>
      </c>
      <c r="J46" s="6">
        <v>2025.0</v>
      </c>
      <c r="L46" s="6">
        <v>10.0</v>
      </c>
      <c r="M46" s="8">
        <f t="shared" si="1"/>
        <v>1</v>
      </c>
      <c r="P46" s="9"/>
    </row>
    <row r="47">
      <c r="A47" s="6" t="s">
        <v>202</v>
      </c>
      <c r="B47" s="6" t="s">
        <v>203</v>
      </c>
      <c r="C47" s="6" t="s">
        <v>204</v>
      </c>
      <c r="D47" s="6" t="s">
        <v>205</v>
      </c>
      <c r="E47" s="6" t="s">
        <v>185</v>
      </c>
      <c r="F47" s="6" t="s">
        <v>186</v>
      </c>
      <c r="G47" s="7">
        <v>0.2</v>
      </c>
      <c r="H47" s="6" t="s">
        <v>206</v>
      </c>
      <c r="I47" s="6" t="s">
        <v>20</v>
      </c>
      <c r="J47" s="6">
        <v>1996.0</v>
      </c>
      <c r="K47" s="10">
        <v>46024.0</v>
      </c>
      <c r="L47" s="6">
        <v>1.0</v>
      </c>
      <c r="M47" s="8">
        <f t="shared" si="1"/>
        <v>0.2</v>
      </c>
      <c r="P47" s="9"/>
    </row>
    <row r="48">
      <c r="A48" s="6" t="s">
        <v>207</v>
      </c>
      <c r="B48" s="6" t="s">
        <v>208</v>
      </c>
      <c r="C48" s="6" t="s">
        <v>43</v>
      </c>
      <c r="D48" s="6" t="s">
        <v>209</v>
      </c>
      <c r="E48" s="6" t="s">
        <v>210</v>
      </c>
      <c r="F48" s="6" t="s">
        <v>18</v>
      </c>
      <c r="G48" s="7">
        <v>0.09</v>
      </c>
      <c r="H48" s="6" t="s">
        <v>211</v>
      </c>
      <c r="I48" s="6" t="s">
        <v>20</v>
      </c>
      <c r="J48" s="6">
        <v>2010.0</v>
      </c>
      <c r="K48" s="10">
        <v>46055.0</v>
      </c>
      <c r="L48" s="6">
        <v>1.0</v>
      </c>
      <c r="M48" s="8">
        <f t="shared" si="1"/>
        <v>0.09</v>
      </c>
      <c r="P48" s="9"/>
    </row>
    <row r="49">
      <c r="A49" s="6" t="s">
        <v>212</v>
      </c>
      <c r="B49" s="6" t="s">
        <v>213</v>
      </c>
      <c r="C49" s="6" t="s">
        <v>23</v>
      </c>
      <c r="D49" s="6" t="s">
        <v>214</v>
      </c>
      <c r="E49" s="6" t="s">
        <v>215</v>
      </c>
      <c r="F49" s="6" t="s">
        <v>26</v>
      </c>
      <c r="G49" s="7">
        <v>2.99</v>
      </c>
      <c r="H49" s="6" t="s">
        <v>216</v>
      </c>
      <c r="I49" s="6" t="s">
        <v>20</v>
      </c>
      <c r="J49" s="6">
        <v>2010.0</v>
      </c>
      <c r="L49" s="6">
        <v>2.0</v>
      </c>
      <c r="M49" s="8">
        <f t="shared" si="1"/>
        <v>5.98</v>
      </c>
      <c r="P49" s="9"/>
    </row>
    <row r="50">
      <c r="A50" s="6" t="s">
        <v>212</v>
      </c>
      <c r="B50" s="6" t="s">
        <v>213</v>
      </c>
      <c r="C50" s="6" t="s">
        <v>23</v>
      </c>
      <c r="D50" s="6" t="s">
        <v>214</v>
      </c>
      <c r="E50" s="6" t="s">
        <v>215</v>
      </c>
      <c r="F50" s="6" t="s">
        <v>26</v>
      </c>
      <c r="G50" s="7">
        <v>0.45</v>
      </c>
      <c r="H50" s="6" t="s">
        <v>217</v>
      </c>
      <c r="I50" s="6" t="s">
        <v>20</v>
      </c>
      <c r="J50" s="6">
        <v>2003.0</v>
      </c>
      <c r="L50" s="6">
        <v>1.0</v>
      </c>
      <c r="M50" s="8">
        <f t="shared" si="1"/>
        <v>0.45</v>
      </c>
      <c r="P50" s="9"/>
    </row>
    <row r="51">
      <c r="A51" s="6" t="s">
        <v>218</v>
      </c>
      <c r="B51" s="6" t="s">
        <v>219</v>
      </c>
      <c r="C51" s="6" t="s">
        <v>43</v>
      </c>
      <c r="D51" s="6" t="s">
        <v>220</v>
      </c>
      <c r="E51" s="6" t="s">
        <v>215</v>
      </c>
      <c r="F51" s="6" t="s">
        <v>18</v>
      </c>
      <c r="G51" s="7">
        <v>0.45</v>
      </c>
      <c r="H51" s="6" t="s">
        <v>221</v>
      </c>
      <c r="I51" s="6" t="s">
        <v>20</v>
      </c>
      <c r="J51" s="6">
        <v>2013.0</v>
      </c>
      <c r="L51" s="6">
        <v>2.0</v>
      </c>
      <c r="M51" s="8">
        <f t="shared" si="1"/>
        <v>0.9</v>
      </c>
      <c r="P51" s="9"/>
    </row>
    <row r="52">
      <c r="A52" s="6" t="s">
        <v>222</v>
      </c>
      <c r="B52" s="6" t="s">
        <v>74</v>
      </c>
      <c r="C52" s="6" t="s">
        <v>37</v>
      </c>
      <c r="D52" s="6" t="s">
        <v>223</v>
      </c>
      <c r="E52" s="6" t="s">
        <v>224</v>
      </c>
      <c r="F52" s="6" t="s">
        <v>18</v>
      </c>
      <c r="G52" s="7">
        <v>3.95</v>
      </c>
      <c r="H52" s="6" t="s">
        <v>88</v>
      </c>
      <c r="I52" s="6" t="s">
        <v>20</v>
      </c>
      <c r="J52" s="6">
        <v>2024.0</v>
      </c>
      <c r="L52" s="6">
        <v>1.0</v>
      </c>
      <c r="M52" s="8">
        <f t="shared" si="1"/>
        <v>3.95</v>
      </c>
      <c r="N52" s="6" t="s">
        <v>122</v>
      </c>
      <c r="P52" s="9"/>
    </row>
    <row r="53">
      <c r="A53" s="6" t="s">
        <v>225</v>
      </c>
      <c r="B53" s="6" t="s">
        <v>226</v>
      </c>
      <c r="C53" s="6" t="s">
        <v>43</v>
      </c>
      <c r="D53" s="6" t="s">
        <v>227</v>
      </c>
      <c r="E53" s="6" t="s">
        <v>185</v>
      </c>
      <c r="F53" s="6" t="s">
        <v>26</v>
      </c>
      <c r="G53" s="7">
        <v>0.05</v>
      </c>
      <c r="H53" s="6" t="s">
        <v>228</v>
      </c>
      <c r="I53" s="6" t="s">
        <v>20</v>
      </c>
      <c r="J53" s="6">
        <v>2025.0</v>
      </c>
      <c r="K53" s="10">
        <v>46024.0</v>
      </c>
      <c r="L53" s="6">
        <v>1.0</v>
      </c>
      <c r="M53" s="8">
        <f t="shared" si="1"/>
        <v>0.05</v>
      </c>
      <c r="P53" s="9"/>
    </row>
    <row r="54">
      <c r="A54" s="6" t="s">
        <v>229</v>
      </c>
      <c r="B54" s="6" t="s">
        <v>230</v>
      </c>
      <c r="C54" s="6" t="s">
        <v>30</v>
      </c>
      <c r="D54" s="6" t="s">
        <v>231</v>
      </c>
      <c r="E54" s="6" t="s">
        <v>176</v>
      </c>
      <c r="F54" s="6" t="s">
        <v>77</v>
      </c>
      <c r="G54" s="7">
        <v>0.94</v>
      </c>
      <c r="H54" s="6" t="s">
        <v>232</v>
      </c>
      <c r="I54" s="6" t="s">
        <v>20</v>
      </c>
      <c r="J54" s="6">
        <v>2010.0</v>
      </c>
      <c r="K54" s="6" t="s">
        <v>233</v>
      </c>
      <c r="L54" s="6">
        <v>2.0</v>
      </c>
      <c r="M54" s="8">
        <f t="shared" si="1"/>
        <v>1.88</v>
      </c>
      <c r="P54" s="9"/>
    </row>
    <row r="55">
      <c r="A55" s="6" t="s">
        <v>234</v>
      </c>
      <c r="B55" s="6" t="s">
        <v>235</v>
      </c>
      <c r="C55" s="6" t="s">
        <v>37</v>
      </c>
      <c r="D55" s="6" t="s">
        <v>236</v>
      </c>
      <c r="E55" s="6" t="s">
        <v>237</v>
      </c>
      <c r="F55" s="6" t="s">
        <v>18</v>
      </c>
      <c r="G55" s="7">
        <v>0.06</v>
      </c>
      <c r="H55" s="6" t="s">
        <v>238</v>
      </c>
      <c r="I55" s="6" t="s">
        <v>20</v>
      </c>
      <c r="J55" s="6">
        <v>2024.0</v>
      </c>
      <c r="K55" s="10">
        <v>46085.0</v>
      </c>
      <c r="L55" s="6">
        <v>1.0</v>
      </c>
      <c r="M55" s="8">
        <f t="shared" si="1"/>
        <v>0.06</v>
      </c>
      <c r="P55" s="9"/>
    </row>
    <row r="56">
      <c r="A56" s="6" t="s">
        <v>239</v>
      </c>
      <c r="B56" s="6" t="s">
        <v>240</v>
      </c>
      <c r="C56" s="6" t="s">
        <v>30</v>
      </c>
      <c r="D56" s="6" t="s">
        <v>241</v>
      </c>
      <c r="E56" s="6" t="s">
        <v>57</v>
      </c>
      <c r="F56" s="6" t="s">
        <v>40</v>
      </c>
      <c r="G56" s="7">
        <v>0.32</v>
      </c>
      <c r="H56" s="6" t="s">
        <v>136</v>
      </c>
      <c r="I56" s="6" t="s">
        <v>20</v>
      </c>
      <c r="J56" s="6">
        <v>2026.0</v>
      </c>
      <c r="K56" s="10">
        <v>46054.0</v>
      </c>
      <c r="L56" s="6">
        <v>1.0</v>
      </c>
      <c r="M56" s="8">
        <f t="shared" si="1"/>
        <v>0.32</v>
      </c>
      <c r="P56" s="9"/>
    </row>
    <row r="57">
      <c r="A57" s="6" t="s">
        <v>239</v>
      </c>
      <c r="B57" s="6" t="s">
        <v>240</v>
      </c>
      <c r="C57" s="6" t="s">
        <v>30</v>
      </c>
      <c r="D57" s="6" t="s">
        <v>241</v>
      </c>
      <c r="E57" s="6" t="s">
        <v>57</v>
      </c>
      <c r="F57" s="6" t="s">
        <v>40</v>
      </c>
      <c r="G57" s="7">
        <v>0.92</v>
      </c>
      <c r="H57" s="6" t="s">
        <v>136</v>
      </c>
      <c r="I57" s="6" t="s">
        <v>45</v>
      </c>
      <c r="J57" s="6">
        <v>2026.0</v>
      </c>
      <c r="K57" s="10">
        <v>46054.0</v>
      </c>
      <c r="L57" s="6">
        <v>1.0</v>
      </c>
      <c r="M57" s="8">
        <f t="shared" si="1"/>
        <v>0.92</v>
      </c>
      <c r="P57" s="9"/>
    </row>
    <row r="58">
      <c r="A58" s="6" t="s">
        <v>242</v>
      </c>
      <c r="B58" s="6" t="s">
        <v>243</v>
      </c>
      <c r="C58" s="6" t="s">
        <v>23</v>
      </c>
      <c r="D58" s="6" t="s">
        <v>244</v>
      </c>
      <c r="E58" s="6" t="s">
        <v>152</v>
      </c>
      <c r="F58" s="6" t="s">
        <v>40</v>
      </c>
      <c r="G58" s="7">
        <v>0.13</v>
      </c>
      <c r="H58" s="6" t="s">
        <v>27</v>
      </c>
      <c r="I58" s="6" t="s">
        <v>20</v>
      </c>
      <c r="J58" s="6">
        <v>2026.0</v>
      </c>
      <c r="K58" s="10">
        <v>46055.0</v>
      </c>
      <c r="L58" s="6">
        <v>1.0</v>
      </c>
      <c r="M58" s="8">
        <f t="shared" si="1"/>
        <v>0.13</v>
      </c>
      <c r="P58" s="9"/>
    </row>
    <row r="59">
      <c r="A59" s="6" t="s">
        <v>245</v>
      </c>
      <c r="B59" s="6" t="s">
        <v>246</v>
      </c>
      <c r="C59" s="6" t="s">
        <v>37</v>
      </c>
      <c r="D59" s="6" t="s">
        <v>247</v>
      </c>
      <c r="E59" s="6" t="s">
        <v>248</v>
      </c>
      <c r="F59" s="6" t="s">
        <v>77</v>
      </c>
      <c r="G59" s="7">
        <v>0.48</v>
      </c>
      <c r="H59" s="6" t="s">
        <v>249</v>
      </c>
      <c r="I59" s="6" t="s">
        <v>20</v>
      </c>
      <c r="J59" s="6">
        <v>2014.0</v>
      </c>
      <c r="K59" s="10">
        <v>46055.0</v>
      </c>
      <c r="L59" s="6">
        <v>2.0</v>
      </c>
      <c r="M59" s="8">
        <f t="shared" si="1"/>
        <v>0.96</v>
      </c>
      <c r="P59" s="9"/>
    </row>
    <row r="60">
      <c r="A60" s="6" t="s">
        <v>250</v>
      </c>
      <c r="B60" s="6" t="s">
        <v>243</v>
      </c>
      <c r="C60" s="6" t="s">
        <v>23</v>
      </c>
      <c r="D60" s="6" t="s">
        <v>251</v>
      </c>
      <c r="E60" s="6" t="s">
        <v>252</v>
      </c>
      <c r="F60" s="6" t="s">
        <v>40</v>
      </c>
      <c r="G60" s="7">
        <v>0.15</v>
      </c>
      <c r="H60" s="6" t="s">
        <v>27</v>
      </c>
      <c r="I60" s="6" t="s">
        <v>20</v>
      </c>
      <c r="J60" s="6">
        <v>2026.0</v>
      </c>
      <c r="K60" s="10">
        <v>46114.0</v>
      </c>
      <c r="L60" s="6">
        <v>1.0</v>
      </c>
      <c r="M60" s="8">
        <f t="shared" si="1"/>
        <v>0.15</v>
      </c>
      <c r="P60" s="9"/>
    </row>
    <row r="61">
      <c r="A61" s="6" t="s">
        <v>253</v>
      </c>
      <c r="B61" s="6" t="s">
        <v>254</v>
      </c>
      <c r="C61" s="6" t="s">
        <v>37</v>
      </c>
      <c r="D61" s="6" t="s">
        <v>255</v>
      </c>
      <c r="E61" s="6" t="s">
        <v>256</v>
      </c>
      <c r="F61" s="6" t="s">
        <v>87</v>
      </c>
      <c r="G61" s="7">
        <v>0.14</v>
      </c>
      <c r="H61" s="6" t="s">
        <v>187</v>
      </c>
      <c r="I61" s="6" t="s">
        <v>20</v>
      </c>
      <c r="J61" s="6">
        <v>1995.0</v>
      </c>
      <c r="L61" s="6">
        <v>1.0</v>
      </c>
      <c r="M61" s="8">
        <f t="shared" si="1"/>
        <v>0.14</v>
      </c>
      <c r="P61" s="9"/>
    </row>
    <row r="62">
      <c r="A62" s="6" t="s">
        <v>257</v>
      </c>
      <c r="B62" s="6" t="s">
        <v>254</v>
      </c>
      <c r="C62" s="6" t="s">
        <v>43</v>
      </c>
      <c r="D62" s="6" t="s">
        <v>258</v>
      </c>
      <c r="E62" s="6" t="s">
        <v>86</v>
      </c>
      <c r="F62" s="6" t="s">
        <v>87</v>
      </c>
      <c r="G62" s="7">
        <v>0.05</v>
      </c>
      <c r="H62" s="6" t="s">
        <v>259</v>
      </c>
      <c r="I62" s="6" t="s">
        <v>20</v>
      </c>
      <c r="J62" s="6">
        <v>1996.0</v>
      </c>
      <c r="L62" s="6">
        <v>1.0</v>
      </c>
      <c r="M62" s="8">
        <f t="shared" si="1"/>
        <v>0.05</v>
      </c>
      <c r="P62" s="9"/>
    </row>
    <row r="63">
      <c r="A63" s="6" t="s">
        <v>260</v>
      </c>
      <c r="B63" s="6" t="s">
        <v>261</v>
      </c>
      <c r="C63" s="6" t="s">
        <v>23</v>
      </c>
      <c r="D63" s="6" t="s">
        <v>262</v>
      </c>
      <c r="E63" s="6" t="s">
        <v>263</v>
      </c>
      <c r="F63" s="6" t="s">
        <v>77</v>
      </c>
      <c r="G63" s="7">
        <v>0.1</v>
      </c>
      <c r="H63" s="6" t="s">
        <v>153</v>
      </c>
      <c r="I63" s="6" t="s">
        <v>20</v>
      </c>
      <c r="J63" s="6">
        <v>2025.0</v>
      </c>
      <c r="K63" s="10">
        <v>46055.0</v>
      </c>
      <c r="L63" s="6">
        <v>11.0</v>
      </c>
      <c r="M63" s="8">
        <f t="shared" si="1"/>
        <v>1.1</v>
      </c>
      <c r="P63" s="9"/>
    </row>
    <row r="64">
      <c r="A64" s="6" t="s">
        <v>260</v>
      </c>
      <c r="B64" s="6" t="s">
        <v>261</v>
      </c>
      <c r="C64" s="6" t="s">
        <v>23</v>
      </c>
      <c r="D64" s="6" t="s">
        <v>262</v>
      </c>
      <c r="E64" s="6" t="s">
        <v>263</v>
      </c>
      <c r="F64" s="6" t="s">
        <v>77</v>
      </c>
      <c r="G64" s="7">
        <v>0.25</v>
      </c>
      <c r="H64" s="6" t="s">
        <v>153</v>
      </c>
      <c r="I64" s="6" t="s">
        <v>45</v>
      </c>
      <c r="J64" s="6">
        <v>2025.0</v>
      </c>
      <c r="K64" s="10">
        <v>46055.0</v>
      </c>
      <c r="L64" s="6">
        <v>1.0</v>
      </c>
      <c r="M64" s="8">
        <f t="shared" si="1"/>
        <v>0.25</v>
      </c>
      <c r="P64" s="9"/>
    </row>
    <row r="65">
      <c r="A65" s="6" t="s">
        <v>264</v>
      </c>
      <c r="B65" s="6" t="s">
        <v>74</v>
      </c>
      <c r="C65" s="6" t="s">
        <v>43</v>
      </c>
      <c r="D65" s="6" t="s">
        <v>265</v>
      </c>
      <c r="E65" s="6" t="s">
        <v>164</v>
      </c>
      <c r="F65" s="6" t="s">
        <v>112</v>
      </c>
      <c r="G65" s="7">
        <v>0.05</v>
      </c>
      <c r="H65" s="6" t="s">
        <v>266</v>
      </c>
      <c r="I65" s="6" t="s">
        <v>20</v>
      </c>
      <c r="J65" s="6">
        <v>2025.0</v>
      </c>
      <c r="L65" s="6">
        <v>1.0</v>
      </c>
      <c r="M65" s="8">
        <f t="shared" si="1"/>
        <v>0.05</v>
      </c>
      <c r="P65" s="9"/>
    </row>
    <row r="66">
      <c r="A66" s="6" t="s">
        <v>267</v>
      </c>
      <c r="B66" s="6" t="s">
        <v>268</v>
      </c>
      <c r="C66" s="6" t="s">
        <v>43</v>
      </c>
      <c r="D66" s="6" t="s">
        <v>269</v>
      </c>
      <c r="E66" s="6" t="s">
        <v>135</v>
      </c>
      <c r="F66" s="6" t="s">
        <v>40</v>
      </c>
      <c r="G66" s="7">
        <v>0.1</v>
      </c>
      <c r="H66" s="6" t="s">
        <v>270</v>
      </c>
      <c r="I66" s="6" t="s">
        <v>45</v>
      </c>
      <c r="J66" s="6">
        <v>2022.0</v>
      </c>
      <c r="K66" s="10">
        <v>46024.0</v>
      </c>
      <c r="L66" s="6">
        <v>1.0</v>
      </c>
      <c r="M66" s="8">
        <f t="shared" si="1"/>
        <v>0.1</v>
      </c>
      <c r="P66" s="9"/>
    </row>
    <row r="67">
      <c r="A67" s="6" t="s">
        <v>271</v>
      </c>
      <c r="B67" s="6" t="s">
        <v>47</v>
      </c>
      <c r="C67" s="6" t="s">
        <v>37</v>
      </c>
      <c r="D67" s="6" t="s">
        <v>272</v>
      </c>
      <c r="E67" s="6" t="s">
        <v>135</v>
      </c>
      <c r="F67" s="6" t="s">
        <v>40</v>
      </c>
      <c r="G67" s="7">
        <v>0.22</v>
      </c>
      <c r="H67" s="6" t="s">
        <v>34</v>
      </c>
      <c r="I67" s="6" t="s">
        <v>20</v>
      </c>
      <c r="J67" s="6">
        <v>2025.0</v>
      </c>
      <c r="L67" s="6">
        <v>1.0</v>
      </c>
      <c r="M67" s="8">
        <f t="shared" si="1"/>
        <v>0.22</v>
      </c>
      <c r="P67" s="9"/>
    </row>
    <row r="68">
      <c r="A68" s="6" t="s">
        <v>273</v>
      </c>
      <c r="B68" s="6" t="s">
        <v>47</v>
      </c>
      <c r="C68" s="6" t="s">
        <v>43</v>
      </c>
      <c r="D68" s="6" t="s">
        <v>274</v>
      </c>
      <c r="E68" s="6" t="s">
        <v>57</v>
      </c>
      <c r="F68" s="6" t="s">
        <v>40</v>
      </c>
      <c r="G68" s="7">
        <v>0.1</v>
      </c>
      <c r="H68" s="6" t="s">
        <v>34</v>
      </c>
      <c r="I68" s="6" t="s">
        <v>20</v>
      </c>
      <c r="J68" s="6">
        <v>2025.0</v>
      </c>
      <c r="L68" s="6">
        <v>5.0</v>
      </c>
      <c r="M68" s="8">
        <f t="shared" si="1"/>
        <v>0.5</v>
      </c>
      <c r="P68" s="9"/>
    </row>
    <row r="69">
      <c r="A69" s="6" t="s">
        <v>275</v>
      </c>
      <c r="B69" s="6" t="s">
        <v>138</v>
      </c>
      <c r="C69" s="6" t="s">
        <v>23</v>
      </c>
      <c r="D69" s="6" t="s">
        <v>276</v>
      </c>
      <c r="E69" s="6" t="s">
        <v>277</v>
      </c>
      <c r="F69" s="6" t="s">
        <v>112</v>
      </c>
      <c r="G69" s="7">
        <v>0.05</v>
      </c>
      <c r="H69" s="6" t="s">
        <v>278</v>
      </c>
      <c r="I69" s="6" t="s">
        <v>20</v>
      </c>
      <c r="J69" s="6">
        <v>2025.0</v>
      </c>
      <c r="L69" s="6">
        <v>10.0</v>
      </c>
      <c r="M69" s="8">
        <f t="shared" si="1"/>
        <v>0.5</v>
      </c>
      <c r="P69" s="9"/>
    </row>
    <row r="70">
      <c r="A70" s="6" t="s">
        <v>279</v>
      </c>
      <c r="B70" s="6" t="s">
        <v>280</v>
      </c>
      <c r="C70" s="6" t="s">
        <v>30</v>
      </c>
      <c r="D70" s="6" t="s">
        <v>281</v>
      </c>
      <c r="E70" s="6" t="s">
        <v>282</v>
      </c>
      <c r="F70" s="6" t="s">
        <v>40</v>
      </c>
      <c r="G70" s="7">
        <v>0.45</v>
      </c>
      <c r="H70" s="6" t="s">
        <v>283</v>
      </c>
      <c r="I70" s="6" t="s">
        <v>20</v>
      </c>
      <c r="J70" s="6">
        <v>2013.0</v>
      </c>
      <c r="K70" s="10">
        <v>46084.0</v>
      </c>
      <c r="L70" s="6">
        <v>1.0</v>
      </c>
      <c r="M70" s="8">
        <f t="shared" si="1"/>
        <v>0.45</v>
      </c>
      <c r="P70" s="9"/>
    </row>
    <row r="71">
      <c r="A71" s="6" t="s">
        <v>284</v>
      </c>
      <c r="B71" s="6" t="s">
        <v>146</v>
      </c>
      <c r="C71" s="6" t="s">
        <v>30</v>
      </c>
      <c r="D71" s="6" t="s">
        <v>285</v>
      </c>
      <c r="E71" s="6" t="s">
        <v>282</v>
      </c>
      <c r="F71" s="6" t="s">
        <v>40</v>
      </c>
      <c r="G71" s="7">
        <v>0.77</v>
      </c>
      <c r="H71" s="6" t="s">
        <v>78</v>
      </c>
      <c r="I71" s="6" t="s">
        <v>45</v>
      </c>
      <c r="J71" s="6">
        <v>2018.0</v>
      </c>
      <c r="L71" s="6">
        <v>1.0</v>
      </c>
      <c r="M71" s="8">
        <f t="shared" si="1"/>
        <v>0.77</v>
      </c>
      <c r="N71" s="6" t="s">
        <v>122</v>
      </c>
      <c r="P71" s="9"/>
    </row>
    <row r="72">
      <c r="A72" s="6" t="s">
        <v>284</v>
      </c>
      <c r="B72" s="6" t="s">
        <v>146</v>
      </c>
      <c r="C72" s="6" t="s">
        <v>30</v>
      </c>
      <c r="D72" s="6" t="s">
        <v>285</v>
      </c>
      <c r="E72" s="6" t="s">
        <v>282</v>
      </c>
      <c r="F72" s="6" t="s">
        <v>40</v>
      </c>
      <c r="G72" s="7">
        <v>0.19</v>
      </c>
      <c r="H72" s="6" t="s">
        <v>78</v>
      </c>
      <c r="I72" s="6" t="s">
        <v>20</v>
      </c>
      <c r="J72" s="6">
        <v>2018.0</v>
      </c>
      <c r="L72" s="6">
        <v>2.0</v>
      </c>
      <c r="M72" s="8">
        <f t="shared" si="1"/>
        <v>0.38</v>
      </c>
      <c r="P72" s="9"/>
    </row>
    <row r="73">
      <c r="A73" s="6" t="s">
        <v>286</v>
      </c>
      <c r="B73" s="6" t="s">
        <v>74</v>
      </c>
      <c r="C73" s="6" t="s">
        <v>43</v>
      </c>
      <c r="D73" s="6" t="s">
        <v>287</v>
      </c>
      <c r="E73" s="6" t="s">
        <v>125</v>
      </c>
      <c r="F73" s="6" t="s">
        <v>40</v>
      </c>
      <c r="G73" s="7">
        <v>0.08</v>
      </c>
      <c r="H73" s="6" t="s">
        <v>249</v>
      </c>
      <c r="I73" s="6" t="s">
        <v>20</v>
      </c>
      <c r="J73" s="6">
        <v>2014.0</v>
      </c>
      <c r="L73" s="6">
        <v>5.0</v>
      </c>
      <c r="M73" s="8">
        <f t="shared" si="1"/>
        <v>0.4</v>
      </c>
      <c r="P73" s="9"/>
    </row>
    <row r="74">
      <c r="A74" s="6" t="s">
        <v>288</v>
      </c>
      <c r="B74" s="6" t="s">
        <v>280</v>
      </c>
      <c r="C74" s="6" t="s">
        <v>37</v>
      </c>
      <c r="D74" s="6" t="s">
        <v>289</v>
      </c>
      <c r="E74" s="6" t="s">
        <v>135</v>
      </c>
      <c r="F74" s="6" t="s">
        <v>40</v>
      </c>
      <c r="G74" s="7">
        <v>0.2</v>
      </c>
      <c r="H74" s="6" t="s">
        <v>290</v>
      </c>
      <c r="I74" s="6" t="s">
        <v>20</v>
      </c>
      <c r="J74" s="6">
        <v>2019.0</v>
      </c>
      <c r="K74" s="10">
        <v>46055.0</v>
      </c>
      <c r="L74" s="6">
        <v>1.0</v>
      </c>
      <c r="M74" s="8">
        <f t="shared" si="1"/>
        <v>0.2</v>
      </c>
      <c r="P74" s="9"/>
    </row>
    <row r="75">
      <c r="A75" s="6" t="s">
        <v>291</v>
      </c>
      <c r="B75" s="6" t="s">
        <v>292</v>
      </c>
      <c r="C75" s="6" t="s">
        <v>204</v>
      </c>
      <c r="D75" s="6" t="s">
        <v>293</v>
      </c>
      <c r="E75" s="6" t="s">
        <v>76</v>
      </c>
      <c r="F75" s="6" t="s">
        <v>77</v>
      </c>
      <c r="G75" s="7">
        <v>0.06</v>
      </c>
      <c r="H75" s="6" t="s">
        <v>290</v>
      </c>
      <c r="I75" s="6" t="s">
        <v>20</v>
      </c>
      <c r="J75" s="6">
        <v>2019.0</v>
      </c>
      <c r="L75" s="6">
        <v>4.0</v>
      </c>
      <c r="M75" s="8">
        <f t="shared" si="1"/>
        <v>0.24</v>
      </c>
      <c r="P75" s="9"/>
    </row>
    <row r="76">
      <c r="A76" s="6" t="s">
        <v>294</v>
      </c>
      <c r="B76" s="6" t="s">
        <v>295</v>
      </c>
      <c r="C76" s="6" t="s">
        <v>43</v>
      </c>
      <c r="D76" s="6" t="s">
        <v>296</v>
      </c>
      <c r="E76" s="6" t="s">
        <v>86</v>
      </c>
      <c r="F76" s="6" t="s">
        <v>87</v>
      </c>
      <c r="G76" s="7">
        <v>0.1</v>
      </c>
      <c r="H76" s="6" t="s">
        <v>297</v>
      </c>
      <c r="I76" s="6" t="s">
        <v>20</v>
      </c>
      <c r="J76" s="6">
        <v>2022.0</v>
      </c>
      <c r="K76" s="10">
        <v>46024.0</v>
      </c>
      <c r="L76" s="6">
        <v>1.0</v>
      </c>
      <c r="M76" s="8">
        <f t="shared" si="1"/>
        <v>0.1</v>
      </c>
      <c r="P76" s="9"/>
    </row>
    <row r="77">
      <c r="A77" s="6" t="s">
        <v>298</v>
      </c>
      <c r="B77" s="6" t="s">
        <v>299</v>
      </c>
      <c r="C77" s="6" t="s">
        <v>43</v>
      </c>
      <c r="D77" s="6" t="s">
        <v>300</v>
      </c>
      <c r="E77" s="6" t="s">
        <v>140</v>
      </c>
      <c r="F77" s="6" t="s">
        <v>87</v>
      </c>
      <c r="G77" s="7">
        <v>0.13</v>
      </c>
      <c r="H77" s="6" t="s">
        <v>165</v>
      </c>
      <c r="I77" s="6" t="s">
        <v>20</v>
      </c>
      <c r="J77" s="6">
        <v>2020.0</v>
      </c>
      <c r="K77" s="6" t="s">
        <v>301</v>
      </c>
      <c r="L77" s="6">
        <v>1.0</v>
      </c>
      <c r="M77" s="8">
        <f t="shared" si="1"/>
        <v>0.13</v>
      </c>
      <c r="P77" s="9"/>
    </row>
    <row r="78">
      <c r="A78" s="6" t="s">
        <v>302</v>
      </c>
      <c r="B78" s="6" t="s">
        <v>303</v>
      </c>
      <c r="C78" s="6" t="s">
        <v>43</v>
      </c>
      <c r="D78" s="6" t="s">
        <v>304</v>
      </c>
      <c r="E78" s="6" t="s">
        <v>39</v>
      </c>
      <c r="F78" s="6" t="s">
        <v>40</v>
      </c>
      <c r="G78" s="7">
        <v>0.03</v>
      </c>
      <c r="H78" s="6" t="s">
        <v>249</v>
      </c>
      <c r="I78" s="6" t="s">
        <v>20</v>
      </c>
      <c r="J78" s="6">
        <v>2014.0</v>
      </c>
      <c r="K78" s="10">
        <v>46055.0</v>
      </c>
      <c r="L78" s="6">
        <v>5.0</v>
      </c>
      <c r="M78" s="8">
        <f t="shared" si="1"/>
        <v>0.15</v>
      </c>
      <c r="P78" s="9"/>
    </row>
    <row r="79">
      <c r="A79" s="6" t="s">
        <v>305</v>
      </c>
      <c r="B79" s="6" t="s">
        <v>306</v>
      </c>
      <c r="C79" s="6" t="s">
        <v>15</v>
      </c>
      <c r="D79" s="6" t="s">
        <v>307</v>
      </c>
      <c r="E79" s="6" t="s">
        <v>263</v>
      </c>
      <c r="F79" s="6" t="s">
        <v>77</v>
      </c>
      <c r="G79" s="7">
        <v>0.2</v>
      </c>
      <c r="H79" s="6" t="s">
        <v>153</v>
      </c>
      <c r="I79" s="6" t="s">
        <v>20</v>
      </c>
      <c r="J79" s="6">
        <v>2025.0</v>
      </c>
      <c r="K79" s="10">
        <v>46083.0</v>
      </c>
      <c r="L79" s="6">
        <v>2.0</v>
      </c>
      <c r="M79" s="8">
        <f t="shared" si="1"/>
        <v>0.4</v>
      </c>
      <c r="P79" s="9"/>
    </row>
    <row r="80">
      <c r="A80" s="6" t="s">
        <v>305</v>
      </c>
      <c r="B80" s="6" t="s">
        <v>306</v>
      </c>
      <c r="C80" s="6" t="s">
        <v>15</v>
      </c>
      <c r="D80" s="6" t="s">
        <v>307</v>
      </c>
      <c r="E80" s="6" t="s">
        <v>263</v>
      </c>
      <c r="F80" s="6" t="s">
        <v>77</v>
      </c>
      <c r="G80" s="7">
        <v>0.9</v>
      </c>
      <c r="H80" s="6" t="s">
        <v>153</v>
      </c>
      <c r="I80" s="6" t="s">
        <v>45</v>
      </c>
      <c r="J80" s="6">
        <v>2025.0</v>
      </c>
      <c r="K80" s="10">
        <v>46083.0</v>
      </c>
      <c r="L80" s="6">
        <v>1.0</v>
      </c>
      <c r="M80" s="8">
        <f t="shared" si="1"/>
        <v>0.9</v>
      </c>
      <c r="P80" s="9"/>
    </row>
    <row r="81">
      <c r="A81" s="6" t="s">
        <v>308</v>
      </c>
      <c r="B81" s="6" t="s">
        <v>192</v>
      </c>
      <c r="C81" s="6" t="s">
        <v>309</v>
      </c>
      <c r="D81" s="6" t="s">
        <v>310</v>
      </c>
      <c r="E81" s="6" t="s">
        <v>311</v>
      </c>
      <c r="F81" s="6" t="s">
        <v>312</v>
      </c>
      <c r="G81" s="7">
        <v>0.75</v>
      </c>
      <c r="H81" s="6" t="s">
        <v>313</v>
      </c>
      <c r="I81" s="6" t="s">
        <v>20</v>
      </c>
      <c r="J81" s="6">
        <v>1995.0</v>
      </c>
      <c r="L81" s="6">
        <v>1.0</v>
      </c>
      <c r="M81" s="8">
        <f t="shared" si="1"/>
        <v>0.75</v>
      </c>
      <c r="P81" s="9"/>
    </row>
    <row r="82">
      <c r="A82" s="6" t="s">
        <v>314</v>
      </c>
      <c r="B82" s="6" t="s">
        <v>192</v>
      </c>
      <c r="C82" s="6" t="s">
        <v>30</v>
      </c>
      <c r="D82" s="6" t="s">
        <v>315</v>
      </c>
      <c r="E82" s="6" t="s">
        <v>311</v>
      </c>
      <c r="F82" s="6" t="s">
        <v>26</v>
      </c>
      <c r="G82" s="7">
        <v>4.66</v>
      </c>
      <c r="H82" s="6" t="s">
        <v>316</v>
      </c>
      <c r="I82" s="6" t="s">
        <v>20</v>
      </c>
      <c r="J82" s="6">
        <v>1995.0</v>
      </c>
      <c r="L82" s="6">
        <v>1.0</v>
      </c>
      <c r="M82" s="8">
        <f t="shared" si="1"/>
        <v>4.66</v>
      </c>
      <c r="N82" s="6" t="s">
        <v>122</v>
      </c>
      <c r="P82" s="9"/>
    </row>
    <row r="83">
      <c r="A83" s="6" t="s">
        <v>317</v>
      </c>
      <c r="B83" s="6" t="s">
        <v>219</v>
      </c>
      <c r="C83" s="6" t="s">
        <v>30</v>
      </c>
      <c r="D83" s="6" t="s">
        <v>318</v>
      </c>
      <c r="E83" s="6" t="s">
        <v>319</v>
      </c>
      <c r="F83" s="6" t="s">
        <v>26</v>
      </c>
      <c r="G83" s="7">
        <v>3.59</v>
      </c>
      <c r="H83" s="6" t="s">
        <v>320</v>
      </c>
      <c r="I83" s="6" t="s">
        <v>20</v>
      </c>
      <c r="J83" s="6">
        <v>1993.0</v>
      </c>
      <c r="L83" s="6">
        <v>1.0</v>
      </c>
      <c r="M83" s="8">
        <f t="shared" si="1"/>
        <v>3.59</v>
      </c>
      <c r="N83" s="6" t="s">
        <v>122</v>
      </c>
      <c r="P83" s="9"/>
    </row>
    <row r="84">
      <c r="A84" s="6" t="s">
        <v>321</v>
      </c>
      <c r="B84" s="6" t="s">
        <v>322</v>
      </c>
      <c r="C84" s="6" t="s">
        <v>37</v>
      </c>
      <c r="D84" s="6" t="s">
        <v>323</v>
      </c>
      <c r="E84" s="6" t="s">
        <v>140</v>
      </c>
      <c r="F84" s="6" t="s">
        <v>87</v>
      </c>
      <c r="G84" s="7">
        <v>0.23</v>
      </c>
      <c r="H84" s="6" t="s">
        <v>324</v>
      </c>
      <c r="I84" s="6" t="s">
        <v>20</v>
      </c>
      <c r="J84" s="6">
        <v>1995.0</v>
      </c>
      <c r="K84" s="10">
        <v>46023.0</v>
      </c>
      <c r="L84" s="6">
        <v>2.0</v>
      </c>
      <c r="M84" s="8">
        <f t="shared" si="1"/>
        <v>0.46</v>
      </c>
      <c r="P84" s="9"/>
    </row>
    <row r="85">
      <c r="A85" s="6" t="s">
        <v>325</v>
      </c>
      <c r="B85" s="6" t="s">
        <v>138</v>
      </c>
      <c r="C85" s="6" t="s">
        <v>43</v>
      </c>
      <c r="D85" s="6" t="s">
        <v>326</v>
      </c>
      <c r="E85" s="6" t="s">
        <v>86</v>
      </c>
      <c r="F85" s="6" t="s">
        <v>87</v>
      </c>
      <c r="G85" s="7">
        <v>0.08</v>
      </c>
      <c r="H85" s="6" t="s">
        <v>58</v>
      </c>
      <c r="I85" s="6" t="s">
        <v>20</v>
      </c>
      <c r="J85" s="6">
        <v>1995.0</v>
      </c>
      <c r="L85" s="6">
        <v>1.0</v>
      </c>
      <c r="M85" s="8">
        <f t="shared" si="1"/>
        <v>0.08</v>
      </c>
      <c r="P85" s="9"/>
    </row>
    <row r="86">
      <c r="A86" s="6" t="s">
        <v>325</v>
      </c>
      <c r="B86" s="6" t="s">
        <v>138</v>
      </c>
      <c r="C86" s="6" t="s">
        <v>43</v>
      </c>
      <c r="D86" s="6" t="s">
        <v>326</v>
      </c>
      <c r="E86" s="6" t="s">
        <v>86</v>
      </c>
      <c r="F86" s="6" t="s">
        <v>87</v>
      </c>
      <c r="G86" s="7">
        <v>0.06</v>
      </c>
      <c r="H86" s="6" t="s">
        <v>58</v>
      </c>
      <c r="I86" s="6" t="s">
        <v>20</v>
      </c>
      <c r="J86" s="6">
        <v>1995.0</v>
      </c>
      <c r="L86" s="6">
        <v>1.0</v>
      </c>
      <c r="M86" s="8">
        <f t="shared" si="1"/>
        <v>0.06</v>
      </c>
      <c r="P86" s="9"/>
    </row>
    <row r="87">
      <c r="A87" s="6" t="s">
        <v>327</v>
      </c>
      <c r="B87" s="6" t="s">
        <v>138</v>
      </c>
      <c r="C87" s="6" t="s">
        <v>37</v>
      </c>
      <c r="D87" s="6" t="s">
        <v>328</v>
      </c>
      <c r="E87" s="6" t="s">
        <v>329</v>
      </c>
      <c r="F87" s="6" t="s">
        <v>112</v>
      </c>
      <c r="G87" s="7">
        <v>0.12</v>
      </c>
      <c r="H87" s="6" t="s">
        <v>34</v>
      </c>
      <c r="I87" s="6" t="s">
        <v>20</v>
      </c>
      <c r="J87" s="6">
        <v>2025.0</v>
      </c>
      <c r="L87" s="6">
        <v>2.0</v>
      </c>
      <c r="M87" s="8">
        <f t="shared" si="1"/>
        <v>0.24</v>
      </c>
      <c r="P87" s="9"/>
    </row>
    <row r="88">
      <c r="A88" s="6" t="s">
        <v>330</v>
      </c>
      <c r="B88" s="6" t="s">
        <v>331</v>
      </c>
      <c r="C88" s="6" t="s">
        <v>37</v>
      </c>
      <c r="D88" s="6" t="s">
        <v>332</v>
      </c>
      <c r="E88" s="6" t="s">
        <v>256</v>
      </c>
      <c r="F88" s="6" t="s">
        <v>87</v>
      </c>
      <c r="G88" s="7">
        <v>0.09</v>
      </c>
      <c r="H88" s="6" t="s">
        <v>89</v>
      </c>
      <c r="I88" s="6" t="s">
        <v>20</v>
      </c>
      <c r="J88" s="6">
        <v>2021.0</v>
      </c>
      <c r="K88" s="10">
        <v>46083.0</v>
      </c>
      <c r="L88" s="6">
        <v>1.0</v>
      </c>
      <c r="M88" s="8">
        <f t="shared" si="1"/>
        <v>0.09</v>
      </c>
      <c r="P88" s="9"/>
    </row>
    <row r="89">
      <c r="A89" s="6" t="s">
        <v>333</v>
      </c>
      <c r="B89" s="6" t="s">
        <v>334</v>
      </c>
      <c r="C89" s="6" t="s">
        <v>43</v>
      </c>
      <c r="D89" s="6" t="s">
        <v>335</v>
      </c>
      <c r="E89" s="6" t="s">
        <v>179</v>
      </c>
      <c r="F89" s="6" t="s">
        <v>112</v>
      </c>
      <c r="G89" s="7">
        <v>0.04</v>
      </c>
      <c r="H89" s="6" t="s">
        <v>336</v>
      </c>
      <c r="I89" s="6" t="s">
        <v>20</v>
      </c>
      <c r="J89" s="6">
        <v>2020.0</v>
      </c>
      <c r="K89" s="10">
        <v>46023.0</v>
      </c>
      <c r="L89" s="6">
        <v>1.0</v>
      </c>
      <c r="M89" s="8">
        <f t="shared" si="1"/>
        <v>0.04</v>
      </c>
      <c r="P89" s="9"/>
    </row>
    <row r="90">
      <c r="A90" s="6" t="s">
        <v>337</v>
      </c>
      <c r="B90" s="6" t="s">
        <v>338</v>
      </c>
      <c r="C90" s="6" t="s">
        <v>37</v>
      </c>
      <c r="D90" s="6" t="s">
        <v>339</v>
      </c>
      <c r="E90" s="6" t="s">
        <v>164</v>
      </c>
      <c r="F90" s="6" t="s">
        <v>112</v>
      </c>
      <c r="G90" s="7">
        <v>0.19</v>
      </c>
      <c r="H90" s="6" t="s">
        <v>160</v>
      </c>
      <c r="I90" s="6" t="s">
        <v>20</v>
      </c>
      <c r="J90" s="6">
        <v>2024.0</v>
      </c>
      <c r="K90" s="10">
        <v>46056.0</v>
      </c>
      <c r="L90" s="6">
        <v>1.0</v>
      </c>
      <c r="M90" s="8">
        <f t="shared" si="1"/>
        <v>0.19</v>
      </c>
      <c r="P90" s="9"/>
    </row>
    <row r="91">
      <c r="A91" s="6" t="s">
        <v>340</v>
      </c>
      <c r="B91" s="6" t="s">
        <v>213</v>
      </c>
      <c r="C91" s="6" t="s">
        <v>15</v>
      </c>
      <c r="D91" s="6" t="s">
        <v>341</v>
      </c>
      <c r="E91" s="6">
        <v>2.0</v>
      </c>
      <c r="F91" s="6" t="s">
        <v>26</v>
      </c>
      <c r="G91" s="7">
        <v>0.05</v>
      </c>
      <c r="H91" s="6" t="s">
        <v>342</v>
      </c>
      <c r="I91" s="6" t="s">
        <v>20</v>
      </c>
      <c r="J91" s="6">
        <v>2014.0</v>
      </c>
      <c r="L91" s="6">
        <v>1.0</v>
      </c>
      <c r="M91" s="8">
        <f t="shared" si="1"/>
        <v>0.05</v>
      </c>
      <c r="P91" s="9"/>
    </row>
    <row r="92">
      <c r="A92" s="6" t="s">
        <v>340</v>
      </c>
      <c r="B92" s="6" t="s">
        <v>213</v>
      </c>
      <c r="C92" s="6" t="s">
        <v>15</v>
      </c>
      <c r="D92" s="6" t="s">
        <v>341</v>
      </c>
      <c r="E92" s="6">
        <v>2.0</v>
      </c>
      <c r="F92" s="6" t="s">
        <v>26</v>
      </c>
      <c r="G92" s="7">
        <v>0.25</v>
      </c>
      <c r="H92" s="6" t="s">
        <v>342</v>
      </c>
      <c r="I92" s="6" t="s">
        <v>45</v>
      </c>
      <c r="J92" s="6">
        <v>2014.0</v>
      </c>
      <c r="L92" s="6">
        <v>1.0</v>
      </c>
      <c r="M92" s="8">
        <f t="shared" si="1"/>
        <v>0.25</v>
      </c>
      <c r="P92" s="9"/>
    </row>
    <row r="93">
      <c r="A93" s="6" t="s">
        <v>343</v>
      </c>
      <c r="B93" s="6" t="s">
        <v>344</v>
      </c>
      <c r="C93" s="6" t="s">
        <v>345</v>
      </c>
      <c r="D93" s="6" t="s">
        <v>346</v>
      </c>
      <c r="E93" s="6" t="s">
        <v>82</v>
      </c>
      <c r="F93" s="6" t="s">
        <v>77</v>
      </c>
      <c r="G93" s="7">
        <v>0.85</v>
      </c>
      <c r="H93" s="6" t="s">
        <v>347</v>
      </c>
      <c r="I93" s="6" t="s">
        <v>20</v>
      </c>
      <c r="J93" s="6">
        <v>2025.0</v>
      </c>
      <c r="K93" s="10">
        <v>46084.0</v>
      </c>
      <c r="L93" s="6">
        <v>1.0</v>
      </c>
      <c r="M93" s="8">
        <f t="shared" si="1"/>
        <v>0.85</v>
      </c>
      <c r="P93" s="9"/>
    </row>
    <row r="94">
      <c r="A94" s="6" t="s">
        <v>348</v>
      </c>
      <c r="B94" s="6" t="s">
        <v>162</v>
      </c>
      <c r="C94" s="6" t="s">
        <v>37</v>
      </c>
      <c r="D94" s="6" t="s">
        <v>349</v>
      </c>
      <c r="E94" s="6" t="s">
        <v>248</v>
      </c>
      <c r="F94" s="6" t="s">
        <v>77</v>
      </c>
      <c r="G94" s="7">
        <v>0.48</v>
      </c>
      <c r="H94" s="6" t="s">
        <v>350</v>
      </c>
      <c r="I94" s="6" t="s">
        <v>45</v>
      </c>
      <c r="J94" s="6">
        <v>2003.0</v>
      </c>
      <c r="L94" s="6">
        <v>1.0</v>
      </c>
      <c r="M94" s="8">
        <f t="shared" si="1"/>
        <v>0.48</v>
      </c>
      <c r="P94" s="9"/>
    </row>
    <row r="95">
      <c r="A95" s="6" t="s">
        <v>351</v>
      </c>
      <c r="B95" s="6" t="s">
        <v>352</v>
      </c>
      <c r="C95" s="6" t="s">
        <v>15</v>
      </c>
      <c r="D95" s="6" t="s">
        <v>353</v>
      </c>
      <c r="E95" s="6" t="s">
        <v>152</v>
      </c>
      <c r="F95" s="6" t="s">
        <v>40</v>
      </c>
      <c r="G95" s="7">
        <v>0.24</v>
      </c>
      <c r="H95" s="6" t="s">
        <v>153</v>
      </c>
      <c r="I95" s="6" t="s">
        <v>20</v>
      </c>
      <c r="J95" s="6">
        <v>2025.0</v>
      </c>
      <c r="K95" s="10">
        <v>46055.0</v>
      </c>
      <c r="L95" s="6">
        <v>2.0</v>
      </c>
      <c r="M95" s="8">
        <f t="shared" si="1"/>
        <v>0.48</v>
      </c>
      <c r="P95" s="9"/>
    </row>
    <row r="96">
      <c r="A96" s="6" t="s">
        <v>354</v>
      </c>
      <c r="B96" s="6" t="s">
        <v>322</v>
      </c>
      <c r="C96" s="6" t="s">
        <v>43</v>
      </c>
      <c r="D96" s="6" t="s">
        <v>355</v>
      </c>
      <c r="E96" s="6" t="s">
        <v>356</v>
      </c>
      <c r="F96" s="6" t="s">
        <v>87</v>
      </c>
      <c r="G96" s="7">
        <v>0.06</v>
      </c>
      <c r="H96" s="6" t="s">
        <v>58</v>
      </c>
      <c r="I96" s="6" t="s">
        <v>20</v>
      </c>
      <c r="J96" s="6">
        <v>1995.0</v>
      </c>
      <c r="K96" s="10">
        <v>46025.0</v>
      </c>
      <c r="L96" s="6">
        <v>1.0</v>
      </c>
      <c r="M96" s="8">
        <f t="shared" si="1"/>
        <v>0.06</v>
      </c>
      <c r="P96" s="9"/>
    </row>
    <row r="97">
      <c r="A97" s="6" t="s">
        <v>357</v>
      </c>
      <c r="B97" s="6" t="s">
        <v>358</v>
      </c>
      <c r="C97" s="6" t="s">
        <v>43</v>
      </c>
      <c r="D97" s="6" t="s">
        <v>359</v>
      </c>
      <c r="E97" s="6" t="s">
        <v>329</v>
      </c>
      <c r="F97" s="6" t="s">
        <v>112</v>
      </c>
      <c r="G97" s="7">
        <v>0.05</v>
      </c>
      <c r="H97" s="6" t="s">
        <v>88</v>
      </c>
      <c r="I97" s="6" t="s">
        <v>20</v>
      </c>
      <c r="J97" s="6">
        <v>2024.0</v>
      </c>
      <c r="K97" s="10">
        <v>46057.0</v>
      </c>
      <c r="L97" s="6">
        <v>1.0</v>
      </c>
      <c r="M97" s="8">
        <f t="shared" si="1"/>
        <v>0.05</v>
      </c>
      <c r="P97" s="9"/>
    </row>
    <row r="98">
      <c r="A98" s="6" t="s">
        <v>360</v>
      </c>
      <c r="B98" s="6" t="s">
        <v>361</v>
      </c>
      <c r="C98" s="6" t="s">
        <v>37</v>
      </c>
      <c r="D98" s="6" t="s">
        <v>362</v>
      </c>
      <c r="E98" s="6" t="s">
        <v>86</v>
      </c>
      <c r="F98" s="6" t="s">
        <v>87</v>
      </c>
      <c r="G98" s="7">
        <v>0.16</v>
      </c>
      <c r="H98" s="6" t="s">
        <v>363</v>
      </c>
      <c r="I98" s="6" t="s">
        <v>45</v>
      </c>
      <c r="J98" s="6">
        <v>2024.0</v>
      </c>
      <c r="K98" s="10">
        <v>46024.0</v>
      </c>
      <c r="L98" s="6">
        <v>1.0</v>
      </c>
      <c r="M98" s="8">
        <f t="shared" si="1"/>
        <v>0.16</v>
      </c>
      <c r="P98" s="9"/>
    </row>
    <row r="99">
      <c r="A99" s="6" t="s">
        <v>364</v>
      </c>
      <c r="B99" s="6" t="s">
        <v>365</v>
      </c>
      <c r="C99" s="6" t="s">
        <v>366</v>
      </c>
      <c r="D99" s="6" t="s">
        <v>367</v>
      </c>
      <c r="E99" s="6" t="s">
        <v>368</v>
      </c>
      <c r="F99" s="6" t="s">
        <v>87</v>
      </c>
      <c r="G99" s="7">
        <v>0.05</v>
      </c>
      <c r="H99" s="6" t="s">
        <v>369</v>
      </c>
      <c r="I99" s="6" t="s">
        <v>20</v>
      </c>
      <c r="J99" s="6">
        <v>2019.0</v>
      </c>
      <c r="K99" s="10">
        <v>46023.0</v>
      </c>
      <c r="L99" s="6">
        <v>1.0</v>
      </c>
      <c r="M99" s="8">
        <f t="shared" si="1"/>
        <v>0.05</v>
      </c>
      <c r="P99" s="9"/>
    </row>
    <row r="100">
      <c r="A100" s="6" t="s">
        <v>370</v>
      </c>
      <c r="B100" s="6" t="s">
        <v>371</v>
      </c>
      <c r="C100" s="6" t="s">
        <v>43</v>
      </c>
      <c r="D100" s="6" t="s">
        <v>372</v>
      </c>
      <c r="E100" s="6" t="s">
        <v>282</v>
      </c>
      <c r="F100" s="6" t="s">
        <v>40</v>
      </c>
      <c r="G100" s="7">
        <v>0.06</v>
      </c>
      <c r="H100" s="6" t="s">
        <v>373</v>
      </c>
      <c r="I100" s="6" t="s">
        <v>20</v>
      </c>
      <c r="J100" s="6">
        <v>2015.0</v>
      </c>
      <c r="K100" s="10">
        <v>46084.0</v>
      </c>
      <c r="L100" s="6">
        <v>1.0</v>
      </c>
      <c r="M100" s="8">
        <f t="shared" si="1"/>
        <v>0.06</v>
      </c>
      <c r="N100" s="6" t="s">
        <v>374</v>
      </c>
      <c r="P100" s="9"/>
    </row>
    <row r="101">
      <c r="A101" s="6" t="s">
        <v>375</v>
      </c>
      <c r="B101" s="6" t="s">
        <v>192</v>
      </c>
      <c r="C101" s="6" t="s">
        <v>43</v>
      </c>
      <c r="D101" s="6" t="s">
        <v>376</v>
      </c>
      <c r="E101" s="6" t="s">
        <v>25</v>
      </c>
      <c r="F101" s="6" t="s">
        <v>26</v>
      </c>
      <c r="G101" s="7">
        <v>0.05</v>
      </c>
      <c r="H101" s="6" t="s">
        <v>324</v>
      </c>
      <c r="I101" s="6" t="s">
        <v>20</v>
      </c>
      <c r="J101" s="6">
        <v>1995.0</v>
      </c>
      <c r="L101" s="6">
        <v>2.0</v>
      </c>
      <c r="M101" s="8">
        <f t="shared" si="1"/>
        <v>0.1</v>
      </c>
      <c r="P101" s="9"/>
    </row>
    <row r="102">
      <c r="A102" s="6" t="s">
        <v>375</v>
      </c>
      <c r="B102" s="6" t="s">
        <v>192</v>
      </c>
      <c r="C102" s="6" t="s">
        <v>43</v>
      </c>
      <c r="D102" s="6" t="s">
        <v>376</v>
      </c>
      <c r="E102" s="6" t="s">
        <v>25</v>
      </c>
      <c r="F102" s="6" t="s">
        <v>26</v>
      </c>
      <c r="G102" s="7">
        <v>0.18</v>
      </c>
      <c r="H102" s="6" t="s">
        <v>316</v>
      </c>
      <c r="I102" s="6" t="s">
        <v>20</v>
      </c>
      <c r="J102" s="6">
        <v>1995.0</v>
      </c>
      <c r="L102" s="6">
        <v>3.0</v>
      </c>
      <c r="M102" s="8">
        <f t="shared" si="1"/>
        <v>0.54</v>
      </c>
      <c r="P102" s="9"/>
    </row>
    <row r="103">
      <c r="A103" s="6" t="s">
        <v>375</v>
      </c>
      <c r="B103" s="6" t="s">
        <v>192</v>
      </c>
      <c r="C103" s="6" t="s">
        <v>377</v>
      </c>
      <c r="D103" s="6" t="s">
        <v>378</v>
      </c>
      <c r="E103" s="6" t="s">
        <v>25</v>
      </c>
      <c r="F103" s="6" t="s">
        <v>312</v>
      </c>
      <c r="G103" s="7">
        <v>0.09</v>
      </c>
      <c r="H103" s="6" t="s">
        <v>379</v>
      </c>
      <c r="I103" s="6" t="s">
        <v>20</v>
      </c>
      <c r="J103" s="6">
        <v>1997.0</v>
      </c>
      <c r="L103" s="6">
        <v>1.0</v>
      </c>
      <c r="M103" s="8">
        <f t="shared" si="1"/>
        <v>0.09</v>
      </c>
      <c r="P103" s="9"/>
    </row>
    <row r="104">
      <c r="A104" s="6" t="s">
        <v>375</v>
      </c>
      <c r="B104" s="6" t="s">
        <v>192</v>
      </c>
      <c r="C104" s="6" t="s">
        <v>377</v>
      </c>
      <c r="D104" s="6" t="s">
        <v>378</v>
      </c>
      <c r="E104" s="6" t="s">
        <v>25</v>
      </c>
      <c r="F104" s="6" t="s">
        <v>312</v>
      </c>
      <c r="G104" s="7">
        <v>0.05</v>
      </c>
      <c r="H104" s="6" t="s">
        <v>379</v>
      </c>
      <c r="I104" s="6" t="s">
        <v>20</v>
      </c>
      <c r="J104" s="6">
        <v>1995.0</v>
      </c>
      <c r="L104" s="6">
        <v>1.0</v>
      </c>
      <c r="M104" s="8">
        <f t="shared" si="1"/>
        <v>0.05</v>
      </c>
      <c r="P104" s="9"/>
    </row>
    <row r="105">
      <c r="A105" s="6" t="s">
        <v>380</v>
      </c>
      <c r="B105" s="6" t="s">
        <v>213</v>
      </c>
      <c r="C105" s="6" t="s">
        <v>23</v>
      </c>
      <c r="D105" s="6" t="s">
        <v>381</v>
      </c>
      <c r="E105" s="6" t="s">
        <v>215</v>
      </c>
      <c r="F105" s="6" t="s">
        <v>26</v>
      </c>
      <c r="G105" s="7">
        <v>0.04</v>
      </c>
      <c r="H105" s="6" t="s">
        <v>382</v>
      </c>
      <c r="I105" s="6" t="s">
        <v>20</v>
      </c>
      <c r="J105" s="6">
        <v>2020.0</v>
      </c>
      <c r="L105" s="6">
        <v>1.0</v>
      </c>
      <c r="M105" s="8">
        <f t="shared" si="1"/>
        <v>0.04</v>
      </c>
      <c r="P105" s="9"/>
    </row>
    <row r="106">
      <c r="A106" s="6" t="s">
        <v>383</v>
      </c>
      <c r="B106" s="6" t="s">
        <v>384</v>
      </c>
      <c r="C106" s="6" t="s">
        <v>30</v>
      </c>
      <c r="D106" s="6" t="s">
        <v>385</v>
      </c>
      <c r="E106" s="6" t="s">
        <v>86</v>
      </c>
      <c r="F106" s="6" t="s">
        <v>87</v>
      </c>
      <c r="G106" s="7">
        <v>3.0</v>
      </c>
      <c r="H106" s="6" t="s">
        <v>58</v>
      </c>
      <c r="I106" s="6" t="s">
        <v>20</v>
      </c>
      <c r="J106" s="6">
        <v>1995.0</v>
      </c>
      <c r="K106" s="10">
        <v>46023.0</v>
      </c>
      <c r="L106" s="6">
        <v>1.0</v>
      </c>
      <c r="M106" s="8">
        <f t="shared" si="1"/>
        <v>3</v>
      </c>
      <c r="P106" s="9"/>
    </row>
    <row r="107">
      <c r="A107" s="6" t="s">
        <v>386</v>
      </c>
      <c r="B107" s="6" t="s">
        <v>387</v>
      </c>
      <c r="C107" s="6" t="s">
        <v>43</v>
      </c>
      <c r="D107" s="6" t="s">
        <v>388</v>
      </c>
      <c r="E107" s="6" t="s">
        <v>389</v>
      </c>
      <c r="F107" s="6" t="s">
        <v>87</v>
      </c>
      <c r="G107" s="7">
        <v>0.05</v>
      </c>
      <c r="H107" s="6" t="s">
        <v>58</v>
      </c>
      <c r="I107" s="6" t="s">
        <v>20</v>
      </c>
      <c r="J107" s="6">
        <v>1995.0</v>
      </c>
      <c r="K107" s="10">
        <v>46083.0</v>
      </c>
      <c r="L107" s="6">
        <v>2.0</v>
      </c>
      <c r="M107" s="8">
        <f t="shared" si="1"/>
        <v>0.1</v>
      </c>
      <c r="P107" s="9"/>
    </row>
    <row r="108">
      <c r="A108" s="6" t="s">
        <v>390</v>
      </c>
      <c r="B108" s="6" t="s">
        <v>391</v>
      </c>
      <c r="C108" s="6" t="s">
        <v>43</v>
      </c>
      <c r="D108" s="6" t="s">
        <v>392</v>
      </c>
      <c r="E108" s="6" t="s">
        <v>389</v>
      </c>
      <c r="F108" s="6" t="s">
        <v>87</v>
      </c>
      <c r="G108" s="7">
        <v>0.06</v>
      </c>
      <c r="H108" s="6" t="s">
        <v>58</v>
      </c>
      <c r="I108" s="6" t="s">
        <v>20</v>
      </c>
      <c r="J108" s="6">
        <v>1995.0</v>
      </c>
      <c r="K108" s="10">
        <v>46055.0</v>
      </c>
      <c r="L108" s="6">
        <v>3.0</v>
      </c>
      <c r="M108" s="8">
        <f t="shared" si="1"/>
        <v>0.18</v>
      </c>
      <c r="P108" s="9"/>
    </row>
    <row r="109">
      <c r="A109" s="6" t="s">
        <v>393</v>
      </c>
      <c r="B109" s="6" t="s">
        <v>162</v>
      </c>
      <c r="C109" s="6" t="s">
        <v>43</v>
      </c>
      <c r="D109" s="6" t="s">
        <v>394</v>
      </c>
      <c r="E109" s="6" t="s">
        <v>140</v>
      </c>
      <c r="F109" s="6" t="s">
        <v>87</v>
      </c>
      <c r="G109" s="7">
        <v>0.07</v>
      </c>
      <c r="H109" s="6" t="s">
        <v>148</v>
      </c>
      <c r="I109" s="6" t="s">
        <v>20</v>
      </c>
      <c r="J109" s="6">
        <v>2026.0</v>
      </c>
      <c r="L109" s="6">
        <v>1.0</v>
      </c>
      <c r="M109" s="8">
        <f t="shared" si="1"/>
        <v>0.07</v>
      </c>
      <c r="P109" s="9"/>
    </row>
    <row r="110">
      <c r="A110" s="6" t="s">
        <v>395</v>
      </c>
      <c r="B110" s="6" t="s">
        <v>396</v>
      </c>
      <c r="C110" s="6" t="s">
        <v>37</v>
      </c>
      <c r="D110" s="6" t="s">
        <v>397</v>
      </c>
      <c r="E110" s="6" t="s">
        <v>135</v>
      </c>
      <c r="F110" s="6" t="s">
        <v>40</v>
      </c>
      <c r="G110" s="7">
        <v>0.06</v>
      </c>
      <c r="H110" s="6" t="s">
        <v>398</v>
      </c>
      <c r="I110" s="6" t="s">
        <v>20</v>
      </c>
      <c r="J110" s="6">
        <v>2019.0</v>
      </c>
      <c r="L110" s="6">
        <v>1.0</v>
      </c>
      <c r="M110" s="8">
        <f t="shared" si="1"/>
        <v>0.06</v>
      </c>
      <c r="P110" s="9"/>
    </row>
    <row r="111">
      <c r="A111" s="6" t="s">
        <v>399</v>
      </c>
      <c r="B111" s="6" t="s">
        <v>400</v>
      </c>
      <c r="C111" s="6" t="s">
        <v>43</v>
      </c>
      <c r="D111" s="6" t="s">
        <v>401</v>
      </c>
      <c r="E111" s="6" t="s">
        <v>93</v>
      </c>
      <c r="F111" s="6" t="s">
        <v>77</v>
      </c>
      <c r="G111" s="7">
        <v>0.1</v>
      </c>
      <c r="H111" s="6" t="s">
        <v>136</v>
      </c>
      <c r="I111" s="6" t="s">
        <v>20</v>
      </c>
      <c r="J111" s="6">
        <v>2026.0</v>
      </c>
      <c r="L111" s="6">
        <v>4.0</v>
      </c>
      <c r="M111" s="8">
        <f t="shared" si="1"/>
        <v>0.4</v>
      </c>
      <c r="P111" s="9"/>
    </row>
    <row r="112">
      <c r="A112" s="6" t="s">
        <v>402</v>
      </c>
      <c r="B112" s="6" t="s">
        <v>74</v>
      </c>
      <c r="C112" s="6" t="s">
        <v>43</v>
      </c>
      <c r="D112" s="6" t="s">
        <v>403</v>
      </c>
      <c r="E112" s="6" t="s">
        <v>164</v>
      </c>
      <c r="F112" s="6" t="s">
        <v>112</v>
      </c>
      <c r="G112" s="7">
        <v>0.05</v>
      </c>
      <c r="H112" s="6" t="s">
        <v>404</v>
      </c>
      <c r="I112" s="6" t="s">
        <v>20</v>
      </c>
      <c r="J112" s="6">
        <v>2020.0</v>
      </c>
      <c r="L112" s="6">
        <v>2.0</v>
      </c>
      <c r="M112" s="8">
        <f t="shared" si="1"/>
        <v>0.1</v>
      </c>
      <c r="P112" s="9"/>
    </row>
    <row r="113">
      <c r="A113" s="6" t="s">
        <v>405</v>
      </c>
      <c r="B113" s="6" t="s">
        <v>406</v>
      </c>
      <c r="C113" s="6" t="s">
        <v>43</v>
      </c>
      <c r="E113" s="6" t="s">
        <v>210</v>
      </c>
      <c r="F113" s="6" t="s">
        <v>18</v>
      </c>
      <c r="G113" s="7">
        <v>0.05</v>
      </c>
      <c r="H113" s="6" t="s">
        <v>407</v>
      </c>
      <c r="I113" s="6" t="s">
        <v>20</v>
      </c>
      <c r="J113" s="6">
        <v>2016.0</v>
      </c>
      <c r="K113" s="10">
        <v>46143.0</v>
      </c>
      <c r="L113" s="6">
        <v>3.0</v>
      </c>
      <c r="M113" s="8">
        <f t="shared" si="1"/>
        <v>0.15</v>
      </c>
      <c r="P113" s="9"/>
    </row>
    <row r="114">
      <c r="A114" s="6" t="s">
        <v>408</v>
      </c>
      <c r="B114" s="6" t="s">
        <v>74</v>
      </c>
      <c r="C114" s="6" t="s">
        <v>43</v>
      </c>
      <c r="D114" s="6" t="s">
        <v>409</v>
      </c>
      <c r="E114" s="6" t="s">
        <v>86</v>
      </c>
      <c r="F114" s="6" t="s">
        <v>87</v>
      </c>
      <c r="G114" s="7">
        <v>0.3</v>
      </c>
      <c r="H114" s="6" t="s">
        <v>410</v>
      </c>
      <c r="I114" s="6" t="s">
        <v>20</v>
      </c>
      <c r="J114" s="6">
        <v>2020.0</v>
      </c>
      <c r="L114" s="6">
        <v>2.0</v>
      </c>
      <c r="M114" s="8">
        <f t="shared" si="1"/>
        <v>0.6</v>
      </c>
      <c r="P114" s="9"/>
    </row>
    <row r="115">
      <c r="A115" s="6" t="s">
        <v>411</v>
      </c>
      <c r="B115" s="6" t="s">
        <v>412</v>
      </c>
      <c r="C115" s="6" t="s">
        <v>30</v>
      </c>
      <c r="D115" s="6" t="s">
        <v>413</v>
      </c>
      <c r="E115" s="6" t="s">
        <v>414</v>
      </c>
      <c r="F115" s="6" t="s">
        <v>40</v>
      </c>
      <c r="G115" s="7">
        <v>0.3</v>
      </c>
      <c r="H115" s="6" t="s">
        <v>415</v>
      </c>
      <c r="I115" s="6" t="s">
        <v>45</v>
      </c>
      <c r="J115" s="6">
        <v>2016.0</v>
      </c>
      <c r="K115" s="10">
        <v>46179.0</v>
      </c>
      <c r="L115" s="6">
        <v>1.0</v>
      </c>
      <c r="M115" s="8">
        <f t="shared" si="1"/>
        <v>0.3</v>
      </c>
      <c r="P115" s="9"/>
    </row>
    <row r="116">
      <c r="A116" s="6" t="s">
        <v>416</v>
      </c>
      <c r="B116" s="6" t="s">
        <v>417</v>
      </c>
      <c r="C116" s="6" t="s">
        <v>418</v>
      </c>
      <c r="D116" s="6" t="s">
        <v>419</v>
      </c>
      <c r="E116" s="6" t="s">
        <v>420</v>
      </c>
      <c r="F116" s="6" t="s">
        <v>40</v>
      </c>
      <c r="G116" s="7">
        <v>0.15</v>
      </c>
      <c r="H116" s="6" t="s">
        <v>421</v>
      </c>
      <c r="I116" s="6" t="s">
        <v>20</v>
      </c>
      <c r="J116" s="6">
        <v>2000.0</v>
      </c>
      <c r="K116" s="10">
        <v>46084.0</v>
      </c>
      <c r="L116" s="6">
        <v>2.0</v>
      </c>
      <c r="M116" s="8">
        <f t="shared" si="1"/>
        <v>0.3</v>
      </c>
      <c r="P116" s="9"/>
    </row>
    <row r="117">
      <c r="A117" s="6" t="s">
        <v>422</v>
      </c>
      <c r="B117" s="6" t="s">
        <v>412</v>
      </c>
      <c r="C117" s="6" t="s">
        <v>43</v>
      </c>
      <c r="D117" s="6" t="s">
        <v>423</v>
      </c>
      <c r="E117" s="6" t="s">
        <v>420</v>
      </c>
      <c r="F117" s="6" t="s">
        <v>40</v>
      </c>
      <c r="G117" s="7">
        <v>0.08</v>
      </c>
      <c r="H117" s="6" t="s">
        <v>424</v>
      </c>
      <c r="I117" s="6" t="s">
        <v>20</v>
      </c>
      <c r="J117" s="6">
        <v>2017.0</v>
      </c>
      <c r="K117" s="10">
        <v>46084.0</v>
      </c>
      <c r="L117" s="6">
        <v>4.0</v>
      </c>
      <c r="M117" s="8">
        <f t="shared" si="1"/>
        <v>0.32</v>
      </c>
      <c r="P117" s="9"/>
    </row>
    <row r="118">
      <c r="A118" s="6" t="s">
        <v>425</v>
      </c>
      <c r="B118" s="6" t="s">
        <v>426</v>
      </c>
      <c r="C118" s="6" t="s">
        <v>37</v>
      </c>
      <c r="D118" s="6" t="s">
        <v>427</v>
      </c>
      <c r="E118" s="6" t="s">
        <v>135</v>
      </c>
      <c r="F118" s="6" t="s">
        <v>40</v>
      </c>
      <c r="G118" s="7">
        <v>0.8</v>
      </c>
      <c r="H118" s="6" t="s">
        <v>428</v>
      </c>
      <c r="I118" s="6" t="s">
        <v>20</v>
      </c>
      <c r="J118" s="6">
        <v>2022.0</v>
      </c>
      <c r="K118" s="10">
        <v>46023.0</v>
      </c>
      <c r="L118" s="6">
        <v>1.0</v>
      </c>
      <c r="M118" s="8">
        <f t="shared" si="1"/>
        <v>0.8</v>
      </c>
      <c r="P118" s="9"/>
    </row>
    <row r="119">
      <c r="A119" s="6" t="s">
        <v>429</v>
      </c>
      <c r="B119" s="6" t="s">
        <v>146</v>
      </c>
      <c r="C119" s="6" t="s">
        <v>37</v>
      </c>
      <c r="D119" s="6" t="s">
        <v>430</v>
      </c>
      <c r="E119" s="6" t="s">
        <v>39</v>
      </c>
      <c r="F119" s="6" t="s">
        <v>40</v>
      </c>
      <c r="G119" s="7">
        <v>0.04</v>
      </c>
      <c r="H119" s="6" t="s">
        <v>431</v>
      </c>
      <c r="I119" s="6" t="s">
        <v>20</v>
      </c>
      <c r="J119" s="6">
        <v>2019.0</v>
      </c>
      <c r="L119" s="6">
        <v>1.0</v>
      </c>
      <c r="M119" s="8">
        <f t="shared" si="1"/>
        <v>0.04</v>
      </c>
      <c r="P119" s="9"/>
    </row>
    <row r="120">
      <c r="A120" s="6" t="s">
        <v>432</v>
      </c>
      <c r="B120" s="6" t="s">
        <v>138</v>
      </c>
      <c r="C120" s="6" t="s">
        <v>309</v>
      </c>
      <c r="D120" s="6" t="s">
        <v>433</v>
      </c>
      <c r="E120" s="6" t="s">
        <v>39</v>
      </c>
      <c r="F120" s="6" t="s">
        <v>40</v>
      </c>
      <c r="G120" s="7">
        <v>0.75</v>
      </c>
      <c r="H120" s="6" t="s">
        <v>434</v>
      </c>
      <c r="I120" s="6" t="s">
        <v>20</v>
      </c>
      <c r="J120" s="6">
        <v>2000.0</v>
      </c>
      <c r="L120" s="6">
        <v>1.0</v>
      </c>
      <c r="M120" s="8">
        <f t="shared" si="1"/>
        <v>0.75</v>
      </c>
      <c r="P120" s="9"/>
    </row>
    <row r="121">
      <c r="A121" s="6" t="s">
        <v>435</v>
      </c>
      <c r="B121" s="6" t="s">
        <v>417</v>
      </c>
      <c r="C121" s="6" t="s">
        <v>37</v>
      </c>
      <c r="D121" s="6" t="s">
        <v>436</v>
      </c>
      <c r="E121" s="6" t="s">
        <v>39</v>
      </c>
      <c r="F121" s="6" t="s">
        <v>40</v>
      </c>
      <c r="G121" s="7">
        <v>0.3</v>
      </c>
      <c r="H121" s="6" t="s">
        <v>428</v>
      </c>
      <c r="I121" s="6" t="s">
        <v>20</v>
      </c>
      <c r="J121" s="6">
        <v>2022.0</v>
      </c>
      <c r="K121" s="10">
        <v>46055.0</v>
      </c>
      <c r="L121" s="6">
        <v>1.0</v>
      </c>
      <c r="M121" s="8">
        <f t="shared" si="1"/>
        <v>0.3</v>
      </c>
      <c r="P121" s="9"/>
    </row>
    <row r="122">
      <c r="A122" s="6" t="s">
        <v>437</v>
      </c>
      <c r="B122" s="6" t="s">
        <v>162</v>
      </c>
      <c r="C122" s="6" t="s">
        <v>43</v>
      </c>
      <c r="D122" s="6" t="s">
        <v>438</v>
      </c>
      <c r="E122" s="6" t="s">
        <v>57</v>
      </c>
      <c r="F122" s="6" t="s">
        <v>40</v>
      </c>
      <c r="G122" s="7">
        <v>0.05</v>
      </c>
      <c r="H122" s="6" t="s">
        <v>415</v>
      </c>
      <c r="I122" s="6" t="s">
        <v>20</v>
      </c>
      <c r="J122" s="6">
        <v>2016.0</v>
      </c>
      <c r="L122" s="6">
        <v>1.0</v>
      </c>
      <c r="M122" s="8">
        <f t="shared" si="1"/>
        <v>0.05</v>
      </c>
      <c r="N122" s="6" t="s">
        <v>374</v>
      </c>
      <c r="P122" s="9"/>
    </row>
    <row r="123">
      <c r="A123" s="6" t="s">
        <v>439</v>
      </c>
      <c r="B123" s="6" t="s">
        <v>440</v>
      </c>
      <c r="C123" s="6" t="s">
        <v>43</v>
      </c>
      <c r="D123" s="6" t="s">
        <v>441</v>
      </c>
      <c r="E123" s="6" t="s">
        <v>135</v>
      </c>
      <c r="F123" s="6" t="s">
        <v>40</v>
      </c>
      <c r="G123" s="7">
        <v>0.75</v>
      </c>
      <c r="H123" s="6" t="s">
        <v>379</v>
      </c>
      <c r="I123" s="6" t="s">
        <v>20</v>
      </c>
      <c r="J123" s="6">
        <v>1997.0</v>
      </c>
      <c r="L123" s="6">
        <v>1.0</v>
      </c>
      <c r="M123" s="8">
        <f t="shared" si="1"/>
        <v>0.75</v>
      </c>
      <c r="P123" s="9"/>
    </row>
    <row r="124">
      <c r="A124" s="6" t="s">
        <v>442</v>
      </c>
      <c r="B124" s="6" t="s">
        <v>96</v>
      </c>
      <c r="C124" s="6" t="s">
        <v>43</v>
      </c>
      <c r="D124" s="6" t="s">
        <v>443</v>
      </c>
      <c r="E124" s="6" t="s">
        <v>135</v>
      </c>
      <c r="F124" s="6" t="s">
        <v>40</v>
      </c>
      <c r="G124" s="7">
        <v>0.08</v>
      </c>
      <c r="H124" s="6" t="s">
        <v>444</v>
      </c>
      <c r="I124" s="6" t="s">
        <v>20</v>
      </c>
      <c r="J124" s="6">
        <v>2012.0</v>
      </c>
      <c r="K124" s="6" t="s">
        <v>445</v>
      </c>
      <c r="L124" s="6">
        <v>5.0</v>
      </c>
      <c r="M124" s="8">
        <f t="shared" si="1"/>
        <v>0.4</v>
      </c>
      <c r="P124" s="9"/>
    </row>
    <row r="125">
      <c r="A125" s="6" t="s">
        <v>446</v>
      </c>
      <c r="B125" s="6" t="s">
        <v>162</v>
      </c>
      <c r="C125" s="6" t="s">
        <v>37</v>
      </c>
      <c r="D125" s="6" t="s">
        <v>447</v>
      </c>
      <c r="E125" s="6" t="s">
        <v>448</v>
      </c>
      <c r="F125" s="6" t="s">
        <v>112</v>
      </c>
      <c r="G125" s="7">
        <v>0.15</v>
      </c>
      <c r="H125" s="6" t="s">
        <v>113</v>
      </c>
      <c r="I125" s="6" t="s">
        <v>20</v>
      </c>
      <c r="J125" s="6">
        <v>2023.0</v>
      </c>
      <c r="L125" s="6">
        <v>1.0</v>
      </c>
      <c r="M125" s="8">
        <f t="shared" si="1"/>
        <v>0.15</v>
      </c>
      <c r="P125" s="9"/>
    </row>
    <row r="126">
      <c r="A126" s="6" t="s">
        <v>449</v>
      </c>
      <c r="B126" s="6" t="s">
        <v>450</v>
      </c>
      <c r="C126" s="6" t="s">
        <v>204</v>
      </c>
      <c r="D126" s="6" t="s">
        <v>451</v>
      </c>
      <c r="E126" s="6" t="s">
        <v>256</v>
      </c>
      <c r="F126" s="6" t="s">
        <v>87</v>
      </c>
      <c r="G126" s="7">
        <v>0.05</v>
      </c>
      <c r="H126" s="6" t="s">
        <v>452</v>
      </c>
      <c r="I126" s="6" t="s">
        <v>20</v>
      </c>
      <c r="J126" s="6">
        <v>1995.0</v>
      </c>
      <c r="K126" s="10">
        <v>46023.0</v>
      </c>
      <c r="L126" s="6">
        <v>5.0</v>
      </c>
      <c r="M126" s="8">
        <f t="shared" si="1"/>
        <v>0.25</v>
      </c>
      <c r="P126" s="9"/>
    </row>
    <row r="127">
      <c r="A127" s="6" t="s">
        <v>449</v>
      </c>
      <c r="B127" s="6" t="s">
        <v>450</v>
      </c>
      <c r="C127" s="6" t="s">
        <v>204</v>
      </c>
      <c r="D127" s="6" t="s">
        <v>451</v>
      </c>
      <c r="E127" s="6" t="s">
        <v>256</v>
      </c>
      <c r="F127" s="6" t="s">
        <v>87</v>
      </c>
      <c r="G127" s="7">
        <v>0.16</v>
      </c>
      <c r="H127" s="6" t="s">
        <v>316</v>
      </c>
      <c r="I127" s="6" t="s">
        <v>20</v>
      </c>
      <c r="J127" s="6">
        <v>1995.0</v>
      </c>
      <c r="K127" s="10">
        <v>46023.0</v>
      </c>
      <c r="L127" s="6">
        <v>1.0</v>
      </c>
      <c r="M127" s="8">
        <f t="shared" si="1"/>
        <v>0.16</v>
      </c>
      <c r="P127" s="9"/>
    </row>
    <row r="128">
      <c r="A128" s="6" t="s">
        <v>449</v>
      </c>
      <c r="B128" s="6" t="s">
        <v>450</v>
      </c>
      <c r="C128" s="6" t="s">
        <v>204</v>
      </c>
      <c r="D128" s="6" t="s">
        <v>451</v>
      </c>
      <c r="E128" s="6" t="s">
        <v>256</v>
      </c>
      <c r="F128" s="6" t="s">
        <v>87</v>
      </c>
      <c r="G128" s="7">
        <v>0.12</v>
      </c>
      <c r="H128" s="6" t="s">
        <v>453</v>
      </c>
      <c r="I128" s="6" t="s">
        <v>20</v>
      </c>
      <c r="J128" s="6">
        <v>1994.0</v>
      </c>
      <c r="K128" s="10">
        <v>46023.0</v>
      </c>
      <c r="L128" s="6">
        <v>1.0</v>
      </c>
      <c r="M128" s="8">
        <f t="shared" si="1"/>
        <v>0.12</v>
      </c>
      <c r="P128" s="9"/>
    </row>
    <row r="129">
      <c r="A129" s="6" t="s">
        <v>454</v>
      </c>
      <c r="B129" s="6" t="s">
        <v>455</v>
      </c>
      <c r="C129" s="6" t="s">
        <v>23</v>
      </c>
      <c r="D129" s="6" t="s">
        <v>456</v>
      </c>
      <c r="E129" s="6" t="s">
        <v>457</v>
      </c>
      <c r="F129" s="6" t="s">
        <v>112</v>
      </c>
      <c r="G129" s="7">
        <v>0.13</v>
      </c>
      <c r="H129" s="6" t="s">
        <v>27</v>
      </c>
      <c r="I129" s="6" t="s">
        <v>20</v>
      </c>
      <c r="J129" s="6">
        <v>2026.0</v>
      </c>
      <c r="K129" s="10">
        <v>46056.0</v>
      </c>
      <c r="L129" s="6">
        <v>1.0</v>
      </c>
      <c r="M129" s="8">
        <f t="shared" si="1"/>
        <v>0.13</v>
      </c>
      <c r="P129" s="9"/>
    </row>
    <row r="130">
      <c r="A130" s="6" t="s">
        <v>458</v>
      </c>
      <c r="B130" s="6" t="s">
        <v>74</v>
      </c>
      <c r="C130" s="6" t="s">
        <v>43</v>
      </c>
      <c r="D130" s="6" t="s">
        <v>459</v>
      </c>
      <c r="E130" s="6" t="s">
        <v>107</v>
      </c>
      <c r="F130" s="6" t="s">
        <v>18</v>
      </c>
      <c r="G130" s="7">
        <v>0.06</v>
      </c>
      <c r="H130" s="6" t="s">
        <v>460</v>
      </c>
      <c r="I130" s="6" t="s">
        <v>20</v>
      </c>
      <c r="J130" s="6">
        <v>2015.0</v>
      </c>
      <c r="L130" s="6">
        <v>1.0</v>
      </c>
      <c r="M130" s="8">
        <f t="shared" si="1"/>
        <v>0.06</v>
      </c>
      <c r="P130" s="9"/>
    </row>
    <row r="131">
      <c r="A131" s="6" t="s">
        <v>461</v>
      </c>
      <c r="B131" s="6" t="s">
        <v>462</v>
      </c>
      <c r="C131" s="6" t="s">
        <v>377</v>
      </c>
      <c r="D131" s="6" t="s">
        <v>463</v>
      </c>
      <c r="E131" s="6" t="s">
        <v>248</v>
      </c>
      <c r="F131" s="6" t="s">
        <v>77</v>
      </c>
      <c r="G131" s="7">
        <v>5.85</v>
      </c>
      <c r="H131" s="7" t="s">
        <v>464</v>
      </c>
      <c r="I131" s="6" t="s">
        <v>45</v>
      </c>
      <c r="J131" s="6">
        <v>2002.0</v>
      </c>
      <c r="L131" s="6">
        <v>1.0</v>
      </c>
      <c r="M131" s="8">
        <f t="shared" si="1"/>
        <v>5.85</v>
      </c>
      <c r="P131" s="9"/>
    </row>
    <row r="132">
      <c r="A132" s="6" t="s">
        <v>465</v>
      </c>
      <c r="B132" s="6" t="s">
        <v>74</v>
      </c>
      <c r="C132" s="6" t="s">
        <v>43</v>
      </c>
      <c r="D132" s="6" t="s">
        <v>466</v>
      </c>
      <c r="E132" s="6" t="s">
        <v>467</v>
      </c>
      <c r="F132" s="6" t="s">
        <v>40</v>
      </c>
      <c r="G132" s="7">
        <v>2.48</v>
      </c>
      <c r="H132" s="6" t="s">
        <v>468</v>
      </c>
      <c r="I132" s="6" t="s">
        <v>20</v>
      </c>
      <c r="J132" s="6">
        <v>2015.0</v>
      </c>
      <c r="L132" s="6">
        <v>4.0</v>
      </c>
      <c r="M132" s="8">
        <f t="shared" si="1"/>
        <v>9.92</v>
      </c>
      <c r="P132" s="9"/>
    </row>
    <row r="133">
      <c r="A133" s="6" t="s">
        <v>469</v>
      </c>
      <c r="B133" s="6" t="s">
        <v>138</v>
      </c>
      <c r="C133" s="6" t="s">
        <v>43</v>
      </c>
      <c r="D133" s="6" t="s">
        <v>470</v>
      </c>
      <c r="E133" s="6" t="s">
        <v>39</v>
      </c>
      <c r="F133" s="6" t="s">
        <v>40</v>
      </c>
      <c r="G133" s="7">
        <v>0.05</v>
      </c>
      <c r="H133" s="6" t="s">
        <v>471</v>
      </c>
      <c r="I133" s="6" t="s">
        <v>20</v>
      </c>
      <c r="J133" s="6">
        <v>2026.0</v>
      </c>
      <c r="L133" s="6">
        <v>1.0</v>
      </c>
      <c r="M133" s="8">
        <f t="shared" si="1"/>
        <v>0.05</v>
      </c>
      <c r="P133" s="9"/>
    </row>
    <row r="134">
      <c r="A134" s="6" t="s">
        <v>472</v>
      </c>
      <c r="B134" s="6" t="s">
        <v>473</v>
      </c>
      <c r="C134" s="6" t="s">
        <v>43</v>
      </c>
      <c r="D134" s="6" t="s">
        <v>474</v>
      </c>
      <c r="E134" s="6" t="s">
        <v>176</v>
      </c>
      <c r="F134" s="6" t="s">
        <v>77</v>
      </c>
      <c r="G134" s="7">
        <v>0.17</v>
      </c>
      <c r="H134" s="6" t="s">
        <v>475</v>
      </c>
      <c r="I134" s="6" t="s">
        <v>45</v>
      </c>
      <c r="J134" s="6">
        <v>2024.0</v>
      </c>
      <c r="K134" s="10">
        <v>46056.0</v>
      </c>
      <c r="L134" s="6">
        <v>1.0</v>
      </c>
      <c r="M134" s="8">
        <f t="shared" si="1"/>
        <v>0.17</v>
      </c>
      <c r="P134" s="9"/>
    </row>
    <row r="135">
      <c r="A135" s="6" t="s">
        <v>476</v>
      </c>
      <c r="B135" s="6" t="s">
        <v>477</v>
      </c>
      <c r="C135" s="6" t="s">
        <v>43</v>
      </c>
      <c r="D135" s="6" t="s">
        <v>478</v>
      </c>
      <c r="E135" s="6" t="s">
        <v>329</v>
      </c>
      <c r="F135" s="6" t="s">
        <v>112</v>
      </c>
      <c r="G135" s="7">
        <v>0.09</v>
      </c>
      <c r="H135" s="6" t="s">
        <v>89</v>
      </c>
      <c r="I135" s="6" t="s">
        <v>20</v>
      </c>
      <c r="J135" s="6">
        <v>2021.0</v>
      </c>
      <c r="K135" s="10">
        <v>46113.0</v>
      </c>
      <c r="L135" s="6">
        <v>2.0</v>
      </c>
      <c r="M135" s="8">
        <f t="shared" si="1"/>
        <v>0.18</v>
      </c>
      <c r="P135" s="9"/>
    </row>
    <row r="136">
      <c r="A136" s="6" t="s">
        <v>479</v>
      </c>
      <c r="B136" s="6" t="s">
        <v>480</v>
      </c>
      <c r="C136" s="6" t="s">
        <v>43</v>
      </c>
      <c r="D136" s="6" t="s">
        <v>481</v>
      </c>
      <c r="E136" s="6" t="s">
        <v>135</v>
      </c>
      <c r="F136" s="6" t="s">
        <v>40</v>
      </c>
      <c r="G136" s="7">
        <v>0.1</v>
      </c>
      <c r="H136" s="6" t="s">
        <v>136</v>
      </c>
      <c r="I136" s="6" t="s">
        <v>20</v>
      </c>
      <c r="J136" s="6">
        <v>2026.0</v>
      </c>
      <c r="K136" s="10">
        <v>46055.0</v>
      </c>
      <c r="L136" s="6">
        <v>5.0</v>
      </c>
      <c r="M136" s="8">
        <f t="shared" si="1"/>
        <v>0.5</v>
      </c>
      <c r="P136" s="9"/>
    </row>
    <row r="137">
      <c r="A137" s="6" t="s">
        <v>479</v>
      </c>
      <c r="B137" s="6" t="s">
        <v>480</v>
      </c>
      <c r="C137" s="6" t="s">
        <v>43</v>
      </c>
      <c r="D137" s="6" t="s">
        <v>481</v>
      </c>
      <c r="E137" s="6" t="s">
        <v>135</v>
      </c>
      <c r="F137" s="6" t="s">
        <v>40</v>
      </c>
      <c r="G137" s="7">
        <v>0.1</v>
      </c>
      <c r="H137" s="6" t="s">
        <v>136</v>
      </c>
      <c r="I137" s="6" t="s">
        <v>20</v>
      </c>
      <c r="J137" s="6">
        <v>2026.0</v>
      </c>
      <c r="K137" s="10">
        <v>46055.0</v>
      </c>
      <c r="L137" s="6">
        <v>2.0</v>
      </c>
      <c r="M137" s="8">
        <f t="shared" si="1"/>
        <v>0.2</v>
      </c>
      <c r="P137" s="9"/>
    </row>
    <row r="138">
      <c r="A138" s="6" t="s">
        <v>482</v>
      </c>
      <c r="B138" s="6" t="s">
        <v>483</v>
      </c>
      <c r="C138" s="6" t="s">
        <v>37</v>
      </c>
      <c r="D138" s="6" t="s">
        <v>484</v>
      </c>
      <c r="E138" s="6" t="s">
        <v>98</v>
      </c>
      <c r="F138" s="6" t="s">
        <v>18</v>
      </c>
      <c r="G138" s="7">
        <v>0.15</v>
      </c>
      <c r="H138" s="6" t="s">
        <v>136</v>
      </c>
      <c r="I138" s="6" t="s">
        <v>20</v>
      </c>
      <c r="J138" s="6">
        <v>2026.0</v>
      </c>
      <c r="K138" s="10">
        <v>46055.0</v>
      </c>
      <c r="L138" s="6">
        <v>2.0</v>
      </c>
      <c r="M138" s="8">
        <f t="shared" si="1"/>
        <v>0.3</v>
      </c>
      <c r="P138" s="9"/>
    </row>
    <row r="139">
      <c r="A139" s="6" t="s">
        <v>485</v>
      </c>
      <c r="B139" s="6" t="s">
        <v>486</v>
      </c>
      <c r="C139" s="6" t="s">
        <v>43</v>
      </c>
      <c r="D139" s="6" t="s">
        <v>487</v>
      </c>
      <c r="E139" s="6" t="s">
        <v>107</v>
      </c>
      <c r="F139" s="6" t="s">
        <v>18</v>
      </c>
      <c r="G139" s="7">
        <v>0.14</v>
      </c>
      <c r="H139" s="6" t="s">
        <v>488</v>
      </c>
      <c r="I139" s="6" t="s">
        <v>20</v>
      </c>
      <c r="J139" s="6">
        <v>2023.0</v>
      </c>
      <c r="K139" s="10">
        <v>46082.0</v>
      </c>
      <c r="L139" s="6">
        <v>1.0</v>
      </c>
      <c r="M139" s="8">
        <f t="shared" si="1"/>
        <v>0.14</v>
      </c>
      <c r="P139" s="9"/>
    </row>
    <row r="140">
      <c r="A140" s="6" t="s">
        <v>489</v>
      </c>
      <c r="B140" s="6" t="s">
        <v>490</v>
      </c>
      <c r="C140" s="6" t="s">
        <v>23</v>
      </c>
      <c r="D140" s="6" t="s">
        <v>491</v>
      </c>
      <c r="E140" s="6" t="s">
        <v>492</v>
      </c>
      <c r="F140" s="6" t="s">
        <v>18</v>
      </c>
      <c r="G140" s="7">
        <v>0.06</v>
      </c>
      <c r="H140" s="6" t="s">
        <v>130</v>
      </c>
      <c r="I140" s="6" t="s">
        <v>20</v>
      </c>
      <c r="J140" s="6">
        <v>2014.0</v>
      </c>
      <c r="K140" s="6" t="s">
        <v>66</v>
      </c>
      <c r="L140" s="6">
        <v>2.0</v>
      </c>
      <c r="M140" s="8">
        <f t="shared" si="1"/>
        <v>0.12</v>
      </c>
      <c r="P140" s="9"/>
    </row>
    <row r="141">
      <c r="A141" s="6" t="s">
        <v>493</v>
      </c>
      <c r="B141" s="6" t="s">
        <v>494</v>
      </c>
      <c r="C141" s="6" t="s">
        <v>43</v>
      </c>
      <c r="D141" s="6" t="s">
        <v>495</v>
      </c>
      <c r="E141" s="6" t="s">
        <v>190</v>
      </c>
      <c r="F141" s="6" t="s">
        <v>18</v>
      </c>
      <c r="G141" s="7">
        <v>0.43</v>
      </c>
      <c r="H141" s="6" t="s">
        <v>496</v>
      </c>
      <c r="I141" s="6" t="s">
        <v>20</v>
      </c>
      <c r="J141" s="6">
        <v>2013.0</v>
      </c>
      <c r="L141" s="6">
        <v>1.0</v>
      </c>
      <c r="M141" s="8">
        <f t="shared" si="1"/>
        <v>0.43</v>
      </c>
      <c r="P141" s="9"/>
    </row>
    <row r="142">
      <c r="A142" s="6" t="s">
        <v>497</v>
      </c>
      <c r="B142" s="6" t="s">
        <v>254</v>
      </c>
      <c r="C142" s="6" t="s">
        <v>377</v>
      </c>
      <c r="D142" s="6" t="s">
        <v>498</v>
      </c>
      <c r="E142" s="6" t="s">
        <v>107</v>
      </c>
      <c r="F142" s="6" t="s">
        <v>18</v>
      </c>
      <c r="G142" s="7">
        <v>0.1</v>
      </c>
      <c r="H142" s="6" t="s">
        <v>471</v>
      </c>
      <c r="I142" s="6" t="s">
        <v>20</v>
      </c>
      <c r="J142" s="6">
        <v>2026.0</v>
      </c>
      <c r="L142" s="6">
        <v>1.0</v>
      </c>
      <c r="M142" s="8">
        <f t="shared" si="1"/>
        <v>0.1</v>
      </c>
      <c r="P142" s="9"/>
    </row>
    <row r="143">
      <c r="A143" s="6" t="s">
        <v>499</v>
      </c>
      <c r="B143" s="6" t="s">
        <v>500</v>
      </c>
      <c r="C143" s="6" t="s">
        <v>43</v>
      </c>
      <c r="D143" s="6" t="s">
        <v>501</v>
      </c>
      <c r="E143" s="6" t="s">
        <v>39</v>
      </c>
      <c r="F143" s="6" t="s">
        <v>40</v>
      </c>
      <c r="G143" s="7">
        <v>0.05</v>
      </c>
      <c r="H143" s="6" t="s">
        <v>502</v>
      </c>
      <c r="I143" s="6" t="s">
        <v>20</v>
      </c>
      <c r="J143" s="6">
        <v>2025.0</v>
      </c>
      <c r="K143" s="10">
        <v>46115.0</v>
      </c>
      <c r="L143" s="6">
        <v>2.0</v>
      </c>
      <c r="M143" s="8">
        <f t="shared" si="1"/>
        <v>0.1</v>
      </c>
      <c r="P143" s="9"/>
    </row>
    <row r="144">
      <c r="A144" s="6" t="s">
        <v>503</v>
      </c>
      <c r="B144" s="6" t="s">
        <v>504</v>
      </c>
      <c r="C144" s="6" t="s">
        <v>37</v>
      </c>
      <c r="D144" s="6" t="s">
        <v>505</v>
      </c>
      <c r="E144" s="6" t="s">
        <v>111</v>
      </c>
      <c r="F144" s="6" t="s">
        <v>112</v>
      </c>
      <c r="G144" s="7">
        <v>0.06</v>
      </c>
      <c r="H144" s="6" t="s">
        <v>506</v>
      </c>
      <c r="I144" s="6" t="s">
        <v>20</v>
      </c>
      <c r="J144" s="6">
        <v>2016.0</v>
      </c>
      <c r="K144" s="10">
        <v>46117.0</v>
      </c>
      <c r="L144" s="6">
        <v>4.0</v>
      </c>
      <c r="M144" s="8">
        <f t="shared" si="1"/>
        <v>0.24</v>
      </c>
      <c r="P144" s="9"/>
    </row>
    <row r="145">
      <c r="A145" s="6" t="s">
        <v>507</v>
      </c>
      <c r="B145" s="6" t="s">
        <v>115</v>
      </c>
      <c r="C145" s="6" t="s">
        <v>15</v>
      </c>
      <c r="D145" s="6" t="s">
        <v>508</v>
      </c>
      <c r="E145" s="6" t="s">
        <v>509</v>
      </c>
      <c r="F145" s="6" t="s">
        <v>87</v>
      </c>
      <c r="G145" s="7">
        <v>0.09</v>
      </c>
      <c r="H145" s="6" t="s">
        <v>130</v>
      </c>
      <c r="I145" s="6" t="s">
        <v>20</v>
      </c>
      <c r="J145" s="6">
        <v>2014.0</v>
      </c>
      <c r="L145" s="6">
        <v>1.0</v>
      </c>
      <c r="M145" s="8">
        <f t="shared" si="1"/>
        <v>0.09</v>
      </c>
      <c r="P145" s="9"/>
    </row>
    <row r="146">
      <c r="A146" s="6" t="s">
        <v>510</v>
      </c>
      <c r="B146" s="6" t="s">
        <v>511</v>
      </c>
      <c r="C146" s="6" t="s">
        <v>512</v>
      </c>
      <c r="D146" s="6" t="s">
        <v>513</v>
      </c>
      <c r="E146" s="6" t="s">
        <v>514</v>
      </c>
      <c r="F146" s="6" t="s">
        <v>18</v>
      </c>
      <c r="G146" s="7">
        <v>3.5</v>
      </c>
      <c r="H146" s="6" t="s">
        <v>130</v>
      </c>
      <c r="I146" s="6" t="s">
        <v>45</v>
      </c>
      <c r="J146" s="6">
        <v>2014.0</v>
      </c>
      <c r="K146" s="10">
        <v>46115.0</v>
      </c>
      <c r="L146" s="6">
        <v>1.0</v>
      </c>
      <c r="M146" s="8">
        <f t="shared" si="1"/>
        <v>3.5</v>
      </c>
      <c r="P146" s="9"/>
    </row>
    <row r="147">
      <c r="A147" s="6" t="s">
        <v>515</v>
      </c>
      <c r="B147" s="6" t="s">
        <v>516</v>
      </c>
      <c r="C147" s="6" t="s">
        <v>37</v>
      </c>
      <c r="D147" s="6" t="s">
        <v>517</v>
      </c>
      <c r="E147" s="6" t="s">
        <v>518</v>
      </c>
      <c r="F147" s="6" t="s">
        <v>519</v>
      </c>
      <c r="G147" s="7">
        <v>0.1</v>
      </c>
      <c r="H147" s="6" t="s">
        <v>104</v>
      </c>
      <c r="I147" s="6" t="s">
        <v>20</v>
      </c>
      <c r="J147" s="6">
        <v>2019.0</v>
      </c>
      <c r="K147" s="10">
        <v>46084.0</v>
      </c>
      <c r="L147" s="6">
        <v>1.0</v>
      </c>
      <c r="M147" s="8">
        <f t="shared" si="1"/>
        <v>0.1</v>
      </c>
      <c r="P147" s="9"/>
    </row>
    <row r="148">
      <c r="A148" s="6" t="s">
        <v>520</v>
      </c>
      <c r="B148" s="6" t="s">
        <v>521</v>
      </c>
      <c r="C148" s="6" t="s">
        <v>37</v>
      </c>
      <c r="D148" s="6" t="s">
        <v>522</v>
      </c>
      <c r="E148" s="6" t="s">
        <v>125</v>
      </c>
      <c r="F148" s="6" t="s">
        <v>40</v>
      </c>
      <c r="G148" s="7">
        <v>0.1</v>
      </c>
      <c r="H148" s="6" t="s">
        <v>121</v>
      </c>
      <c r="I148" s="6" t="s">
        <v>20</v>
      </c>
      <c r="J148" s="6">
        <v>2021.0</v>
      </c>
      <c r="K148" s="6" t="s">
        <v>301</v>
      </c>
      <c r="L148" s="6">
        <v>1.0</v>
      </c>
      <c r="M148" s="8">
        <f t="shared" si="1"/>
        <v>0.1</v>
      </c>
      <c r="P148" s="9"/>
    </row>
    <row r="149">
      <c r="A149" s="6" t="s">
        <v>523</v>
      </c>
      <c r="B149" s="6" t="s">
        <v>524</v>
      </c>
      <c r="C149" s="6" t="s">
        <v>37</v>
      </c>
      <c r="D149" s="6" t="s">
        <v>525</v>
      </c>
      <c r="E149" s="6" t="s">
        <v>526</v>
      </c>
      <c r="F149" s="6" t="s">
        <v>26</v>
      </c>
      <c r="G149" s="7">
        <v>0.13</v>
      </c>
      <c r="H149" s="6" t="s">
        <v>221</v>
      </c>
      <c r="I149" s="6" t="s">
        <v>20</v>
      </c>
      <c r="J149" s="6">
        <v>2013.0</v>
      </c>
      <c r="K149" s="6" t="s">
        <v>527</v>
      </c>
      <c r="L149" s="6">
        <v>1.0</v>
      </c>
      <c r="M149" s="8">
        <f t="shared" si="1"/>
        <v>0.13</v>
      </c>
      <c r="P149" s="9"/>
    </row>
    <row r="150">
      <c r="A150" s="6" t="s">
        <v>528</v>
      </c>
      <c r="B150" s="6" t="s">
        <v>529</v>
      </c>
      <c r="C150" s="6" t="s">
        <v>30</v>
      </c>
      <c r="D150" s="6" t="s">
        <v>530</v>
      </c>
      <c r="E150" s="6" t="s">
        <v>82</v>
      </c>
      <c r="F150" s="6" t="s">
        <v>77</v>
      </c>
      <c r="G150" s="7">
        <v>3.25</v>
      </c>
      <c r="H150" s="6" t="s">
        <v>531</v>
      </c>
      <c r="I150" s="6" t="s">
        <v>20</v>
      </c>
      <c r="J150" s="6">
        <v>2017.0</v>
      </c>
      <c r="K150" s="10">
        <v>46117.0</v>
      </c>
      <c r="L150" s="6">
        <v>2.0</v>
      </c>
      <c r="M150" s="8">
        <f t="shared" si="1"/>
        <v>6.5</v>
      </c>
      <c r="N150" s="6" t="s">
        <v>122</v>
      </c>
      <c r="P150" s="9"/>
    </row>
    <row r="151">
      <c r="A151" s="6" t="s">
        <v>532</v>
      </c>
      <c r="B151" s="6" t="s">
        <v>533</v>
      </c>
      <c r="C151" s="6" t="s">
        <v>43</v>
      </c>
      <c r="D151" s="6" t="s">
        <v>534</v>
      </c>
      <c r="E151" s="6" t="s">
        <v>535</v>
      </c>
      <c r="F151" s="6" t="s">
        <v>536</v>
      </c>
      <c r="G151" s="7">
        <v>0.45</v>
      </c>
      <c r="H151" s="6" t="s">
        <v>537</v>
      </c>
      <c r="I151" s="6" t="s">
        <v>20</v>
      </c>
      <c r="J151" s="6">
        <v>2009.0</v>
      </c>
      <c r="K151" s="10">
        <v>46084.0</v>
      </c>
      <c r="L151" s="6">
        <v>1.0</v>
      </c>
      <c r="M151" s="8">
        <f t="shared" si="1"/>
        <v>0.45</v>
      </c>
      <c r="P151" s="9"/>
    </row>
    <row r="152">
      <c r="A152" s="6" t="s">
        <v>538</v>
      </c>
      <c r="B152" s="6" t="s">
        <v>412</v>
      </c>
      <c r="C152" s="6" t="s">
        <v>37</v>
      </c>
      <c r="D152" s="6" t="s">
        <v>539</v>
      </c>
      <c r="E152" s="6" t="s">
        <v>540</v>
      </c>
      <c r="F152" s="6" t="s">
        <v>40</v>
      </c>
      <c r="G152" s="7">
        <v>0.08</v>
      </c>
      <c r="H152" s="6" t="s">
        <v>431</v>
      </c>
      <c r="I152" s="6" t="s">
        <v>20</v>
      </c>
      <c r="J152" s="6">
        <v>2019.0</v>
      </c>
      <c r="K152" s="10">
        <v>46115.0</v>
      </c>
      <c r="L152" s="6">
        <v>1.0</v>
      </c>
      <c r="M152" s="8">
        <f t="shared" si="1"/>
        <v>0.08</v>
      </c>
      <c r="P152" s="9"/>
    </row>
    <row r="153">
      <c r="A153" s="6" t="s">
        <v>541</v>
      </c>
      <c r="B153" s="6" t="s">
        <v>542</v>
      </c>
      <c r="C153" s="6" t="s">
        <v>43</v>
      </c>
      <c r="D153" s="6" t="s">
        <v>543</v>
      </c>
      <c r="E153" s="6" t="s">
        <v>135</v>
      </c>
      <c r="F153" s="6" t="s">
        <v>40</v>
      </c>
      <c r="G153" s="7">
        <v>0.09</v>
      </c>
      <c r="H153" s="6" t="s">
        <v>421</v>
      </c>
      <c r="I153" s="6" t="s">
        <v>20</v>
      </c>
      <c r="J153" s="6">
        <v>2000.0</v>
      </c>
      <c r="K153" s="10">
        <v>46054.0</v>
      </c>
      <c r="L153" s="6">
        <v>1.0</v>
      </c>
      <c r="M153" s="8">
        <f t="shared" si="1"/>
        <v>0.09</v>
      </c>
      <c r="P153" s="9"/>
    </row>
    <row r="154">
      <c r="A154" s="6" t="s">
        <v>544</v>
      </c>
      <c r="B154" s="6" t="s">
        <v>545</v>
      </c>
      <c r="C154" s="6" t="s">
        <v>43</v>
      </c>
      <c r="D154" s="6" t="s">
        <v>546</v>
      </c>
      <c r="E154" s="6" t="s">
        <v>135</v>
      </c>
      <c r="F154" s="6" t="s">
        <v>40</v>
      </c>
      <c r="G154" s="7">
        <v>4.49</v>
      </c>
      <c r="H154" s="6" t="s">
        <v>421</v>
      </c>
      <c r="I154" s="6" t="s">
        <v>45</v>
      </c>
      <c r="J154" s="6">
        <v>2000.0</v>
      </c>
      <c r="K154" s="10">
        <v>46054.0</v>
      </c>
      <c r="L154" s="6">
        <v>1.0</v>
      </c>
      <c r="M154" s="8">
        <f t="shared" si="1"/>
        <v>4.49</v>
      </c>
      <c r="N154" s="6" t="s">
        <v>122</v>
      </c>
      <c r="P154" s="9"/>
    </row>
    <row r="155">
      <c r="A155" s="6" t="s">
        <v>547</v>
      </c>
      <c r="B155" s="6" t="s">
        <v>548</v>
      </c>
      <c r="C155" s="6" t="s">
        <v>156</v>
      </c>
      <c r="D155" s="6" t="s">
        <v>549</v>
      </c>
      <c r="E155" s="6" t="s">
        <v>550</v>
      </c>
      <c r="F155" s="6" t="s">
        <v>77</v>
      </c>
      <c r="G155" s="7">
        <v>4.79</v>
      </c>
      <c r="H155" s="6" t="s">
        <v>153</v>
      </c>
      <c r="I155" s="6" t="s">
        <v>20</v>
      </c>
      <c r="J155" s="6">
        <v>2025.0</v>
      </c>
      <c r="K155" s="10">
        <v>46116.0</v>
      </c>
      <c r="L155" s="6">
        <v>1.0</v>
      </c>
      <c r="M155" s="8">
        <f t="shared" si="1"/>
        <v>4.79</v>
      </c>
      <c r="P155" s="9"/>
    </row>
    <row r="156">
      <c r="A156" s="6" t="s">
        <v>551</v>
      </c>
      <c r="B156" s="6" t="s">
        <v>552</v>
      </c>
      <c r="C156" s="6" t="s">
        <v>183</v>
      </c>
      <c r="D156" s="6" t="s">
        <v>553</v>
      </c>
      <c r="E156" s="6" t="s">
        <v>554</v>
      </c>
      <c r="F156" s="6" t="s">
        <v>40</v>
      </c>
      <c r="G156" s="7">
        <v>0.05</v>
      </c>
      <c r="H156" s="6" t="s">
        <v>324</v>
      </c>
      <c r="I156" s="6" t="s">
        <v>20</v>
      </c>
      <c r="J156" s="6">
        <v>1995.0</v>
      </c>
      <c r="L156" s="6">
        <v>2.0</v>
      </c>
      <c r="M156" s="8">
        <f t="shared" si="1"/>
        <v>0.1</v>
      </c>
      <c r="P156" s="9"/>
    </row>
    <row r="157">
      <c r="A157" s="6" t="s">
        <v>551</v>
      </c>
      <c r="B157" s="6" t="s">
        <v>552</v>
      </c>
      <c r="C157" s="6" t="s">
        <v>183</v>
      </c>
      <c r="D157" s="6" t="s">
        <v>553</v>
      </c>
      <c r="E157" s="6" t="s">
        <v>554</v>
      </c>
      <c r="F157" s="6" t="s">
        <v>40</v>
      </c>
      <c r="G157" s="7">
        <v>0.19</v>
      </c>
      <c r="H157" s="6" t="s">
        <v>316</v>
      </c>
      <c r="I157" s="6" t="s">
        <v>20</v>
      </c>
      <c r="J157" s="6">
        <v>1995.0</v>
      </c>
      <c r="L157" s="6">
        <v>4.0</v>
      </c>
      <c r="M157" s="8">
        <f t="shared" si="1"/>
        <v>0.76</v>
      </c>
      <c r="P157" s="9"/>
    </row>
    <row r="158">
      <c r="A158" s="6" t="s">
        <v>555</v>
      </c>
      <c r="B158" s="6" t="s">
        <v>556</v>
      </c>
      <c r="C158" s="6" t="s">
        <v>43</v>
      </c>
      <c r="D158" s="6" t="s">
        <v>557</v>
      </c>
      <c r="E158" s="6" t="s">
        <v>389</v>
      </c>
      <c r="F158" s="6" t="s">
        <v>87</v>
      </c>
      <c r="G158" s="7">
        <v>0.03</v>
      </c>
      <c r="H158" s="6" t="s">
        <v>382</v>
      </c>
      <c r="I158" s="6" t="s">
        <v>20</v>
      </c>
      <c r="J158" s="6">
        <v>2020.0</v>
      </c>
      <c r="K158" s="10">
        <v>46084.0</v>
      </c>
      <c r="L158" s="6">
        <v>1.0</v>
      </c>
      <c r="M158" s="8">
        <f t="shared" si="1"/>
        <v>0.03</v>
      </c>
      <c r="P158" s="9"/>
    </row>
    <row r="159">
      <c r="A159" s="6" t="s">
        <v>558</v>
      </c>
      <c r="B159" s="6" t="s">
        <v>552</v>
      </c>
      <c r="C159" s="6" t="s">
        <v>183</v>
      </c>
      <c r="D159" s="6" t="s">
        <v>559</v>
      </c>
      <c r="E159" s="6" t="s">
        <v>57</v>
      </c>
      <c r="F159" s="6" t="s">
        <v>40</v>
      </c>
      <c r="G159" s="7">
        <v>0.01</v>
      </c>
      <c r="H159" s="6" t="s">
        <v>187</v>
      </c>
      <c r="I159" s="6" t="s">
        <v>20</v>
      </c>
      <c r="J159" s="6">
        <v>1995.0</v>
      </c>
      <c r="L159" s="6">
        <v>2.0</v>
      </c>
      <c r="M159" s="8">
        <f t="shared" si="1"/>
        <v>0.02</v>
      </c>
      <c r="P159" s="9"/>
    </row>
    <row r="160">
      <c r="A160" s="6" t="s">
        <v>560</v>
      </c>
      <c r="B160" s="6" t="s">
        <v>203</v>
      </c>
      <c r="C160" s="6" t="s">
        <v>204</v>
      </c>
      <c r="D160" s="6" t="s">
        <v>561</v>
      </c>
      <c r="E160" s="6" t="s">
        <v>25</v>
      </c>
      <c r="F160" s="6" t="s">
        <v>26</v>
      </c>
      <c r="G160" s="7">
        <v>0.05</v>
      </c>
      <c r="H160" s="6" t="s">
        <v>324</v>
      </c>
      <c r="I160" s="6" t="s">
        <v>20</v>
      </c>
      <c r="J160" s="6">
        <v>1995.0</v>
      </c>
      <c r="K160" s="10">
        <v>46023.0</v>
      </c>
      <c r="L160" s="6">
        <v>5.0</v>
      </c>
      <c r="M160" s="8">
        <f t="shared" si="1"/>
        <v>0.25</v>
      </c>
      <c r="P160" s="9"/>
    </row>
    <row r="161">
      <c r="A161" s="6" t="s">
        <v>560</v>
      </c>
      <c r="B161" s="6" t="s">
        <v>203</v>
      </c>
      <c r="C161" s="6" t="s">
        <v>204</v>
      </c>
      <c r="D161" s="6" t="s">
        <v>561</v>
      </c>
      <c r="E161" s="6" t="s">
        <v>25</v>
      </c>
      <c r="F161" s="6" t="s">
        <v>26</v>
      </c>
      <c r="G161" s="7">
        <v>0.08</v>
      </c>
      <c r="H161" s="6" t="s">
        <v>316</v>
      </c>
      <c r="I161" s="6" t="s">
        <v>20</v>
      </c>
      <c r="J161" s="6">
        <v>1995.0</v>
      </c>
      <c r="K161" s="10">
        <v>46023.0</v>
      </c>
      <c r="L161" s="6">
        <v>6.0</v>
      </c>
      <c r="M161" s="8">
        <f t="shared" si="1"/>
        <v>0.48</v>
      </c>
      <c r="P161" s="9"/>
    </row>
    <row r="162">
      <c r="A162" s="6" t="s">
        <v>562</v>
      </c>
      <c r="B162" s="6" t="s">
        <v>563</v>
      </c>
      <c r="C162" s="6" t="s">
        <v>23</v>
      </c>
      <c r="D162" s="6" t="s">
        <v>564</v>
      </c>
      <c r="E162" s="6" t="s">
        <v>125</v>
      </c>
      <c r="F162" s="6" t="s">
        <v>40</v>
      </c>
      <c r="G162" s="7">
        <v>0.17</v>
      </c>
      <c r="H162" s="6" t="s">
        <v>313</v>
      </c>
      <c r="I162" s="6" t="s">
        <v>20</v>
      </c>
      <c r="J162" s="6">
        <v>1995.0</v>
      </c>
      <c r="L162" s="6">
        <v>2.0</v>
      </c>
      <c r="M162" s="8">
        <f t="shared" si="1"/>
        <v>0.34</v>
      </c>
      <c r="P162" s="9"/>
    </row>
    <row r="163">
      <c r="A163" s="6" t="s">
        <v>565</v>
      </c>
      <c r="B163" s="6" t="s">
        <v>182</v>
      </c>
      <c r="C163" s="6" t="s">
        <v>61</v>
      </c>
      <c r="D163" s="6" t="s">
        <v>566</v>
      </c>
      <c r="E163" s="6" t="s">
        <v>526</v>
      </c>
      <c r="F163" s="6" t="s">
        <v>26</v>
      </c>
      <c r="G163" s="7">
        <v>0.43</v>
      </c>
      <c r="H163" s="6" t="s">
        <v>324</v>
      </c>
      <c r="I163" s="6" t="s">
        <v>20</v>
      </c>
      <c r="J163" s="6">
        <v>1995.0</v>
      </c>
      <c r="L163" s="6">
        <v>1.0</v>
      </c>
      <c r="M163" s="8">
        <f t="shared" si="1"/>
        <v>0.43</v>
      </c>
      <c r="P163" s="9"/>
    </row>
    <row r="164">
      <c r="A164" s="6" t="s">
        <v>567</v>
      </c>
      <c r="B164" s="6" t="s">
        <v>568</v>
      </c>
      <c r="C164" s="6" t="s">
        <v>30</v>
      </c>
      <c r="D164" s="6" t="s">
        <v>569</v>
      </c>
      <c r="E164" s="6" t="s">
        <v>570</v>
      </c>
      <c r="F164" s="6" t="s">
        <v>77</v>
      </c>
      <c r="G164" s="7">
        <v>0.95</v>
      </c>
      <c r="H164" s="6" t="s">
        <v>136</v>
      </c>
      <c r="I164" s="6" t="s">
        <v>20</v>
      </c>
      <c r="J164" s="6">
        <v>2026.0</v>
      </c>
      <c r="K164" s="10">
        <v>46182.0</v>
      </c>
      <c r="L164" s="6">
        <v>1.0</v>
      </c>
      <c r="M164" s="8">
        <f t="shared" si="1"/>
        <v>0.95</v>
      </c>
      <c r="P164" s="9"/>
    </row>
    <row r="165">
      <c r="A165" s="6" t="s">
        <v>571</v>
      </c>
      <c r="B165" s="6" t="s">
        <v>494</v>
      </c>
      <c r="C165" s="6" t="s">
        <v>43</v>
      </c>
      <c r="D165" s="6" t="s">
        <v>572</v>
      </c>
      <c r="E165" s="6" t="s">
        <v>57</v>
      </c>
      <c r="F165" s="6" t="s">
        <v>40</v>
      </c>
      <c r="G165" s="7">
        <v>0.06</v>
      </c>
      <c r="H165" s="6" t="s">
        <v>249</v>
      </c>
      <c r="I165" s="6" t="s">
        <v>20</v>
      </c>
      <c r="J165" s="6">
        <v>2014.0</v>
      </c>
      <c r="L165" s="6">
        <v>2.0</v>
      </c>
      <c r="M165" s="8">
        <f t="shared" si="1"/>
        <v>0.12</v>
      </c>
      <c r="P165" s="9"/>
    </row>
    <row r="166">
      <c r="A166" s="6" t="s">
        <v>573</v>
      </c>
      <c r="B166" s="6" t="s">
        <v>574</v>
      </c>
      <c r="C166" s="6" t="s">
        <v>43</v>
      </c>
      <c r="D166" s="6" t="s">
        <v>575</v>
      </c>
      <c r="E166" s="6" t="s">
        <v>420</v>
      </c>
      <c r="F166" s="6" t="s">
        <v>40</v>
      </c>
      <c r="G166" s="7">
        <v>0.05</v>
      </c>
      <c r="H166" s="6" t="s">
        <v>88</v>
      </c>
      <c r="I166" s="6" t="s">
        <v>20</v>
      </c>
      <c r="J166" s="6">
        <v>2024.0</v>
      </c>
      <c r="K166" s="10">
        <v>46116.0</v>
      </c>
      <c r="L166" s="6">
        <v>1.0</v>
      </c>
      <c r="M166" s="8">
        <f t="shared" si="1"/>
        <v>0.05</v>
      </c>
      <c r="P166" s="9"/>
    </row>
    <row r="167">
      <c r="A167" s="6" t="s">
        <v>576</v>
      </c>
      <c r="B167" s="6" t="s">
        <v>577</v>
      </c>
      <c r="C167" s="6" t="s">
        <v>37</v>
      </c>
      <c r="D167" s="6" t="s">
        <v>578</v>
      </c>
      <c r="E167" s="6" t="s">
        <v>579</v>
      </c>
      <c r="F167" s="6" t="s">
        <v>112</v>
      </c>
      <c r="G167" s="7">
        <v>0.25</v>
      </c>
      <c r="H167" s="6" t="s">
        <v>113</v>
      </c>
      <c r="I167" s="6" t="s">
        <v>20</v>
      </c>
      <c r="J167" s="6">
        <v>2023.0</v>
      </c>
      <c r="K167" s="10">
        <v>46084.0</v>
      </c>
      <c r="L167" s="6">
        <v>1.0</v>
      </c>
      <c r="M167" s="8">
        <f t="shared" si="1"/>
        <v>0.25</v>
      </c>
      <c r="P167" s="9"/>
    </row>
    <row r="168">
      <c r="A168" s="6" t="s">
        <v>580</v>
      </c>
      <c r="B168" s="6" t="s">
        <v>361</v>
      </c>
      <c r="C168" s="6" t="s">
        <v>43</v>
      </c>
      <c r="D168" s="6" t="s">
        <v>581</v>
      </c>
      <c r="E168" s="6" t="s">
        <v>329</v>
      </c>
      <c r="F168" s="6" t="s">
        <v>112</v>
      </c>
      <c r="G168" s="7">
        <v>0.09</v>
      </c>
      <c r="H168" s="6" t="s">
        <v>582</v>
      </c>
      <c r="I168" s="6" t="s">
        <v>20</v>
      </c>
      <c r="J168" s="6">
        <v>2023.0</v>
      </c>
      <c r="K168" s="10">
        <v>46084.0</v>
      </c>
      <c r="L168" s="6">
        <v>1.0</v>
      </c>
      <c r="M168" s="8">
        <f t="shared" si="1"/>
        <v>0.09</v>
      </c>
      <c r="P168" s="9"/>
    </row>
    <row r="169">
      <c r="A169" s="6" t="s">
        <v>583</v>
      </c>
      <c r="B169" s="6" t="s">
        <v>584</v>
      </c>
      <c r="C169" s="6" t="s">
        <v>43</v>
      </c>
      <c r="D169" s="6" t="s">
        <v>585</v>
      </c>
      <c r="E169" s="6" t="s">
        <v>39</v>
      </c>
      <c r="F169" s="6" t="s">
        <v>40</v>
      </c>
      <c r="G169" s="7">
        <v>0.05</v>
      </c>
      <c r="H169" s="6" t="s">
        <v>586</v>
      </c>
      <c r="I169" s="6" t="s">
        <v>20</v>
      </c>
      <c r="J169" s="6">
        <v>2012.0</v>
      </c>
      <c r="K169" s="10">
        <v>46144.0</v>
      </c>
      <c r="L169" s="6">
        <v>1.0</v>
      </c>
      <c r="M169" s="8">
        <f t="shared" si="1"/>
        <v>0.05</v>
      </c>
      <c r="P169" s="9"/>
    </row>
    <row r="170">
      <c r="A170" s="6" t="s">
        <v>587</v>
      </c>
      <c r="B170" s="6" t="s">
        <v>588</v>
      </c>
      <c r="C170" s="6" t="s">
        <v>418</v>
      </c>
      <c r="D170" s="6" t="s">
        <v>589</v>
      </c>
      <c r="E170" s="6" t="s">
        <v>176</v>
      </c>
      <c r="F170" s="6" t="s">
        <v>77</v>
      </c>
      <c r="G170" s="7">
        <v>0.3</v>
      </c>
      <c r="H170" s="6" t="s">
        <v>590</v>
      </c>
      <c r="I170" s="6" t="s">
        <v>20</v>
      </c>
      <c r="J170" s="6">
        <v>2026.0</v>
      </c>
      <c r="K170" s="10">
        <v>46055.0</v>
      </c>
      <c r="L170" s="6">
        <v>1.0</v>
      </c>
      <c r="M170" s="8">
        <f t="shared" si="1"/>
        <v>0.3</v>
      </c>
      <c r="P170" s="9"/>
    </row>
    <row r="171">
      <c r="A171" s="6" t="s">
        <v>591</v>
      </c>
      <c r="B171" s="6" t="s">
        <v>592</v>
      </c>
      <c r="C171" s="6" t="s">
        <v>37</v>
      </c>
      <c r="D171" s="6" t="s">
        <v>593</v>
      </c>
      <c r="E171" s="6" t="s">
        <v>594</v>
      </c>
      <c r="F171" s="6" t="s">
        <v>71</v>
      </c>
      <c r="G171" s="7">
        <v>0.1</v>
      </c>
      <c r="H171" s="6" t="s">
        <v>99</v>
      </c>
      <c r="I171" s="6" t="s">
        <v>20</v>
      </c>
      <c r="J171" s="6">
        <v>2022.0</v>
      </c>
      <c r="K171" s="10">
        <v>46084.0</v>
      </c>
      <c r="L171" s="6">
        <v>1.0</v>
      </c>
      <c r="M171" s="8">
        <f t="shared" si="1"/>
        <v>0.1</v>
      </c>
      <c r="P171" s="9"/>
    </row>
    <row r="172">
      <c r="A172" s="6" t="s">
        <v>595</v>
      </c>
      <c r="B172" s="6" t="s">
        <v>74</v>
      </c>
      <c r="C172" s="6" t="s">
        <v>43</v>
      </c>
      <c r="D172" s="6" t="s">
        <v>596</v>
      </c>
      <c r="E172" s="6" t="s">
        <v>125</v>
      </c>
      <c r="F172" s="6" t="s">
        <v>40</v>
      </c>
      <c r="G172" s="7">
        <v>0.09</v>
      </c>
      <c r="H172" s="6" t="s">
        <v>597</v>
      </c>
      <c r="I172" s="6" t="s">
        <v>20</v>
      </c>
      <c r="J172" s="6">
        <v>2024.0</v>
      </c>
      <c r="L172" s="6">
        <v>1.0</v>
      </c>
      <c r="M172" s="8">
        <f t="shared" si="1"/>
        <v>0.09</v>
      </c>
      <c r="P172" s="9"/>
    </row>
    <row r="173">
      <c r="A173" s="6" t="s">
        <v>598</v>
      </c>
      <c r="B173" s="6" t="s">
        <v>599</v>
      </c>
      <c r="C173" s="6" t="s">
        <v>15</v>
      </c>
      <c r="D173" s="6" t="s">
        <v>600</v>
      </c>
      <c r="E173" s="6" t="s">
        <v>601</v>
      </c>
      <c r="F173" s="6" t="s">
        <v>40</v>
      </c>
      <c r="G173" s="7">
        <v>0.08</v>
      </c>
      <c r="H173" s="6" t="s">
        <v>130</v>
      </c>
      <c r="I173" s="6" t="s">
        <v>20</v>
      </c>
      <c r="J173" s="6">
        <v>2014.0</v>
      </c>
      <c r="L173" s="6">
        <v>1.0</v>
      </c>
      <c r="M173" s="8">
        <f t="shared" si="1"/>
        <v>0.08</v>
      </c>
      <c r="P173" s="9"/>
    </row>
    <row r="174">
      <c r="A174" s="6" t="s">
        <v>602</v>
      </c>
      <c r="B174" s="6" t="s">
        <v>603</v>
      </c>
      <c r="C174" s="6" t="s">
        <v>43</v>
      </c>
      <c r="D174" s="6" t="s">
        <v>604</v>
      </c>
      <c r="E174" s="6" t="s">
        <v>190</v>
      </c>
      <c r="F174" s="6" t="s">
        <v>18</v>
      </c>
      <c r="G174" s="7">
        <v>0.03</v>
      </c>
      <c r="H174" s="6" t="s">
        <v>144</v>
      </c>
      <c r="I174" s="6" t="s">
        <v>20</v>
      </c>
      <c r="J174" s="6">
        <v>2018.0</v>
      </c>
      <c r="K174" s="10">
        <v>46023.0</v>
      </c>
      <c r="L174" s="6">
        <v>1.0</v>
      </c>
      <c r="M174" s="8">
        <f t="shared" si="1"/>
        <v>0.03</v>
      </c>
      <c r="P174" s="9"/>
    </row>
    <row r="175">
      <c r="A175" s="6" t="s">
        <v>605</v>
      </c>
      <c r="B175" s="6" t="s">
        <v>606</v>
      </c>
      <c r="C175" s="6" t="s">
        <v>15</v>
      </c>
      <c r="D175" s="6" t="s">
        <v>607</v>
      </c>
      <c r="E175" s="6" t="s">
        <v>608</v>
      </c>
      <c r="F175" s="6" t="s">
        <v>18</v>
      </c>
      <c r="G175" s="7">
        <v>0.31</v>
      </c>
      <c r="H175" s="6" t="s">
        <v>19</v>
      </c>
      <c r="I175" s="6" t="s">
        <v>20</v>
      </c>
      <c r="J175" s="6">
        <v>2023.0</v>
      </c>
      <c r="L175" s="6">
        <v>2.0</v>
      </c>
      <c r="M175" s="8">
        <f t="shared" si="1"/>
        <v>0.62</v>
      </c>
      <c r="P175" s="9"/>
    </row>
    <row r="176">
      <c r="A176" s="6" t="s">
        <v>609</v>
      </c>
      <c r="B176" s="6" t="s">
        <v>610</v>
      </c>
      <c r="C176" s="6" t="s">
        <v>37</v>
      </c>
      <c r="D176" s="6" t="s">
        <v>611</v>
      </c>
      <c r="E176" s="6" t="s">
        <v>612</v>
      </c>
      <c r="F176" s="6" t="s">
        <v>71</v>
      </c>
      <c r="G176" s="7">
        <v>0.39</v>
      </c>
      <c r="H176" s="6" t="s">
        <v>113</v>
      </c>
      <c r="I176" s="6" t="s">
        <v>45</v>
      </c>
      <c r="J176" s="6">
        <v>2023.0</v>
      </c>
      <c r="K176" s="10">
        <v>46116.0</v>
      </c>
      <c r="L176" s="6">
        <v>1.0</v>
      </c>
      <c r="M176" s="8">
        <f t="shared" si="1"/>
        <v>0.39</v>
      </c>
      <c r="P176" s="9"/>
    </row>
    <row r="177">
      <c r="A177" s="6" t="s">
        <v>613</v>
      </c>
      <c r="B177" s="6" t="s">
        <v>614</v>
      </c>
      <c r="C177" s="6" t="s">
        <v>23</v>
      </c>
      <c r="D177" s="6" t="s">
        <v>615</v>
      </c>
      <c r="E177" s="6" t="s">
        <v>616</v>
      </c>
      <c r="F177" s="6" t="s">
        <v>40</v>
      </c>
      <c r="G177" s="7">
        <v>0.05</v>
      </c>
      <c r="H177" s="6" t="s">
        <v>617</v>
      </c>
      <c r="I177" s="6" t="s">
        <v>20</v>
      </c>
      <c r="J177" s="6">
        <v>2026.0</v>
      </c>
      <c r="K177" s="10">
        <v>46115.0</v>
      </c>
      <c r="L177" s="6">
        <v>1.0</v>
      </c>
      <c r="M177" s="8">
        <f t="shared" si="1"/>
        <v>0.05</v>
      </c>
      <c r="P177" s="9"/>
    </row>
    <row r="178">
      <c r="A178" s="6" t="s">
        <v>618</v>
      </c>
      <c r="B178" s="6" t="s">
        <v>619</v>
      </c>
      <c r="C178" s="6" t="s">
        <v>30</v>
      </c>
      <c r="D178" s="6" t="s">
        <v>620</v>
      </c>
      <c r="E178" s="6" t="s">
        <v>179</v>
      </c>
      <c r="F178" s="6" t="s">
        <v>112</v>
      </c>
      <c r="G178" s="7">
        <v>0.43</v>
      </c>
      <c r="H178" s="7" t="s">
        <v>89</v>
      </c>
      <c r="I178" s="6" t="s">
        <v>20</v>
      </c>
      <c r="J178" s="6">
        <v>2021.0</v>
      </c>
      <c r="K178" s="10">
        <v>46024.0</v>
      </c>
      <c r="L178" s="6">
        <v>1.0</v>
      </c>
      <c r="M178" s="8">
        <f t="shared" si="1"/>
        <v>0.43</v>
      </c>
      <c r="P178" s="9"/>
    </row>
    <row r="179">
      <c r="A179" s="6" t="s">
        <v>621</v>
      </c>
      <c r="B179" s="6" t="s">
        <v>622</v>
      </c>
      <c r="C179" s="6" t="s">
        <v>15</v>
      </c>
      <c r="D179" s="6" t="s">
        <v>623</v>
      </c>
      <c r="E179" s="6" t="s">
        <v>252</v>
      </c>
      <c r="F179" s="6" t="s">
        <v>40</v>
      </c>
      <c r="G179" s="7">
        <v>0.24</v>
      </c>
      <c r="H179" s="6" t="s">
        <v>153</v>
      </c>
      <c r="I179" s="6" t="s">
        <v>20</v>
      </c>
      <c r="J179" s="6">
        <v>2025.0</v>
      </c>
      <c r="K179" s="10">
        <v>46056.0</v>
      </c>
      <c r="L179" s="6">
        <v>2.0</v>
      </c>
      <c r="M179" s="8">
        <f t="shared" si="1"/>
        <v>0.48</v>
      </c>
      <c r="P179" s="9"/>
    </row>
    <row r="180">
      <c r="A180" s="6" t="s">
        <v>624</v>
      </c>
      <c r="B180" s="6" t="s">
        <v>625</v>
      </c>
      <c r="C180" s="6" t="s">
        <v>37</v>
      </c>
      <c r="D180" s="6" t="s">
        <v>626</v>
      </c>
      <c r="E180" s="6" t="s">
        <v>248</v>
      </c>
      <c r="F180" s="6" t="s">
        <v>77</v>
      </c>
      <c r="G180" s="7">
        <v>0.8</v>
      </c>
      <c r="H180" s="6" t="s">
        <v>187</v>
      </c>
      <c r="I180" s="6" t="s">
        <v>20</v>
      </c>
      <c r="J180" s="6">
        <v>1995.0</v>
      </c>
      <c r="K180" s="10">
        <v>46025.0</v>
      </c>
      <c r="L180" s="6">
        <v>1.0</v>
      </c>
      <c r="M180" s="8">
        <f t="shared" si="1"/>
        <v>0.8</v>
      </c>
      <c r="P180" s="9"/>
    </row>
    <row r="181">
      <c r="A181" s="6" t="s">
        <v>627</v>
      </c>
      <c r="B181" s="6" t="s">
        <v>192</v>
      </c>
      <c r="C181" s="6" t="s">
        <v>37</v>
      </c>
      <c r="D181" s="6" t="s">
        <v>628</v>
      </c>
      <c r="E181" s="6" t="s">
        <v>25</v>
      </c>
      <c r="F181" s="6" t="s">
        <v>26</v>
      </c>
      <c r="G181" s="7">
        <v>0.1</v>
      </c>
      <c r="H181" s="6" t="s">
        <v>324</v>
      </c>
      <c r="I181" s="6" t="s">
        <v>20</v>
      </c>
      <c r="J181" s="6">
        <v>1995.0</v>
      </c>
      <c r="L181" s="6">
        <v>1.0</v>
      </c>
      <c r="M181" s="8">
        <f t="shared" si="1"/>
        <v>0.1</v>
      </c>
      <c r="P181" s="9"/>
    </row>
    <row r="182">
      <c r="A182" s="6" t="s">
        <v>627</v>
      </c>
      <c r="B182" s="6" t="s">
        <v>192</v>
      </c>
      <c r="C182" s="6" t="s">
        <v>37</v>
      </c>
      <c r="D182" s="6" t="s">
        <v>628</v>
      </c>
      <c r="E182" s="6" t="s">
        <v>25</v>
      </c>
      <c r="F182" s="6" t="s">
        <v>26</v>
      </c>
      <c r="G182" s="7">
        <v>0.64</v>
      </c>
      <c r="H182" s="6" t="s">
        <v>316</v>
      </c>
      <c r="I182" s="6" t="s">
        <v>20</v>
      </c>
      <c r="J182" s="6">
        <v>1995.0</v>
      </c>
      <c r="L182" s="6">
        <v>1.0</v>
      </c>
      <c r="M182" s="8">
        <f t="shared" si="1"/>
        <v>0.64</v>
      </c>
      <c r="P182" s="9"/>
    </row>
    <row r="183">
      <c r="A183" s="6" t="s">
        <v>629</v>
      </c>
      <c r="B183" s="6" t="s">
        <v>219</v>
      </c>
      <c r="C183" s="6" t="s">
        <v>37</v>
      </c>
      <c r="D183" s="6" t="s">
        <v>630</v>
      </c>
      <c r="E183" s="6" t="s">
        <v>215</v>
      </c>
      <c r="F183" s="6" t="s">
        <v>26</v>
      </c>
      <c r="G183" s="7">
        <v>0.28</v>
      </c>
      <c r="H183" s="6" t="s">
        <v>631</v>
      </c>
      <c r="I183" s="6" t="s">
        <v>20</v>
      </c>
      <c r="J183" s="6">
        <v>1995.0</v>
      </c>
      <c r="L183" s="6">
        <v>2.0</v>
      </c>
      <c r="M183" s="8">
        <f t="shared" si="1"/>
        <v>0.56</v>
      </c>
      <c r="P183" s="9"/>
    </row>
    <row r="184">
      <c r="A184" s="6" t="s">
        <v>632</v>
      </c>
      <c r="B184" s="6" t="s">
        <v>633</v>
      </c>
      <c r="C184" s="6" t="s">
        <v>30</v>
      </c>
      <c r="D184" s="6" t="s">
        <v>634</v>
      </c>
      <c r="E184" s="6" t="s">
        <v>635</v>
      </c>
      <c r="F184" s="6" t="s">
        <v>636</v>
      </c>
      <c r="G184" s="7">
        <v>0.33</v>
      </c>
      <c r="H184" s="6" t="s">
        <v>88</v>
      </c>
      <c r="I184" s="6" t="s">
        <v>20</v>
      </c>
      <c r="J184" s="6">
        <v>2024.0</v>
      </c>
      <c r="K184" s="10">
        <v>46116.0</v>
      </c>
      <c r="L184" s="6">
        <v>1.0</v>
      </c>
      <c r="M184" s="8">
        <f t="shared" si="1"/>
        <v>0.33</v>
      </c>
      <c r="P184" s="9"/>
    </row>
    <row r="185">
      <c r="A185" s="6" t="s">
        <v>632</v>
      </c>
      <c r="B185" s="6" t="s">
        <v>633</v>
      </c>
      <c r="C185" s="6" t="s">
        <v>30</v>
      </c>
      <c r="D185" s="6" t="s">
        <v>634</v>
      </c>
      <c r="E185" s="6" t="s">
        <v>635</v>
      </c>
      <c r="F185" s="6" t="s">
        <v>636</v>
      </c>
      <c r="G185" s="7">
        <v>0.33</v>
      </c>
      <c r="H185" s="6" t="s">
        <v>88</v>
      </c>
      <c r="I185" s="6" t="s">
        <v>20</v>
      </c>
      <c r="J185" s="6">
        <v>2024.0</v>
      </c>
      <c r="K185" s="10">
        <v>46116.0</v>
      </c>
      <c r="L185" s="6">
        <v>1.0</v>
      </c>
      <c r="M185" s="8">
        <f t="shared" si="1"/>
        <v>0.33</v>
      </c>
      <c r="P185" s="9"/>
    </row>
    <row r="186">
      <c r="A186" s="6" t="s">
        <v>637</v>
      </c>
      <c r="B186" s="6" t="s">
        <v>494</v>
      </c>
      <c r="C186" s="6" t="s">
        <v>43</v>
      </c>
      <c r="D186" s="6" t="s">
        <v>638</v>
      </c>
      <c r="E186" s="6" t="s">
        <v>176</v>
      </c>
      <c r="F186" s="6" t="s">
        <v>77</v>
      </c>
      <c r="G186" s="7">
        <v>0.03</v>
      </c>
      <c r="H186" s="6" t="s">
        <v>249</v>
      </c>
      <c r="I186" s="6" t="s">
        <v>20</v>
      </c>
      <c r="J186" s="6">
        <v>2014.0</v>
      </c>
      <c r="L186" s="6">
        <v>4.0</v>
      </c>
      <c r="M186" s="8">
        <f t="shared" si="1"/>
        <v>0.12</v>
      </c>
      <c r="P186" s="9"/>
    </row>
    <row r="187">
      <c r="A187" s="6" t="s">
        <v>639</v>
      </c>
      <c r="B187" s="6" t="s">
        <v>494</v>
      </c>
      <c r="C187" s="6" t="s">
        <v>43</v>
      </c>
      <c r="D187" s="6" t="s">
        <v>640</v>
      </c>
      <c r="E187" s="6" t="s">
        <v>256</v>
      </c>
      <c r="F187" s="6" t="s">
        <v>87</v>
      </c>
      <c r="G187" s="7">
        <v>0.03</v>
      </c>
      <c r="H187" s="6" t="s">
        <v>382</v>
      </c>
      <c r="I187" s="6" t="s">
        <v>20</v>
      </c>
      <c r="J187" s="6">
        <v>2020.0</v>
      </c>
      <c r="L187" s="6">
        <v>1.0</v>
      </c>
      <c r="M187" s="8">
        <f t="shared" si="1"/>
        <v>0.03</v>
      </c>
      <c r="P187" s="9"/>
    </row>
    <row r="188">
      <c r="A188" s="6" t="s">
        <v>641</v>
      </c>
      <c r="B188" s="6" t="s">
        <v>642</v>
      </c>
      <c r="C188" s="6" t="s">
        <v>43</v>
      </c>
      <c r="D188" s="6" t="s">
        <v>643</v>
      </c>
      <c r="E188" s="6" t="s">
        <v>185</v>
      </c>
      <c r="F188" s="6" t="s">
        <v>26</v>
      </c>
      <c r="G188" s="7">
        <v>0.17</v>
      </c>
      <c r="H188" s="6" t="s">
        <v>428</v>
      </c>
      <c r="I188" s="6" t="s">
        <v>20</v>
      </c>
      <c r="J188" s="6">
        <v>2022.0</v>
      </c>
      <c r="K188" s="10">
        <v>46055.0</v>
      </c>
      <c r="L188" s="6">
        <v>1.0</v>
      </c>
      <c r="M188" s="8">
        <f t="shared" si="1"/>
        <v>0.17</v>
      </c>
      <c r="P188" s="9"/>
    </row>
    <row r="189">
      <c r="A189" s="6" t="s">
        <v>644</v>
      </c>
      <c r="B189" s="6" t="s">
        <v>462</v>
      </c>
      <c r="C189" s="6" t="s">
        <v>377</v>
      </c>
      <c r="D189" s="6" t="s">
        <v>645</v>
      </c>
      <c r="E189" s="6" t="s">
        <v>164</v>
      </c>
      <c r="F189" s="6" t="s">
        <v>112</v>
      </c>
      <c r="G189" s="7">
        <v>0.1</v>
      </c>
      <c r="H189" s="6" t="s">
        <v>471</v>
      </c>
      <c r="I189" s="6" t="s">
        <v>20</v>
      </c>
      <c r="J189" s="6">
        <v>2026.0</v>
      </c>
      <c r="L189" s="6">
        <v>1.0</v>
      </c>
      <c r="M189" s="8">
        <f t="shared" si="1"/>
        <v>0.1</v>
      </c>
      <c r="P189" s="9"/>
    </row>
    <row r="190">
      <c r="A190" s="6" t="s">
        <v>646</v>
      </c>
      <c r="B190" s="6" t="s">
        <v>647</v>
      </c>
      <c r="C190" s="6" t="s">
        <v>43</v>
      </c>
      <c r="D190" s="6" t="s">
        <v>648</v>
      </c>
      <c r="E190" s="6" t="s">
        <v>185</v>
      </c>
      <c r="F190" s="6" t="s">
        <v>26</v>
      </c>
      <c r="G190" s="7">
        <v>0.03</v>
      </c>
      <c r="H190" s="6" t="s">
        <v>506</v>
      </c>
      <c r="I190" s="6" t="s">
        <v>20</v>
      </c>
      <c r="J190" s="6">
        <v>2016.0</v>
      </c>
      <c r="K190" s="10">
        <v>46054.0</v>
      </c>
      <c r="L190" s="6">
        <v>1.0</v>
      </c>
      <c r="M190" s="8">
        <f t="shared" si="1"/>
        <v>0.03</v>
      </c>
      <c r="P190" s="9"/>
    </row>
    <row r="191">
      <c r="A191" s="6" t="s">
        <v>649</v>
      </c>
      <c r="B191" s="6" t="s">
        <v>74</v>
      </c>
      <c r="C191" s="6" t="s">
        <v>43</v>
      </c>
      <c r="D191" s="6" t="s">
        <v>650</v>
      </c>
      <c r="E191" s="6" t="s">
        <v>420</v>
      </c>
      <c r="F191" s="6" t="s">
        <v>40</v>
      </c>
      <c r="G191" s="7">
        <v>0.06</v>
      </c>
      <c r="H191" s="6" t="s">
        <v>651</v>
      </c>
      <c r="I191" s="6" t="s">
        <v>20</v>
      </c>
      <c r="J191" s="6">
        <v>2022.0</v>
      </c>
      <c r="L191" s="6">
        <v>1.0</v>
      </c>
      <c r="M191" s="8">
        <f t="shared" si="1"/>
        <v>0.06</v>
      </c>
      <c r="P191" s="9"/>
    </row>
    <row r="192">
      <c r="A192" s="6" t="s">
        <v>652</v>
      </c>
      <c r="B192" s="6" t="s">
        <v>494</v>
      </c>
      <c r="C192" s="6" t="s">
        <v>37</v>
      </c>
      <c r="D192" s="6" t="s">
        <v>653</v>
      </c>
      <c r="E192" s="6" t="s">
        <v>654</v>
      </c>
      <c r="F192" s="6" t="s">
        <v>18</v>
      </c>
      <c r="G192" s="7">
        <v>0.04</v>
      </c>
      <c r="H192" s="6" t="s">
        <v>655</v>
      </c>
      <c r="I192" s="6" t="s">
        <v>20</v>
      </c>
      <c r="J192" s="6">
        <v>2023.0</v>
      </c>
      <c r="L192" s="6">
        <v>1.0</v>
      </c>
      <c r="M192" s="8">
        <f t="shared" si="1"/>
        <v>0.04</v>
      </c>
      <c r="P192" s="9"/>
    </row>
    <row r="193">
      <c r="A193" s="6" t="s">
        <v>656</v>
      </c>
      <c r="B193" s="6" t="s">
        <v>657</v>
      </c>
      <c r="C193" s="6" t="s">
        <v>156</v>
      </c>
      <c r="D193" s="6" t="s">
        <v>658</v>
      </c>
      <c r="E193" s="6" t="s">
        <v>659</v>
      </c>
      <c r="F193" s="6" t="s">
        <v>18</v>
      </c>
      <c r="G193" s="7">
        <v>3.2</v>
      </c>
      <c r="H193" s="6" t="s">
        <v>153</v>
      </c>
      <c r="I193" s="6" t="s">
        <v>20</v>
      </c>
      <c r="J193" s="6">
        <v>2025.0</v>
      </c>
      <c r="L193" s="6">
        <v>1.0</v>
      </c>
      <c r="M193" s="8">
        <f t="shared" si="1"/>
        <v>3.2</v>
      </c>
      <c r="P193" s="9"/>
    </row>
    <row r="194">
      <c r="A194" s="6" t="s">
        <v>660</v>
      </c>
      <c r="B194" s="6" t="s">
        <v>661</v>
      </c>
      <c r="C194" s="6" t="s">
        <v>662</v>
      </c>
      <c r="D194" s="6" t="s">
        <v>663</v>
      </c>
      <c r="E194" s="6" t="s">
        <v>664</v>
      </c>
      <c r="F194" s="6" t="s">
        <v>665</v>
      </c>
      <c r="G194" s="7">
        <v>0.41</v>
      </c>
      <c r="H194" s="6" t="s">
        <v>342</v>
      </c>
      <c r="I194" s="6" t="s">
        <v>20</v>
      </c>
      <c r="J194" s="6">
        <v>2014.0</v>
      </c>
      <c r="K194" s="10">
        <v>46117.0</v>
      </c>
      <c r="L194" s="6">
        <v>1.0</v>
      </c>
      <c r="M194" s="8">
        <f t="shared" si="1"/>
        <v>0.41</v>
      </c>
      <c r="P194" s="9"/>
    </row>
    <row r="195">
      <c r="A195" s="6" t="s">
        <v>666</v>
      </c>
      <c r="B195" s="6" t="s">
        <v>115</v>
      </c>
      <c r="C195" s="6" t="s">
        <v>23</v>
      </c>
      <c r="D195" s="6" t="s">
        <v>667</v>
      </c>
      <c r="E195" s="6" t="s">
        <v>668</v>
      </c>
      <c r="F195" s="6" t="s">
        <v>18</v>
      </c>
      <c r="G195" s="7">
        <v>0.13</v>
      </c>
      <c r="H195" s="6" t="s">
        <v>27</v>
      </c>
      <c r="I195" s="6" t="s">
        <v>20</v>
      </c>
      <c r="J195" s="6">
        <v>2026.0</v>
      </c>
      <c r="L195" s="6">
        <v>1.0</v>
      </c>
      <c r="M195" s="8">
        <f t="shared" si="1"/>
        <v>0.13</v>
      </c>
      <c r="P195" s="9"/>
    </row>
    <row r="196">
      <c r="A196" s="6" t="s">
        <v>669</v>
      </c>
      <c r="B196" s="6" t="s">
        <v>670</v>
      </c>
      <c r="C196" s="6" t="s">
        <v>43</v>
      </c>
      <c r="D196" s="6" t="s">
        <v>671</v>
      </c>
      <c r="E196" s="6" t="s">
        <v>86</v>
      </c>
      <c r="F196" s="6" t="s">
        <v>87</v>
      </c>
      <c r="G196" s="7">
        <v>0.25</v>
      </c>
      <c r="H196" s="6" t="s">
        <v>453</v>
      </c>
      <c r="I196" s="6" t="s">
        <v>20</v>
      </c>
      <c r="J196" s="6">
        <v>1994.0</v>
      </c>
      <c r="K196" s="10">
        <v>46054.0</v>
      </c>
      <c r="L196" s="6">
        <v>1.0</v>
      </c>
      <c r="M196" s="8">
        <f t="shared" si="1"/>
        <v>0.25</v>
      </c>
      <c r="P196" s="9"/>
    </row>
    <row r="197">
      <c r="A197" s="6" t="s">
        <v>672</v>
      </c>
      <c r="B197" s="6" t="s">
        <v>603</v>
      </c>
      <c r="C197" s="6" t="s">
        <v>43</v>
      </c>
      <c r="D197" s="6" t="s">
        <v>673</v>
      </c>
      <c r="E197" s="6" t="s">
        <v>224</v>
      </c>
      <c r="F197" s="6" t="s">
        <v>18</v>
      </c>
      <c r="G197" s="7">
        <v>0.05</v>
      </c>
      <c r="H197" s="6" t="s">
        <v>674</v>
      </c>
      <c r="I197" s="6" t="s">
        <v>20</v>
      </c>
      <c r="J197" s="6">
        <v>2021.0</v>
      </c>
      <c r="K197" s="10">
        <v>46084.0</v>
      </c>
      <c r="L197" s="6">
        <v>1.0</v>
      </c>
      <c r="M197" s="8">
        <f t="shared" si="1"/>
        <v>0.05</v>
      </c>
      <c r="P197" s="9"/>
    </row>
    <row r="198">
      <c r="A198" s="6" t="s">
        <v>675</v>
      </c>
      <c r="B198" s="6" t="s">
        <v>462</v>
      </c>
      <c r="C198" s="6" t="s">
        <v>377</v>
      </c>
      <c r="D198" s="6" t="s">
        <v>676</v>
      </c>
      <c r="E198" s="6" t="s">
        <v>76</v>
      </c>
      <c r="F198" s="6" t="s">
        <v>77</v>
      </c>
      <c r="G198" s="7">
        <v>0.1</v>
      </c>
      <c r="H198" s="6" t="s">
        <v>471</v>
      </c>
      <c r="I198" s="6" t="s">
        <v>20</v>
      </c>
      <c r="J198" s="6">
        <v>2026.0</v>
      </c>
      <c r="L198" s="6">
        <v>1.0</v>
      </c>
      <c r="M198" s="8">
        <f t="shared" si="1"/>
        <v>0.1</v>
      </c>
      <c r="P198" s="9"/>
    </row>
    <row r="199">
      <c r="A199" s="6" t="s">
        <v>677</v>
      </c>
      <c r="B199" s="6" t="s">
        <v>606</v>
      </c>
      <c r="C199" s="6" t="s">
        <v>15</v>
      </c>
      <c r="D199" s="6" t="s">
        <v>678</v>
      </c>
      <c r="E199" s="6" t="s">
        <v>252</v>
      </c>
      <c r="F199" s="6" t="s">
        <v>40</v>
      </c>
      <c r="G199" s="7">
        <v>0.19</v>
      </c>
      <c r="H199" s="6" t="s">
        <v>153</v>
      </c>
      <c r="I199" s="6" t="s">
        <v>20</v>
      </c>
      <c r="J199" s="6">
        <v>2025.0</v>
      </c>
      <c r="L199" s="6">
        <v>1.0</v>
      </c>
      <c r="M199" s="8">
        <f t="shared" si="1"/>
        <v>0.19</v>
      </c>
      <c r="P199" s="9"/>
    </row>
    <row r="200">
      <c r="A200" s="6" t="s">
        <v>679</v>
      </c>
      <c r="B200" s="6" t="s">
        <v>642</v>
      </c>
      <c r="C200" s="6" t="s">
        <v>43</v>
      </c>
      <c r="D200" s="6" t="s">
        <v>680</v>
      </c>
      <c r="E200" s="6" t="s">
        <v>681</v>
      </c>
      <c r="F200" s="6" t="s">
        <v>26</v>
      </c>
      <c r="G200" s="7">
        <v>0.03</v>
      </c>
      <c r="H200" s="6" t="s">
        <v>506</v>
      </c>
      <c r="I200" s="6" t="s">
        <v>20</v>
      </c>
      <c r="J200" s="6">
        <v>2016.0</v>
      </c>
      <c r="K200" s="10">
        <v>46116.0</v>
      </c>
      <c r="L200" s="6">
        <v>1.0</v>
      </c>
      <c r="M200" s="8">
        <f t="shared" si="1"/>
        <v>0.03</v>
      </c>
      <c r="P200" s="9"/>
    </row>
    <row r="201">
      <c r="A201" s="6" t="s">
        <v>682</v>
      </c>
      <c r="B201" s="6" t="s">
        <v>642</v>
      </c>
      <c r="C201" s="6" t="s">
        <v>30</v>
      </c>
      <c r="D201" s="6" t="s">
        <v>683</v>
      </c>
      <c r="E201" s="6" t="s">
        <v>681</v>
      </c>
      <c r="F201" s="6" t="s">
        <v>26</v>
      </c>
      <c r="G201" s="7">
        <v>0.25</v>
      </c>
      <c r="H201" s="6" t="s">
        <v>144</v>
      </c>
      <c r="I201" s="6" t="s">
        <v>20</v>
      </c>
      <c r="J201" s="6">
        <v>2018.0</v>
      </c>
      <c r="K201" s="10">
        <v>46055.0</v>
      </c>
      <c r="L201" s="6">
        <v>1.0</v>
      </c>
      <c r="M201" s="8">
        <f t="shared" si="1"/>
        <v>0.25</v>
      </c>
      <c r="P201" s="9"/>
    </row>
    <row r="202">
      <c r="A202" s="6" t="s">
        <v>684</v>
      </c>
      <c r="B202" s="6" t="s">
        <v>685</v>
      </c>
      <c r="C202" s="6" t="s">
        <v>43</v>
      </c>
      <c r="D202" s="6" t="s">
        <v>686</v>
      </c>
      <c r="E202" s="6" t="s">
        <v>135</v>
      </c>
      <c r="F202" s="6" t="s">
        <v>40</v>
      </c>
      <c r="G202" s="7">
        <v>0.06</v>
      </c>
      <c r="H202" s="6" t="s">
        <v>687</v>
      </c>
      <c r="I202" s="6" t="s">
        <v>20</v>
      </c>
      <c r="J202" s="6">
        <v>2011.0</v>
      </c>
      <c r="K202" s="10">
        <v>46054.0</v>
      </c>
      <c r="L202" s="6">
        <v>1.0</v>
      </c>
      <c r="M202" s="8">
        <f t="shared" si="1"/>
        <v>0.06</v>
      </c>
      <c r="P202" s="9"/>
    </row>
    <row r="203">
      <c r="A203" s="6" t="s">
        <v>688</v>
      </c>
      <c r="B203" s="6" t="s">
        <v>462</v>
      </c>
      <c r="C203" s="6" t="s">
        <v>37</v>
      </c>
      <c r="D203" s="6" t="s">
        <v>689</v>
      </c>
      <c r="E203" s="6" t="s">
        <v>690</v>
      </c>
      <c r="F203" s="6" t="s">
        <v>87</v>
      </c>
      <c r="G203" s="7">
        <v>0.2</v>
      </c>
      <c r="H203" s="6" t="s">
        <v>187</v>
      </c>
      <c r="I203" s="6" t="s">
        <v>20</v>
      </c>
      <c r="J203" s="6">
        <v>1995.0</v>
      </c>
      <c r="L203" s="6">
        <v>1.0</v>
      </c>
      <c r="M203" s="8">
        <f t="shared" si="1"/>
        <v>0.2</v>
      </c>
      <c r="P203" s="9"/>
    </row>
    <row r="204">
      <c r="A204" s="6" t="s">
        <v>691</v>
      </c>
      <c r="B204" s="6" t="s">
        <v>692</v>
      </c>
      <c r="C204" s="6" t="s">
        <v>43</v>
      </c>
      <c r="D204" s="6" t="s">
        <v>693</v>
      </c>
      <c r="E204" s="6" t="s">
        <v>57</v>
      </c>
      <c r="F204" s="6" t="s">
        <v>40</v>
      </c>
      <c r="G204" s="7">
        <v>0.05</v>
      </c>
      <c r="H204" s="6" t="s">
        <v>34</v>
      </c>
      <c r="I204" s="6" t="s">
        <v>20</v>
      </c>
      <c r="J204" s="6">
        <v>2025.0</v>
      </c>
      <c r="K204" s="10">
        <v>46055.0</v>
      </c>
      <c r="L204" s="6">
        <v>3.0</v>
      </c>
      <c r="M204" s="8">
        <f t="shared" si="1"/>
        <v>0.15</v>
      </c>
      <c r="P204" s="9"/>
    </row>
    <row r="205">
      <c r="A205" s="6" t="s">
        <v>691</v>
      </c>
      <c r="B205" s="6" t="s">
        <v>692</v>
      </c>
      <c r="C205" s="6" t="s">
        <v>43</v>
      </c>
      <c r="D205" s="6" t="s">
        <v>693</v>
      </c>
      <c r="E205" s="6" t="s">
        <v>57</v>
      </c>
      <c r="F205" s="6" t="s">
        <v>40</v>
      </c>
      <c r="G205" s="7">
        <v>0.05</v>
      </c>
      <c r="H205" s="6" t="s">
        <v>34</v>
      </c>
      <c r="I205" s="6" t="s">
        <v>20</v>
      </c>
      <c r="J205" s="6">
        <v>2025.0</v>
      </c>
      <c r="K205" s="10">
        <v>46055.0</v>
      </c>
      <c r="L205" s="6">
        <v>2.0</v>
      </c>
      <c r="M205" s="8">
        <f t="shared" si="1"/>
        <v>0.1</v>
      </c>
      <c r="P205" s="9"/>
    </row>
    <row r="206">
      <c r="A206" s="6" t="s">
        <v>694</v>
      </c>
      <c r="B206" s="6" t="s">
        <v>695</v>
      </c>
      <c r="C206" s="6" t="s">
        <v>309</v>
      </c>
      <c r="D206" s="6" t="s">
        <v>696</v>
      </c>
      <c r="E206" s="6" t="s">
        <v>414</v>
      </c>
      <c r="F206" s="6" t="s">
        <v>697</v>
      </c>
      <c r="G206" s="7">
        <v>1.25</v>
      </c>
      <c r="H206" s="6" t="s">
        <v>434</v>
      </c>
      <c r="I206" s="6" t="s">
        <v>20</v>
      </c>
      <c r="J206" s="6">
        <v>2000.0</v>
      </c>
      <c r="K206" s="10">
        <v>46269.0</v>
      </c>
      <c r="L206" s="6">
        <v>2.0</v>
      </c>
      <c r="M206" s="8">
        <f t="shared" si="1"/>
        <v>2.5</v>
      </c>
      <c r="P206" s="9"/>
    </row>
    <row r="207">
      <c r="A207" s="6" t="s">
        <v>698</v>
      </c>
      <c r="B207" s="6" t="s">
        <v>699</v>
      </c>
      <c r="C207" s="6" t="s">
        <v>43</v>
      </c>
      <c r="D207" s="6" t="s">
        <v>700</v>
      </c>
      <c r="E207" s="6" t="s">
        <v>420</v>
      </c>
      <c r="F207" s="6" t="s">
        <v>40</v>
      </c>
      <c r="G207" s="7">
        <v>0.05</v>
      </c>
      <c r="H207" s="6" t="s">
        <v>701</v>
      </c>
      <c r="I207" s="6" t="s">
        <v>20</v>
      </c>
      <c r="J207" s="6">
        <v>2015.0</v>
      </c>
      <c r="K207" s="10">
        <v>46083.0</v>
      </c>
      <c r="L207" s="6">
        <v>1.0</v>
      </c>
      <c r="M207" s="8">
        <f t="shared" si="1"/>
        <v>0.05</v>
      </c>
      <c r="P207" s="9"/>
    </row>
    <row r="208">
      <c r="A208" s="6" t="s">
        <v>702</v>
      </c>
      <c r="B208" s="6" t="s">
        <v>703</v>
      </c>
      <c r="C208" s="6" t="s">
        <v>43</v>
      </c>
      <c r="D208" s="6" t="s">
        <v>704</v>
      </c>
      <c r="E208" s="6" t="s">
        <v>57</v>
      </c>
      <c r="F208" s="6" t="s">
        <v>40</v>
      </c>
      <c r="G208" s="7">
        <v>0.14</v>
      </c>
      <c r="H208" s="6" t="s">
        <v>221</v>
      </c>
      <c r="I208" s="6" t="s">
        <v>20</v>
      </c>
      <c r="J208" s="6">
        <v>2013.0</v>
      </c>
      <c r="K208" s="10">
        <v>46055.0</v>
      </c>
      <c r="L208" s="6">
        <v>1.0</v>
      </c>
      <c r="M208" s="8">
        <f t="shared" si="1"/>
        <v>0.14</v>
      </c>
      <c r="P208" s="9"/>
    </row>
    <row r="209">
      <c r="A209" s="6" t="s">
        <v>705</v>
      </c>
      <c r="B209" s="6" t="s">
        <v>706</v>
      </c>
      <c r="C209" s="6" t="s">
        <v>30</v>
      </c>
      <c r="D209" s="6" t="s">
        <v>707</v>
      </c>
      <c r="E209" s="6" t="s">
        <v>708</v>
      </c>
      <c r="F209" s="6" t="s">
        <v>112</v>
      </c>
      <c r="G209" s="7">
        <v>0.17</v>
      </c>
      <c r="H209" s="6" t="s">
        <v>709</v>
      </c>
      <c r="I209" s="6" t="s">
        <v>20</v>
      </c>
      <c r="J209" s="6">
        <v>2017.0</v>
      </c>
      <c r="K209" s="10">
        <v>46084.0</v>
      </c>
      <c r="L209" s="6">
        <v>1.0</v>
      </c>
      <c r="M209" s="8">
        <f t="shared" si="1"/>
        <v>0.17</v>
      </c>
      <c r="P209" s="9"/>
    </row>
    <row r="210">
      <c r="A210" s="6" t="s">
        <v>710</v>
      </c>
      <c r="B210" s="6" t="s">
        <v>711</v>
      </c>
      <c r="C210" s="6" t="s">
        <v>43</v>
      </c>
      <c r="D210" s="6" t="s">
        <v>712</v>
      </c>
      <c r="E210" s="6" t="s">
        <v>86</v>
      </c>
      <c r="F210" s="6" t="s">
        <v>87</v>
      </c>
      <c r="G210" s="7">
        <v>0.08</v>
      </c>
      <c r="H210" s="6" t="s">
        <v>88</v>
      </c>
      <c r="I210" s="6" t="s">
        <v>20</v>
      </c>
      <c r="J210" s="6">
        <v>2024.0</v>
      </c>
      <c r="K210" s="10">
        <v>46055.0</v>
      </c>
      <c r="L210" s="6">
        <v>1.0</v>
      </c>
      <c r="M210" s="8">
        <f t="shared" si="1"/>
        <v>0.08</v>
      </c>
      <c r="P210" s="9"/>
    </row>
    <row r="211">
      <c r="A211" s="6" t="s">
        <v>713</v>
      </c>
      <c r="B211" s="6" t="s">
        <v>714</v>
      </c>
      <c r="C211" s="6" t="s">
        <v>61</v>
      </c>
      <c r="D211" s="6" t="s">
        <v>715</v>
      </c>
      <c r="E211" s="6" t="s">
        <v>716</v>
      </c>
      <c r="F211" s="6" t="s">
        <v>717</v>
      </c>
      <c r="G211" s="7">
        <v>1.0</v>
      </c>
      <c r="H211" s="6" t="s">
        <v>631</v>
      </c>
      <c r="I211" s="6" t="s">
        <v>20</v>
      </c>
      <c r="J211" s="6">
        <v>1995.0</v>
      </c>
      <c r="K211" s="10">
        <v>46055.0</v>
      </c>
      <c r="L211" s="6">
        <v>1.0</v>
      </c>
      <c r="M211" s="8">
        <f t="shared" si="1"/>
        <v>1</v>
      </c>
      <c r="N211" s="6" t="s">
        <v>122</v>
      </c>
      <c r="P211" s="9"/>
    </row>
    <row r="212">
      <c r="A212" s="6" t="s">
        <v>718</v>
      </c>
      <c r="B212" s="6" t="s">
        <v>371</v>
      </c>
      <c r="C212" s="6" t="s">
        <v>43</v>
      </c>
      <c r="D212" s="6" t="s">
        <v>719</v>
      </c>
      <c r="E212" s="6" t="s">
        <v>135</v>
      </c>
      <c r="F212" s="6" t="s">
        <v>40</v>
      </c>
      <c r="G212" s="7">
        <v>0.1</v>
      </c>
      <c r="H212" s="6" t="s">
        <v>597</v>
      </c>
      <c r="I212" s="6" t="s">
        <v>20</v>
      </c>
      <c r="J212" s="6">
        <v>2024.0</v>
      </c>
      <c r="K212" s="10">
        <v>46024.0</v>
      </c>
      <c r="L212" s="6">
        <v>1.0</v>
      </c>
      <c r="M212" s="8">
        <f t="shared" si="1"/>
        <v>0.1</v>
      </c>
      <c r="P212" s="9"/>
    </row>
    <row r="213">
      <c r="A213" s="6" t="s">
        <v>720</v>
      </c>
      <c r="B213" s="6" t="s">
        <v>721</v>
      </c>
      <c r="C213" s="6" t="s">
        <v>43</v>
      </c>
      <c r="D213" s="6" t="s">
        <v>722</v>
      </c>
      <c r="F213" s="6" t="s">
        <v>519</v>
      </c>
      <c r="G213" s="7">
        <v>0.06</v>
      </c>
      <c r="H213" s="6" t="s">
        <v>431</v>
      </c>
      <c r="I213" s="6" t="s">
        <v>20</v>
      </c>
      <c r="J213" s="6">
        <v>2019.0</v>
      </c>
      <c r="L213" s="6">
        <v>1.0</v>
      </c>
      <c r="M213" s="8">
        <f t="shared" si="1"/>
        <v>0.06</v>
      </c>
      <c r="P213" s="9"/>
    </row>
    <row r="214">
      <c r="A214" s="6" t="s">
        <v>723</v>
      </c>
      <c r="B214" s="6" t="s">
        <v>208</v>
      </c>
      <c r="C214" s="6" t="s">
        <v>37</v>
      </c>
      <c r="D214" s="6" t="s">
        <v>724</v>
      </c>
      <c r="E214" s="6" t="s">
        <v>282</v>
      </c>
      <c r="F214" s="6" t="s">
        <v>40</v>
      </c>
      <c r="G214" s="7">
        <v>0.13</v>
      </c>
      <c r="H214" s="6" t="s">
        <v>597</v>
      </c>
      <c r="I214" s="6" t="s">
        <v>20</v>
      </c>
      <c r="J214" s="6">
        <v>2024.0</v>
      </c>
      <c r="K214" s="10">
        <v>46055.0</v>
      </c>
      <c r="L214" s="6">
        <v>1.0</v>
      </c>
      <c r="M214" s="8">
        <f t="shared" si="1"/>
        <v>0.13</v>
      </c>
      <c r="P214" s="9"/>
    </row>
    <row r="215">
      <c r="A215" s="6" t="s">
        <v>725</v>
      </c>
      <c r="B215" s="6" t="s">
        <v>47</v>
      </c>
      <c r="C215" s="6" t="s">
        <v>43</v>
      </c>
      <c r="D215" s="6" t="s">
        <v>726</v>
      </c>
      <c r="E215" s="6" t="s">
        <v>76</v>
      </c>
      <c r="F215" s="6" t="s">
        <v>77</v>
      </c>
      <c r="G215" s="7">
        <v>0.04</v>
      </c>
      <c r="H215" s="6" t="s">
        <v>34</v>
      </c>
      <c r="I215" s="6" t="s">
        <v>20</v>
      </c>
      <c r="J215" s="6">
        <v>2025.0</v>
      </c>
      <c r="L215" s="6">
        <v>1.0</v>
      </c>
      <c r="M215" s="8">
        <f t="shared" si="1"/>
        <v>0.04</v>
      </c>
      <c r="P215" s="9"/>
    </row>
    <row r="216">
      <c r="A216" s="6" t="s">
        <v>727</v>
      </c>
      <c r="B216" s="6" t="s">
        <v>728</v>
      </c>
      <c r="C216" s="6" t="s">
        <v>30</v>
      </c>
      <c r="D216" s="6" t="s">
        <v>729</v>
      </c>
      <c r="E216" s="6" t="s">
        <v>730</v>
      </c>
      <c r="F216" s="6" t="s">
        <v>536</v>
      </c>
      <c r="G216" s="7">
        <v>2.5</v>
      </c>
      <c r="H216" s="6" t="s">
        <v>34</v>
      </c>
      <c r="I216" s="6" t="s">
        <v>45</v>
      </c>
      <c r="J216" s="6">
        <v>2025.0</v>
      </c>
      <c r="K216" s="10">
        <v>46116.0</v>
      </c>
      <c r="L216" s="6">
        <v>1.0</v>
      </c>
      <c r="M216" s="8">
        <f t="shared" si="1"/>
        <v>2.5</v>
      </c>
      <c r="P216" s="9"/>
    </row>
    <row r="217">
      <c r="A217" s="6" t="s">
        <v>731</v>
      </c>
      <c r="B217" s="6" t="s">
        <v>732</v>
      </c>
      <c r="C217" s="6" t="s">
        <v>43</v>
      </c>
      <c r="D217" s="6" t="s">
        <v>733</v>
      </c>
      <c r="E217" s="6" t="s">
        <v>135</v>
      </c>
      <c r="F217" s="6" t="s">
        <v>40</v>
      </c>
      <c r="G217" s="7">
        <v>0.04</v>
      </c>
      <c r="H217" s="6" t="s">
        <v>734</v>
      </c>
      <c r="I217" s="6" t="s">
        <v>20</v>
      </c>
      <c r="J217" s="6">
        <v>2022.0</v>
      </c>
      <c r="K217" s="10">
        <v>46023.0</v>
      </c>
      <c r="L217" s="6">
        <v>3.0</v>
      </c>
      <c r="M217" s="8">
        <f t="shared" si="1"/>
        <v>0.12</v>
      </c>
      <c r="P217" s="9"/>
    </row>
    <row r="218">
      <c r="A218" s="6" t="s">
        <v>735</v>
      </c>
      <c r="B218" s="6" t="s">
        <v>736</v>
      </c>
      <c r="C218" s="6" t="s">
        <v>43</v>
      </c>
      <c r="D218" s="6" t="s">
        <v>737</v>
      </c>
      <c r="E218" s="6" t="s">
        <v>448</v>
      </c>
      <c r="F218" s="6" t="s">
        <v>112</v>
      </c>
      <c r="G218" s="7">
        <v>0.12</v>
      </c>
      <c r="H218" s="6" t="s">
        <v>34</v>
      </c>
      <c r="I218" s="6" t="s">
        <v>20</v>
      </c>
      <c r="J218" s="6">
        <v>2025.0</v>
      </c>
      <c r="K218" s="10">
        <v>46116.0</v>
      </c>
      <c r="L218" s="6">
        <v>1.0</v>
      </c>
      <c r="M218" s="8">
        <f t="shared" si="1"/>
        <v>0.12</v>
      </c>
      <c r="P218" s="9"/>
    </row>
    <row r="219">
      <c r="A219" s="6" t="s">
        <v>738</v>
      </c>
      <c r="B219" s="6" t="s">
        <v>739</v>
      </c>
      <c r="C219" s="6" t="s">
        <v>37</v>
      </c>
      <c r="D219" s="6" t="s">
        <v>740</v>
      </c>
      <c r="E219" s="6" t="s">
        <v>282</v>
      </c>
      <c r="F219" s="6" t="s">
        <v>40</v>
      </c>
      <c r="G219" s="7">
        <v>0.7</v>
      </c>
      <c r="H219" s="6" t="s">
        <v>113</v>
      </c>
      <c r="I219" s="6" t="s">
        <v>20</v>
      </c>
      <c r="J219" s="6">
        <v>2023.0</v>
      </c>
      <c r="K219" s="10">
        <v>46114.0</v>
      </c>
      <c r="L219" s="6">
        <v>1.0</v>
      </c>
      <c r="M219" s="8">
        <f t="shared" si="1"/>
        <v>0.7</v>
      </c>
      <c r="P219" s="9"/>
    </row>
    <row r="220">
      <c r="A220" s="6" t="s">
        <v>741</v>
      </c>
      <c r="B220" s="6" t="s">
        <v>74</v>
      </c>
      <c r="C220" s="6" t="s">
        <v>43</v>
      </c>
      <c r="D220" s="6" t="s">
        <v>742</v>
      </c>
      <c r="E220" s="6" t="s">
        <v>93</v>
      </c>
      <c r="F220" s="6" t="s">
        <v>77</v>
      </c>
      <c r="G220" s="7">
        <v>0.05</v>
      </c>
      <c r="H220" s="6" t="s">
        <v>88</v>
      </c>
      <c r="I220" s="6" t="s">
        <v>20</v>
      </c>
      <c r="J220" s="6">
        <v>2024.0</v>
      </c>
      <c r="L220" s="6">
        <v>2.0</v>
      </c>
      <c r="M220" s="8">
        <f t="shared" si="1"/>
        <v>0.1</v>
      </c>
      <c r="P220" s="9"/>
    </row>
    <row r="221">
      <c r="A221" s="6" t="s">
        <v>743</v>
      </c>
      <c r="B221" s="6" t="s">
        <v>744</v>
      </c>
      <c r="C221" s="6" t="s">
        <v>43</v>
      </c>
      <c r="D221" s="6" t="s">
        <v>745</v>
      </c>
      <c r="E221" s="6" t="s">
        <v>164</v>
      </c>
      <c r="F221" s="6" t="s">
        <v>112</v>
      </c>
      <c r="G221" s="7">
        <v>0.32</v>
      </c>
      <c r="H221" s="6" t="s">
        <v>746</v>
      </c>
      <c r="I221" s="6" t="s">
        <v>45</v>
      </c>
      <c r="J221" s="6">
        <v>2024.0</v>
      </c>
      <c r="K221" s="10">
        <v>46055.0</v>
      </c>
      <c r="L221" s="6">
        <v>1.0</v>
      </c>
      <c r="M221" s="8">
        <f t="shared" si="1"/>
        <v>0.32</v>
      </c>
      <c r="P221" s="9"/>
    </row>
    <row r="222">
      <c r="A222" s="6" t="s">
        <v>747</v>
      </c>
      <c r="B222" s="6" t="s">
        <v>748</v>
      </c>
      <c r="C222" s="6" t="s">
        <v>23</v>
      </c>
      <c r="D222" s="6" t="s">
        <v>749</v>
      </c>
      <c r="E222" s="6" t="s">
        <v>750</v>
      </c>
      <c r="F222" s="6" t="s">
        <v>112</v>
      </c>
      <c r="G222" s="7">
        <v>0.1</v>
      </c>
      <c r="H222" s="6" t="s">
        <v>153</v>
      </c>
      <c r="I222" s="6" t="s">
        <v>20</v>
      </c>
      <c r="J222" s="6">
        <v>2025.0</v>
      </c>
      <c r="K222" s="10">
        <v>46179.0</v>
      </c>
      <c r="L222" s="6">
        <v>4.0</v>
      </c>
      <c r="M222" s="8">
        <f t="shared" si="1"/>
        <v>0.4</v>
      </c>
      <c r="P222" s="9"/>
    </row>
    <row r="223">
      <c r="A223" s="6" t="s">
        <v>747</v>
      </c>
      <c r="B223" s="6" t="s">
        <v>748</v>
      </c>
      <c r="C223" s="6" t="s">
        <v>23</v>
      </c>
      <c r="D223" s="6" t="s">
        <v>749</v>
      </c>
      <c r="E223" s="6" t="s">
        <v>750</v>
      </c>
      <c r="F223" s="6" t="s">
        <v>112</v>
      </c>
      <c r="G223" s="7">
        <v>0.24</v>
      </c>
      <c r="H223" s="6" t="s">
        <v>153</v>
      </c>
      <c r="I223" s="6" t="s">
        <v>45</v>
      </c>
      <c r="J223" s="6">
        <v>2025.0</v>
      </c>
      <c r="K223" s="10">
        <v>46179.0</v>
      </c>
      <c r="L223" s="6">
        <v>1.0</v>
      </c>
      <c r="M223" s="8">
        <f t="shared" si="1"/>
        <v>0.24</v>
      </c>
      <c r="P223" s="9"/>
    </row>
    <row r="224">
      <c r="A224" s="6" t="s">
        <v>751</v>
      </c>
      <c r="B224" s="6" t="s">
        <v>752</v>
      </c>
      <c r="C224" s="6" t="s">
        <v>43</v>
      </c>
      <c r="E224" s="6" t="s">
        <v>753</v>
      </c>
      <c r="F224" s="6" t="s">
        <v>87</v>
      </c>
      <c r="G224" s="7">
        <v>0.05</v>
      </c>
      <c r="H224" s="6" t="s">
        <v>187</v>
      </c>
      <c r="I224" s="6" t="s">
        <v>20</v>
      </c>
      <c r="J224" s="6">
        <v>1995.0</v>
      </c>
      <c r="K224" s="10">
        <v>46056.0</v>
      </c>
      <c r="L224" s="6">
        <v>1.0</v>
      </c>
      <c r="M224" s="8">
        <f t="shared" si="1"/>
        <v>0.05</v>
      </c>
      <c r="P224" s="9"/>
    </row>
    <row r="225">
      <c r="A225" s="6" t="s">
        <v>754</v>
      </c>
      <c r="B225" s="6" t="s">
        <v>755</v>
      </c>
      <c r="C225" s="6" t="s">
        <v>30</v>
      </c>
      <c r="D225" s="6" t="s">
        <v>756</v>
      </c>
      <c r="E225" s="6" t="s">
        <v>757</v>
      </c>
      <c r="F225" s="6" t="s">
        <v>87</v>
      </c>
      <c r="G225" s="7">
        <v>3.0</v>
      </c>
      <c r="H225" s="6" t="s">
        <v>206</v>
      </c>
      <c r="I225" s="6" t="s">
        <v>20</v>
      </c>
      <c r="J225" s="6">
        <v>1996.0</v>
      </c>
      <c r="K225" s="10">
        <v>46147.0</v>
      </c>
      <c r="L225" s="6">
        <v>1.0</v>
      </c>
      <c r="M225" s="8">
        <f t="shared" si="1"/>
        <v>3</v>
      </c>
      <c r="P225" s="9"/>
    </row>
    <row r="226">
      <c r="A226" s="6" t="s">
        <v>758</v>
      </c>
      <c r="B226" s="6" t="s">
        <v>759</v>
      </c>
      <c r="C226" s="6" t="s">
        <v>43</v>
      </c>
      <c r="D226" s="6" t="s">
        <v>760</v>
      </c>
      <c r="E226" s="6" t="s">
        <v>76</v>
      </c>
      <c r="F226" s="6" t="s">
        <v>77</v>
      </c>
      <c r="G226" s="7">
        <v>0.05</v>
      </c>
      <c r="H226" s="6" t="s">
        <v>475</v>
      </c>
      <c r="I226" s="6" t="s">
        <v>20</v>
      </c>
      <c r="J226" s="6">
        <v>2024.0</v>
      </c>
      <c r="K226" s="10">
        <v>46055.0</v>
      </c>
      <c r="L226" s="6">
        <v>2.0</v>
      </c>
      <c r="M226" s="8">
        <f t="shared" si="1"/>
        <v>0.1</v>
      </c>
      <c r="P226" s="9"/>
    </row>
    <row r="227">
      <c r="A227" s="6" t="s">
        <v>761</v>
      </c>
      <c r="B227" s="6" t="s">
        <v>762</v>
      </c>
      <c r="C227" s="6" t="s">
        <v>37</v>
      </c>
      <c r="D227" s="6" t="s">
        <v>763</v>
      </c>
      <c r="E227" s="6" t="s">
        <v>39</v>
      </c>
      <c r="F227" s="6" t="s">
        <v>40</v>
      </c>
      <c r="G227" s="7">
        <v>0.09</v>
      </c>
      <c r="H227" s="6" t="s">
        <v>764</v>
      </c>
      <c r="I227" s="6" t="s">
        <v>20</v>
      </c>
      <c r="J227" s="6">
        <v>1999.0</v>
      </c>
      <c r="K227" s="10">
        <v>46055.0</v>
      </c>
      <c r="L227" s="6">
        <v>1.0</v>
      </c>
      <c r="M227" s="8">
        <f t="shared" si="1"/>
        <v>0.09</v>
      </c>
      <c r="P227" s="9"/>
    </row>
    <row r="228">
      <c r="A228" s="6" t="s">
        <v>765</v>
      </c>
      <c r="B228" s="6" t="s">
        <v>766</v>
      </c>
      <c r="C228" s="6" t="s">
        <v>366</v>
      </c>
      <c r="D228" s="6" t="s">
        <v>767</v>
      </c>
      <c r="E228" s="6" t="s">
        <v>768</v>
      </c>
      <c r="F228" s="6" t="s">
        <v>769</v>
      </c>
      <c r="G228" s="7">
        <v>1.2</v>
      </c>
      <c r="H228" s="6" t="s">
        <v>153</v>
      </c>
      <c r="I228" s="6" t="s">
        <v>20</v>
      </c>
      <c r="J228" s="6">
        <v>2025.0</v>
      </c>
      <c r="K228" s="10">
        <v>46085.0</v>
      </c>
      <c r="L228" s="6">
        <v>1.0</v>
      </c>
      <c r="M228" s="8">
        <f t="shared" si="1"/>
        <v>1.2</v>
      </c>
      <c r="P228" s="9"/>
    </row>
    <row r="229">
      <c r="A229" s="6" t="s">
        <v>770</v>
      </c>
      <c r="B229" s="6" t="s">
        <v>771</v>
      </c>
      <c r="C229" s="6" t="s">
        <v>43</v>
      </c>
      <c r="D229" s="6" t="s">
        <v>772</v>
      </c>
      <c r="E229" s="6" t="s">
        <v>248</v>
      </c>
      <c r="F229" s="6" t="s">
        <v>77</v>
      </c>
      <c r="G229" s="7">
        <v>0.18</v>
      </c>
      <c r="H229" s="6" t="s">
        <v>597</v>
      </c>
      <c r="I229" s="6" t="s">
        <v>20</v>
      </c>
      <c r="J229" s="6">
        <v>2024.0</v>
      </c>
      <c r="K229" s="10">
        <v>46083.0</v>
      </c>
      <c r="L229" s="6">
        <v>1.0</v>
      </c>
      <c r="M229" s="8">
        <f t="shared" si="1"/>
        <v>0.18</v>
      </c>
      <c r="P229" s="9"/>
    </row>
    <row r="230">
      <c r="A230" s="6" t="s">
        <v>773</v>
      </c>
      <c r="B230" s="6" t="s">
        <v>115</v>
      </c>
      <c r="C230" s="6" t="s">
        <v>156</v>
      </c>
      <c r="D230" s="6" t="s">
        <v>774</v>
      </c>
      <c r="E230" s="6" t="s">
        <v>775</v>
      </c>
      <c r="F230" s="6" t="s">
        <v>87</v>
      </c>
      <c r="G230" s="7">
        <v>0.84</v>
      </c>
      <c r="H230" s="6" t="s">
        <v>130</v>
      </c>
      <c r="I230" s="6" t="s">
        <v>20</v>
      </c>
      <c r="J230" s="6">
        <v>2014.0</v>
      </c>
      <c r="L230" s="6">
        <v>1.0</v>
      </c>
      <c r="M230" s="8">
        <f t="shared" si="1"/>
        <v>0.84</v>
      </c>
      <c r="P230" s="9"/>
    </row>
    <row r="231">
      <c r="A231" s="6" t="s">
        <v>776</v>
      </c>
      <c r="B231" s="6" t="s">
        <v>146</v>
      </c>
      <c r="C231" s="6" t="s">
        <v>43</v>
      </c>
      <c r="D231" s="6" t="s">
        <v>777</v>
      </c>
      <c r="E231" s="6" t="s">
        <v>57</v>
      </c>
      <c r="F231" s="6" t="s">
        <v>40</v>
      </c>
      <c r="G231" s="7">
        <v>0.09</v>
      </c>
      <c r="H231" s="6" t="s">
        <v>746</v>
      </c>
      <c r="I231" s="6" t="s">
        <v>20</v>
      </c>
      <c r="J231" s="6">
        <v>2024.0</v>
      </c>
      <c r="L231" s="6">
        <v>1.0</v>
      </c>
      <c r="M231" s="8">
        <f t="shared" si="1"/>
        <v>0.09</v>
      </c>
      <c r="P231" s="9"/>
    </row>
    <row r="232">
      <c r="A232" s="6" t="s">
        <v>776</v>
      </c>
      <c r="B232" s="6" t="s">
        <v>778</v>
      </c>
      <c r="C232" s="6" t="s">
        <v>23</v>
      </c>
      <c r="D232" s="6" t="s">
        <v>779</v>
      </c>
      <c r="E232" s="6" t="s">
        <v>252</v>
      </c>
      <c r="F232" s="6" t="s">
        <v>40</v>
      </c>
      <c r="G232" s="7">
        <v>0.05</v>
      </c>
      <c r="H232" s="6" t="s">
        <v>780</v>
      </c>
      <c r="I232" s="6" t="s">
        <v>20</v>
      </c>
      <c r="J232" s="6">
        <v>2025.0</v>
      </c>
      <c r="L232" s="6">
        <v>1.0</v>
      </c>
      <c r="M232" s="8">
        <f t="shared" si="1"/>
        <v>0.05</v>
      </c>
      <c r="P232" s="9"/>
    </row>
    <row r="233">
      <c r="A233" s="6" t="s">
        <v>776</v>
      </c>
      <c r="B233" s="6" t="s">
        <v>778</v>
      </c>
      <c r="C233" s="6" t="s">
        <v>23</v>
      </c>
      <c r="D233" s="6" t="s">
        <v>779</v>
      </c>
      <c r="E233" s="6" t="s">
        <v>252</v>
      </c>
      <c r="F233" s="6" t="s">
        <v>40</v>
      </c>
      <c r="G233" s="7">
        <v>0.2</v>
      </c>
      <c r="H233" s="6" t="s">
        <v>780</v>
      </c>
      <c r="I233" s="6" t="s">
        <v>45</v>
      </c>
      <c r="J233" s="6">
        <v>2025.0</v>
      </c>
      <c r="L233" s="6">
        <v>1.0</v>
      </c>
      <c r="M233" s="8">
        <f t="shared" si="1"/>
        <v>0.2</v>
      </c>
      <c r="P233" s="9"/>
    </row>
    <row r="234">
      <c r="A234" s="6" t="s">
        <v>776</v>
      </c>
      <c r="B234" s="6" t="s">
        <v>778</v>
      </c>
      <c r="C234" s="6" t="s">
        <v>23</v>
      </c>
      <c r="D234" s="6" t="s">
        <v>779</v>
      </c>
      <c r="E234" s="6" t="s">
        <v>252</v>
      </c>
      <c r="F234" s="6" t="s">
        <v>40</v>
      </c>
      <c r="G234" s="7">
        <v>0.05</v>
      </c>
      <c r="H234" s="6" t="s">
        <v>780</v>
      </c>
      <c r="I234" s="6" t="s">
        <v>20</v>
      </c>
      <c r="J234" s="6">
        <v>2025.0</v>
      </c>
      <c r="L234" s="6">
        <v>3.0</v>
      </c>
      <c r="M234" s="8">
        <f t="shared" si="1"/>
        <v>0.15</v>
      </c>
      <c r="P234" s="9"/>
    </row>
    <row r="235">
      <c r="A235" s="6" t="s">
        <v>776</v>
      </c>
      <c r="B235" s="6" t="s">
        <v>146</v>
      </c>
      <c r="C235" s="6" t="s">
        <v>43</v>
      </c>
      <c r="D235" s="6" t="s">
        <v>777</v>
      </c>
      <c r="E235" s="6" t="s">
        <v>57</v>
      </c>
      <c r="F235" s="6" t="s">
        <v>40</v>
      </c>
      <c r="G235" s="7">
        <v>0.04</v>
      </c>
      <c r="H235" s="6" t="s">
        <v>88</v>
      </c>
      <c r="I235" s="6" t="s">
        <v>20</v>
      </c>
      <c r="J235" s="6">
        <v>2024.0</v>
      </c>
      <c r="L235" s="6">
        <v>1.0</v>
      </c>
      <c r="M235" s="8">
        <f t="shared" si="1"/>
        <v>0.04</v>
      </c>
      <c r="P235" s="9"/>
    </row>
    <row r="236">
      <c r="A236" s="6" t="s">
        <v>781</v>
      </c>
      <c r="B236" s="6" t="s">
        <v>162</v>
      </c>
      <c r="C236" s="6" t="s">
        <v>37</v>
      </c>
      <c r="D236" s="6" t="s">
        <v>782</v>
      </c>
      <c r="E236" s="6" t="s">
        <v>76</v>
      </c>
      <c r="F236" s="6" t="s">
        <v>77</v>
      </c>
      <c r="G236" s="7">
        <v>0.05</v>
      </c>
      <c r="H236" s="6" t="s">
        <v>431</v>
      </c>
      <c r="I236" s="6" t="s">
        <v>20</v>
      </c>
      <c r="J236" s="6">
        <v>2019.0</v>
      </c>
      <c r="L236" s="6">
        <v>1.0</v>
      </c>
      <c r="M236" s="8">
        <f t="shared" si="1"/>
        <v>0.05</v>
      </c>
      <c r="P236" s="9"/>
    </row>
    <row r="237">
      <c r="A237" s="6" t="s">
        <v>783</v>
      </c>
      <c r="B237" s="6" t="s">
        <v>755</v>
      </c>
      <c r="C237" s="6" t="s">
        <v>43</v>
      </c>
      <c r="D237" s="6" t="s">
        <v>784</v>
      </c>
      <c r="E237" s="6" t="s">
        <v>256</v>
      </c>
      <c r="F237" s="6" t="s">
        <v>87</v>
      </c>
      <c r="G237" s="7">
        <v>0.05</v>
      </c>
      <c r="H237" s="6" t="s">
        <v>187</v>
      </c>
      <c r="I237" s="6" t="s">
        <v>20</v>
      </c>
      <c r="J237" s="6">
        <v>1995.0</v>
      </c>
      <c r="K237" s="10">
        <v>46054.0</v>
      </c>
      <c r="L237" s="6">
        <v>3.0</v>
      </c>
      <c r="M237" s="8">
        <f t="shared" si="1"/>
        <v>0.15</v>
      </c>
      <c r="P237" s="9"/>
    </row>
    <row r="238">
      <c r="A238" s="6" t="s">
        <v>785</v>
      </c>
      <c r="B238" s="6" t="s">
        <v>396</v>
      </c>
      <c r="C238" s="6" t="s">
        <v>43</v>
      </c>
      <c r="D238" s="6" t="s">
        <v>786</v>
      </c>
      <c r="E238" s="6" t="s">
        <v>86</v>
      </c>
      <c r="F238" s="6" t="s">
        <v>87</v>
      </c>
      <c r="G238" s="7">
        <v>0.49</v>
      </c>
      <c r="H238" s="6" t="s">
        <v>787</v>
      </c>
      <c r="I238" s="6" t="s">
        <v>45</v>
      </c>
      <c r="J238" s="6">
        <v>2023.0</v>
      </c>
      <c r="L238" s="6">
        <v>1.0</v>
      </c>
      <c r="M238" s="8">
        <f t="shared" si="1"/>
        <v>0.49</v>
      </c>
      <c r="P238" s="9"/>
    </row>
    <row r="239">
      <c r="A239" s="6" t="s">
        <v>785</v>
      </c>
      <c r="B239" s="6" t="s">
        <v>396</v>
      </c>
      <c r="C239" s="6" t="s">
        <v>43</v>
      </c>
      <c r="D239" s="6" t="s">
        <v>786</v>
      </c>
      <c r="E239" s="6" t="s">
        <v>86</v>
      </c>
      <c r="F239" s="6" t="s">
        <v>87</v>
      </c>
      <c r="G239" s="7">
        <v>0.09</v>
      </c>
      <c r="H239" s="6" t="s">
        <v>787</v>
      </c>
      <c r="I239" s="6" t="s">
        <v>20</v>
      </c>
      <c r="J239" s="6">
        <v>2023.0</v>
      </c>
      <c r="L239" s="6">
        <v>3.0</v>
      </c>
      <c r="M239" s="8">
        <f t="shared" si="1"/>
        <v>0.27</v>
      </c>
      <c r="P239" s="9"/>
    </row>
    <row r="240">
      <c r="A240" s="6" t="s">
        <v>788</v>
      </c>
      <c r="B240" s="6" t="s">
        <v>789</v>
      </c>
      <c r="C240" s="6" t="s">
        <v>377</v>
      </c>
      <c r="D240" s="6" t="s">
        <v>790</v>
      </c>
      <c r="E240" s="6" t="s">
        <v>76</v>
      </c>
      <c r="F240" s="6" t="s">
        <v>77</v>
      </c>
      <c r="G240" s="7">
        <v>0.1</v>
      </c>
      <c r="H240" s="6" t="s">
        <v>471</v>
      </c>
      <c r="I240" s="6" t="s">
        <v>20</v>
      </c>
      <c r="J240" s="6">
        <v>2026.0</v>
      </c>
      <c r="L240" s="6">
        <v>3.0</v>
      </c>
      <c r="M240" s="8">
        <f t="shared" si="1"/>
        <v>0.3</v>
      </c>
      <c r="P240" s="9"/>
    </row>
    <row r="241">
      <c r="A241" s="6" t="s">
        <v>791</v>
      </c>
      <c r="B241" s="6" t="s">
        <v>192</v>
      </c>
      <c r="C241" s="6" t="s">
        <v>43</v>
      </c>
      <c r="D241" s="6" t="s">
        <v>792</v>
      </c>
      <c r="E241" s="6" t="s">
        <v>215</v>
      </c>
      <c r="F241" s="6" t="s">
        <v>26</v>
      </c>
      <c r="G241" s="7">
        <v>0.12</v>
      </c>
      <c r="H241" s="6" t="s">
        <v>187</v>
      </c>
      <c r="I241" s="6" t="s">
        <v>20</v>
      </c>
      <c r="J241" s="6">
        <v>1995.0</v>
      </c>
      <c r="L241" s="6">
        <v>4.0</v>
      </c>
      <c r="M241" s="8">
        <f t="shared" si="1"/>
        <v>0.48</v>
      </c>
      <c r="P241" s="9"/>
    </row>
    <row r="242">
      <c r="A242" s="6" t="s">
        <v>793</v>
      </c>
      <c r="B242" s="6" t="s">
        <v>219</v>
      </c>
      <c r="C242" s="6" t="s">
        <v>43</v>
      </c>
      <c r="D242" s="6" t="s">
        <v>794</v>
      </c>
      <c r="E242" s="6" t="s">
        <v>215</v>
      </c>
      <c r="F242" s="6" t="s">
        <v>26</v>
      </c>
      <c r="G242" s="7">
        <v>0.2</v>
      </c>
      <c r="H242" s="6" t="s">
        <v>259</v>
      </c>
      <c r="I242" s="6" t="s">
        <v>20</v>
      </c>
      <c r="J242" s="6">
        <v>1996.0</v>
      </c>
      <c r="L242" s="6">
        <v>1.0</v>
      </c>
      <c r="M242" s="8">
        <f t="shared" si="1"/>
        <v>0.2</v>
      </c>
      <c r="P242" s="9"/>
    </row>
    <row r="243">
      <c r="A243" s="6" t="s">
        <v>795</v>
      </c>
      <c r="B243" s="6" t="s">
        <v>657</v>
      </c>
      <c r="C243" s="6" t="s">
        <v>23</v>
      </c>
      <c r="D243" s="6" t="s">
        <v>796</v>
      </c>
      <c r="E243" s="6" t="s">
        <v>457</v>
      </c>
      <c r="F243" s="6" t="s">
        <v>112</v>
      </c>
      <c r="G243" s="7">
        <v>0.1</v>
      </c>
      <c r="H243" s="6" t="s">
        <v>153</v>
      </c>
      <c r="I243" s="6" t="s">
        <v>20</v>
      </c>
      <c r="J243" s="6">
        <v>2025.0</v>
      </c>
      <c r="L243" s="6">
        <v>10.0</v>
      </c>
      <c r="M243" s="8">
        <f t="shared" si="1"/>
        <v>1</v>
      </c>
      <c r="P243" s="9"/>
    </row>
    <row r="244">
      <c r="A244" s="6" t="s">
        <v>797</v>
      </c>
      <c r="B244" s="6" t="s">
        <v>789</v>
      </c>
      <c r="C244" s="6" t="s">
        <v>418</v>
      </c>
      <c r="D244" s="6" t="s">
        <v>798</v>
      </c>
      <c r="E244" s="6" t="s">
        <v>135</v>
      </c>
      <c r="F244" s="6" t="s">
        <v>40</v>
      </c>
      <c r="G244" s="7">
        <v>0.4</v>
      </c>
      <c r="H244" s="6" t="s">
        <v>471</v>
      </c>
      <c r="I244" s="6" t="s">
        <v>45</v>
      </c>
      <c r="J244" s="6">
        <v>2026.0</v>
      </c>
      <c r="L244" s="6">
        <v>1.0</v>
      </c>
      <c r="M244" s="8">
        <f t="shared" si="1"/>
        <v>0.4</v>
      </c>
      <c r="P244" s="9"/>
    </row>
    <row r="245">
      <c r="A245" s="6" t="s">
        <v>799</v>
      </c>
      <c r="B245" s="6" t="s">
        <v>800</v>
      </c>
      <c r="C245" s="6" t="s">
        <v>15</v>
      </c>
      <c r="D245" s="6" t="s">
        <v>801</v>
      </c>
      <c r="E245" s="6" t="s">
        <v>263</v>
      </c>
      <c r="F245" s="6" t="s">
        <v>77</v>
      </c>
      <c r="G245" s="7">
        <v>0.2</v>
      </c>
      <c r="H245" s="6" t="s">
        <v>27</v>
      </c>
      <c r="I245" s="6" t="s">
        <v>20</v>
      </c>
      <c r="J245" s="6">
        <v>2026.0</v>
      </c>
      <c r="K245" s="10">
        <v>46055.0</v>
      </c>
      <c r="L245" s="6">
        <v>1.0</v>
      </c>
      <c r="M245" s="8">
        <f t="shared" si="1"/>
        <v>0.2</v>
      </c>
      <c r="P245" s="9"/>
    </row>
    <row r="246">
      <c r="A246" s="6" t="s">
        <v>802</v>
      </c>
      <c r="B246" s="6" t="s">
        <v>170</v>
      </c>
      <c r="C246" s="6" t="s">
        <v>156</v>
      </c>
      <c r="D246" s="6" t="s">
        <v>803</v>
      </c>
      <c r="E246" s="6" t="s">
        <v>172</v>
      </c>
      <c r="F246" s="6" t="s">
        <v>26</v>
      </c>
      <c r="G246" s="7">
        <v>0.2</v>
      </c>
      <c r="H246" s="6" t="s">
        <v>153</v>
      </c>
      <c r="I246" s="6" t="s">
        <v>20</v>
      </c>
      <c r="J246" s="6">
        <v>2025.0</v>
      </c>
      <c r="L246" s="6">
        <v>3.0</v>
      </c>
      <c r="M246" s="8">
        <f t="shared" si="1"/>
        <v>0.6</v>
      </c>
      <c r="P246" s="9"/>
    </row>
    <row r="247">
      <c r="A247" s="6" t="s">
        <v>804</v>
      </c>
      <c r="B247" s="6" t="s">
        <v>805</v>
      </c>
      <c r="C247" s="6" t="s">
        <v>183</v>
      </c>
      <c r="D247" s="6" t="s">
        <v>806</v>
      </c>
      <c r="E247" s="6" t="s">
        <v>39</v>
      </c>
      <c r="F247" s="6" t="s">
        <v>40</v>
      </c>
      <c r="G247" s="7">
        <v>0.1</v>
      </c>
      <c r="H247" s="6" t="s">
        <v>324</v>
      </c>
      <c r="I247" s="6" t="s">
        <v>20</v>
      </c>
      <c r="J247" s="6">
        <v>1995.0</v>
      </c>
      <c r="K247" s="10">
        <v>46145.0</v>
      </c>
      <c r="L247" s="6">
        <v>2.0</v>
      </c>
      <c r="M247" s="8">
        <f t="shared" si="1"/>
        <v>0.2</v>
      </c>
      <c r="P247" s="9"/>
    </row>
    <row r="248">
      <c r="A248" s="6" t="s">
        <v>804</v>
      </c>
      <c r="B248" s="6" t="s">
        <v>805</v>
      </c>
      <c r="C248" s="6" t="s">
        <v>183</v>
      </c>
      <c r="D248" s="6" t="s">
        <v>806</v>
      </c>
      <c r="E248" s="6" t="s">
        <v>39</v>
      </c>
      <c r="F248" s="6" t="s">
        <v>40</v>
      </c>
      <c r="G248" s="7">
        <v>0.43</v>
      </c>
      <c r="H248" s="6" t="s">
        <v>316</v>
      </c>
      <c r="I248" s="6" t="s">
        <v>20</v>
      </c>
      <c r="J248" s="6">
        <v>1995.0</v>
      </c>
      <c r="K248" s="10">
        <v>46145.0</v>
      </c>
      <c r="L248" s="6">
        <v>1.0</v>
      </c>
      <c r="M248" s="8">
        <f t="shared" si="1"/>
        <v>0.43</v>
      </c>
      <c r="P248" s="9"/>
    </row>
    <row r="249">
      <c r="A249" s="6" t="s">
        <v>807</v>
      </c>
      <c r="B249" s="6" t="s">
        <v>808</v>
      </c>
      <c r="C249" s="6" t="s">
        <v>204</v>
      </c>
      <c r="D249" s="6" t="s">
        <v>809</v>
      </c>
      <c r="E249" s="6" t="s">
        <v>810</v>
      </c>
      <c r="F249" s="6" t="s">
        <v>77</v>
      </c>
      <c r="G249" s="7">
        <v>0.39</v>
      </c>
      <c r="H249" s="6" t="s">
        <v>464</v>
      </c>
      <c r="I249" s="6" t="s">
        <v>20</v>
      </c>
      <c r="J249" s="6">
        <v>2002.0</v>
      </c>
      <c r="L249" s="6">
        <v>1.0</v>
      </c>
      <c r="M249" s="8">
        <f t="shared" si="1"/>
        <v>0.39</v>
      </c>
      <c r="P249" s="9"/>
    </row>
    <row r="250">
      <c r="A250" s="6" t="s">
        <v>811</v>
      </c>
      <c r="B250" s="6" t="s">
        <v>812</v>
      </c>
      <c r="C250" s="6" t="s">
        <v>15</v>
      </c>
      <c r="D250" s="6" t="s">
        <v>813</v>
      </c>
      <c r="E250" s="6" t="s">
        <v>814</v>
      </c>
      <c r="F250" s="6" t="s">
        <v>87</v>
      </c>
      <c r="G250" s="7">
        <v>0.2</v>
      </c>
      <c r="H250" s="6" t="s">
        <v>153</v>
      </c>
      <c r="I250" s="6" t="s">
        <v>20</v>
      </c>
      <c r="J250" s="6">
        <v>2025.0</v>
      </c>
      <c r="K250" s="10">
        <v>46116.0</v>
      </c>
      <c r="L250" s="6">
        <v>2.0</v>
      </c>
      <c r="M250" s="8">
        <f t="shared" si="1"/>
        <v>0.4</v>
      </c>
      <c r="P250" s="9"/>
    </row>
    <row r="251">
      <c r="A251" s="6" t="s">
        <v>815</v>
      </c>
      <c r="B251" s="6" t="s">
        <v>816</v>
      </c>
      <c r="C251" s="6" t="s">
        <v>156</v>
      </c>
      <c r="D251" s="6" t="s">
        <v>817</v>
      </c>
      <c r="E251" s="6" t="s">
        <v>818</v>
      </c>
      <c r="F251" s="6" t="s">
        <v>112</v>
      </c>
      <c r="G251" s="7">
        <v>0.79</v>
      </c>
      <c r="H251" s="6" t="s">
        <v>153</v>
      </c>
      <c r="I251" s="6" t="s">
        <v>20</v>
      </c>
      <c r="J251" s="6">
        <v>2025.0</v>
      </c>
      <c r="K251" s="10">
        <v>46085.0</v>
      </c>
      <c r="L251" s="6">
        <v>1.0</v>
      </c>
      <c r="M251" s="8">
        <f t="shared" si="1"/>
        <v>0.79</v>
      </c>
      <c r="P251" s="9"/>
    </row>
    <row r="252">
      <c r="A252" s="6" t="s">
        <v>819</v>
      </c>
      <c r="B252" s="6" t="s">
        <v>820</v>
      </c>
      <c r="C252" s="6" t="s">
        <v>43</v>
      </c>
      <c r="D252" s="6" t="s">
        <v>821</v>
      </c>
      <c r="E252" s="6" t="s">
        <v>822</v>
      </c>
      <c r="F252" s="6" t="s">
        <v>77</v>
      </c>
      <c r="G252" s="7">
        <v>0.5</v>
      </c>
      <c r="H252" s="6" t="s">
        <v>194</v>
      </c>
      <c r="I252" s="6" t="s">
        <v>20</v>
      </c>
      <c r="J252" s="6">
        <v>1994.0</v>
      </c>
      <c r="K252" s="10">
        <v>46054.0</v>
      </c>
      <c r="L252" s="6">
        <v>1.0</v>
      </c>
      <c r="M252" s="8">
        <f t="shared" si="1"/>
        <v>0.5</v>
      </c>
      <c r="P252" s="9"/>
    </row>
    <row r="253">
      <c r="A253" s="6" t="s">
        <v>819</v>
      </c>
      <c r="B253" s="6" t="s">
        <v>820</v>
      </c>
      <c r="C253" s="6" t="s">
        <v>43</v>
      </c>
      <c r="D253" s="6" t="s">
        <v>821</v>
      </c>
      <c r="E253" s="6" t="s">
        <v>822</v>
      </c>
      <c r="F253" s="6" t="s">
        <v>77</v>
      </c>
      <c r="G253" s="7">
        <v>0.8</v>
      </c>
      <c r="H253" s="6" t="s">
        <v>194</v>
      </c>
      <c r="I253" s="6" t="s">
        <v>20</v>
      </c>
      <c r="J253" s="6">
        <v>1994.0</v>
      </c>
      <c r="K253" s="10">
        <v>46054.0</v>
      </c>
      <c r="L253" s="6">
        <v>1.0</v>
      </c>
      <c r="M253" s="8">
        <f t="shared" si="1"/>
        <v>0.8</v>
      </c>
      <c r="P253" s="9"/>
    </row>
    <row r="254">
      <c r="A254" s="6" t="s">
        <v>823</v>
      </c>
      <c r="B254" s="6" t="s">
        <v>477</v>
      </c>
      <c r="C254" s="6" t="s">
        <v>37</v>
      </c>
      <c r="D254" s="6" t="s">
        <v>824</v>
      </c>
      <c r="E254" s="6" t="s">
        <v>825</v>
      </c>
      <c r="F254" s="6" t="s">
        <v>112</v>
      </c>
      <c r="G254" s="7">
        <v>0.2</v>
      </c>
      <c r="H254" s="6" t="s">
        <v>249</v>
      </c>
      <c r="I254" s="6" t="s">
        <v>20</v>
      </c>
      <c r="J254" s="6">
        <v>2014.0</v>
      </c>
      <c r="K254" s="10">
        <v>46024.0</v>
      </c>
      <c r="L254" s="6">
        <v>1.0</v>
      </c>
      <c r="M254" s="8">
        <f t="shared" si="1"/>
        <v>0.2</v>
      </c>
      <c r="P254" s="9"/>
    </row>
    <row r="255">
      <c r="A255" s="6" t="s">
        <v>826</v>
      </c>
      <c r="B255" s="6" t="s">
        <v>192</v>
      </c>
      <c r="C255" s="6" t="s">
        <v>418</v>
      </c>
      <c r="D255" s="6" t="s">
        <v>827</v>
      </c>
      <c r="E255" s="6" t="s">
        <v>25</v>
      </c>
      <c r="F255" s="6" t="s">
        <v>26</v>
      </c>
      <c r="G255" s="7">
        <v>0.1</v>
      </c>
      <c r="H255" s="6" t="s">
        <v>313</v>
      </c>
      <c r="I255" s="6" t="s">
        <v>20</v>
      </c>
      <c r="J255" s="6">
        <v>1995.0</v>
      </c>
      <c r="L255" s="6">
        <v>1.0</v>
      </c>
      <c r="M255" s="8">
        <f t="shared" si="1"/>
        <v>0.1</v>
      </c>
      <c r="P255" s="9"/>
    </row>
    <row r="256">
      <c r="A256" s="6" t="s">
        <v>828</v>
      </c>
      <c r="B256" s="6" t="s">
        <v>829</v>
      </c>
      <c r="C256" s="6" t="s">
        <v>23</v>
      </c>
      <c r="D256" s="6" t="s">
        <v>830</v>
      </c>
      <c r="E256" s="6" t="s">
        <v>25</v>
      </c>
      <c r="F256" s="6" t="s">
        <v>26</v>
      </c>
      <c r="G256" s="7">
        <v>0.05</v>
      </c>
      <c r="H256" s="6" t="s">
        <v>313</v>
      </c>
      <c r="I256" s="6" t="s">
        <v>20</v>
      </c>
      <c r="J256" s="6">
        <v>1995.0</v>
      </c>
      <c r="K256" s="10">
        <v>46023.0</v>
      </c>
      <c r="L256" s="6">
        <v>3.0</v>
      </c>
      <c r="M256" s="8">
        <f t="shared" si="1"/>
        <v>0.15</v>
      </c>
      <c r="P256" s="9"/>
    </row>
    <row r="257">
      <c r="A257" s="6" t="s">
        <v>831</v>
      </c>
      <c r="B257" s="6" t="s">
        <v>606</v>
      </c>
      <c r="C257" s="6" t="s">
        <v>15</v>
      </c>
      <c r="D257" s="6" t="s">
        <v>832</v>
      </c>
      <c r="E257" s="6" t="s">
        <v>117</v>
      </c>
      <c r="F257" s="6" t="s">
        <v>77</v>
      </c>
      <c r="G257" s="7">
        <v>3.8</v>
      </c>
      <c r="H257" s="6" t="s">
        <v>153</v>
      </c>
      <c r="I257" s="6" t="s">
        <v>20</v>
      </c>
      <c r="J257" s="6">
        <v>2025.0</v>
      </c>
      <c r="L257" s="6">
        <v>1.0</v>
      </c>
      <c r="M257" s="8">
        <f t="shared" si="1"/>
        <v>3.8</v>
      </c>
      <c r="P257" s="9"/>
    </row>
    <row r="258">
      <c r="A258" s="6" t="s">
        <v>833</v>
      </c>
      <c r="B258" s="6" t="s">
        <v>292</v>
      </c>
      <c r="C258" s="6" t="s">
        <v>204</v>
      </c>
      <c r="D258" s="6" t="s">
        <v>834</v>
      </c>
      <c r="E258" s="6" t="s">
        <v>57</v>
      </c>
      <c r="F258" s="6" t="s">
        <v>40</v>
      </c>
      <c r="G258" s="7">
        <v>0.05</v>
      </c>
      <c r="H258" s="6" t="s">
        <v>187</v>
      </c>
      <c r="I258" s="6" t="s">
        <v>20</v>
      </c>
      <c r="J258" s="6">
        <v>1995.0</v>
      </c>
      <c r="L258" s="6">
        <v>1.0</v>
      </c>
      <c r="M258" s="8">
        <f t="shared" si="1"/>
        <v>0.05</v>
      </c>
      <c r="P258" s="9"/>
    </row>
    <row r="259">
      <c r="A259" s="6" t="s">
        <v>835</v>
      </c>
      <c r="B259" s="6" t="s">
        <v>836</v>
      </c>
      <c r="C259" s="6" t="s">
        <v>37</v>
      </c>
      <c r="D259" s="6" t="s">
        <v>837</v>
      </c>
      <c r="E259" s="6" t="s">
        <v>86</v>
      </c>
      <c r="F259" s="6" t="s">
        <v>87</v>
      </c>
      <c r="G259" s="7">
        <v>1.16</v>
      </c>
      <c r="H259" s="6" t="s">
        <v>838</v>
      </c>
      <c r="I259" s="6" t="s">
        <v>20</v>
      </c>
      <c r="J259" s="6">
        <v>2021.0</v>
      </c>
      <c r="K259" s="10">
        <v>46055.0</v>
      </c>
      <c r="L259" s="6">
        <v>4.0</v>
      </c>
      <c r="M259" s="8">
        <f t="shared" si="1"/>
        <v>4.64</v>
      </c>
      <c r="P259" s="9"/>
    </row>
    <row r="260">
      <c r="A260" s="6" t="s">
        <v>839</v>
      </c>
      <c r="B260" s="6" t="s">
        <v>138</v>
      </c>
      <c r="C260" s="6" t="s">
        <v>43</v>
      </c>
      <c r="D260" s="6" t="s">
        <v>840</v>
      </c>
      <c r="E260" s="6" t="s">
        <v>256</v>
      </c>
      <c r="F260" s="6" t="s">
        <v>87</v>
      </c>
      <c r="G260" s="7">
        <v>0.05</v>
      </c>
      <c r="H260" s="6" t="s">
        <v>187</v>
      </c>
      <c r="I260" s="6" t="s">
        <v>20</v>
      </c>
      <c r="J260" s="6">
        <v>1995.0</v>
      </c>
      <c r="L260" s="6">
        <v>2.0</v>
      </c>
      <c r="M260" s="8">
        <f t="shared" si="1"/>
        <v>0.1</v>
      </c>
      <c r="P260" s="9"/>
    </row>
    <row r="261">
      <c r="A261" s="6" t="s">
        <v>841</v>
      </c>
      <c r="B261" s="6" t="s">
        <v>606</v>
      </c>
      <c r="C261" s="6" t="s">
        <v>15</v>
      </c>
      <c r="D261" s="6" t="s">
        <v>842</v>
      </c>
      <c r="E261" s="6" t="s">
        <v>152</v>
      </c>
      <c r="F261" s="6" t="s">
        <v>40</v>
      </c>
      <c r="G261" s="7">
        <v>0.25</v>
      </c>
      <c r="H261" s="6" t="s">
        <v>153</v>
      </c>
      <c r="I261" s="6" t="s">
        <v>20</v>
      </c>
      <c r="J261" s="6">
        <v>2025.0</v>
      </c>
      <c r="L261" s="6">
        <v>1.0</v>
      </c>
      <c r="M261" s="8">
        <f t="shared" si="1"/>
        <v>0.25</v>
      </c>
      <c r="P261" s="9"/>
    </row>
    <row r="262">
      <c r="A262" s="6" t="s">
        <v>843</v>
      </c>
      <c r="B262" s="6" t="s">
        <v>146</v>
      </c>
      <c r="C262" s="6" t="s">
        <v>43</v>
      </c>
      <c r="D262" s="6" t="s">
        <v>844</v>
      </c>
      <c r="E262" s="6" t="s">
        <v>389</v>
      </c>
      <c r="F262" s="6" t="s">
        <v>87</v>
      </c>
      <c r="G262" s="7">
        <v>0.04</v>
      </c>
      <c r="H262" s="6" t="s">
        <v>121</v>
      </c>
      <c r="I262" s="6" t="s">
        <v>20</v>
      </c>
      <c r="J262" s="6">
        <v>2021.0</v>
      </c>
      <c r="L262" s="6">
        <v>1.0</v>
      </c>
      <c r="M262" s="8">
        <f t="shared" si="1"/>
        <v>0.04</v>
      </c>
      <c r="P262" s="9"/>
    </row>
    <row r="263">
      <c r="A263" s="6" t="s">
        <v>845</v>
      </c>
      <c r="B263" s="6" t="s">
        <v>74</v>
      </c>
      <c r="C263" s="6" t="s">
        <v>43</v>
      </c>
      <c r="D263" s="6" t="s">
        <v>846</v>
      </c>
      <c r="E263" s="6" t="s">
        <v>76</v>
      </c>
      <c r="F263" s="6" t="s">
        <v>77</v>
      </c>
      <c r="G263" s="7">
        <v>0.1</v>
      </c>
      <c r="H263" s="6" t="s">
        <v>99</v>
      </c>
      <c r="I263" s="6" t="s">
        <v>20</v>
      </c>
      <c r="J263" s="6">
        <v>2022.0</v>
      </c>
      <c r="L263" s="6">
        <v>1.0</v>
      </c>
      <c r="M263" s="8">
        <f t="shared" si="1"/>
        <v>0.1</v>
      </c>
      <c r="P263" s="9"/>
    </row>
    <row r="264">
      <c r="A264" s="6" t="s">
        <v>847</v>
      </c>
      <c r="B264" s="6" t="s">
        <v>74</v>
      </c>
      <c r="C264" s="6" t="s">
        <v>43</v>
      </c>
      <c r="D264" s="6" t="s">
        <v>848</v>
      </c>
      <c r="E264" s="6" t="s">
        <v>135</v>
      </c>
      <c r="F264" s="6" t="s">
        <v>40</v>
      </c>
      <c r="G264" s="7">
        <v>0.05</v>
      </c>
      <c r="H264" s="6" t="s">
        <v>290</v>
      </c>
      <c r="I264" s="6" t="s">
        <v>20</v>
      </c>
      <c r="J264" s="6">
        <v>2019.0</v>
      </c>
      <c r="L264" s="6">
        <v>2.0</v>
      </c>
      <c r="M264" s="8">
        <f t="shared" si="1"/>
        <v>0.1</v>
      </c>
      <c r="P264" s="9"/>
    </row>
    <row r="265">
      <c r="A265" s="6" t="s">
        <v>849</v>
      </c>
      <c r="B265" s="6" t="s">
        <v>850</v>
      </c>
      <c r="C265" s="6" t="s">
        <v>156</v>
      </c>
      <c r="D265" s="6" t="s">
        <v>851</v>
      </c>
      <c r="E265" s="6" t="s">
        <v>852</v>
      </c>
      <c r="F265" s="6" t="s">
        <v>18</v>
      </c>
      <c r="G265" s="7">
        <v>0.25</v>
      </c>
      <c r="H265" s="6" t="s">
        <v>342</v>
      </c>
      <c r="I265" s="6" t="s">
        <v>20</v>
      </c>
      <c r="J265" s="6">
        <v>2014.0</v>
      </c>
      <c r="K265" s="10">
        <v>46024.0</v>
      </c>
      <c r="L265" s="6">
        <v>2.0</v>
      </c>
      <c r="M265" s="8">
        <f t="shared" si="1"/>
        <v>0.5</v>
      </c>
      <c r="P265" s="9"/>
    </row>
    <row r="266">
      <c r="A266" s="6" t="s">
        <v>853</v>
      </c>
      <c r="B266" s="6" t="s">
        <v>854</v>
      </c>
      <c r="C266" s="6" t="s">
        <v>43</v>
      </c>
      <c r="D266" s="6" t="s">
        <v>855</v>
      </c>
      <c r="E266" s="6" t="s">
        <v>654</v>
      </c>
      <c r="F266" s="6" t="s">
        <v>18</v>
      </c>
      <c r="G266" s="7">
        <v>0.1</v>
      </c>
      <c r="H266" s="6" t="s">
        <v>266</v>
      </c>
      <c r="I266" s="6" t="s">
        <v>20</v>
      </c>
      <c r="J266" s="6">
        <v>2025.0</v>
      </c>
      <c r="K266" s="10">
        <v>46084.0</v>
      </c>
      <c r="L266" s="6">
        <v>1.0</v>
      </c>
      <c r="M266" s="8">
        <f t="shared" si="1"/>
        <v>0.1</v>
      </c>
      <c r="P266" s="9"/>
    </row>
    <row r="267">
      <c r="A267" s="6" t="s">
        <v>856</v>
      </c>
      <c r="B267" s="6" t="s">
        <v>857</v>
      </c>
      <c r="C267" s="6" t="s">
        <v>37</v>
      </c>
      <c r="D267" s="6" t="s">
        <v>858</v>
      </c>
      <c r="E267" s="6" t="s">
        <v>859</v>
      </c>
      <c r="F267" s="6" t="s">
        <v>50</v>
      </c>
      <c r="G267" s="7">
        <v>0.12</v>
      </c>
      <c r="H267" s="6" t="s">
        <v>136</v>
      </c>
      <c r="I267" s="6" t="s">
        <v>20</v>
      </c>
      <c r="J267" s="6">
        <v>2026.0</v>
      </c>
      <c r="K267" s="10">
        <v>46084.0</v>
      </c>
      <c r="L267" s="6">
        <v>2.0</v>
      </c>
      <c r="M267" s="8">
        <f t="shared" si="1"/>
        <v>0.24</v>
      </c>
      <c r="P267" s="9"/>
    </row>
    <row r="268">
      <c r="A268" s="6" t="s">
        <v>860</v>
      </c>
      <c r="B268" s="6" t="s">
        <v>861</v>
      </c>
      <c r="C268" s="6" t="s">
        <v>37</v>
      </c>
      <c r="D268" s="6" t="s">
        <v>862</v>
      </c>
      <c r="E268" s="6" t="s">
        <v>863</v>
      </c>
      <c r="F268" s="6" t="s">
        <v>112</v>
      </c>
      <c r="G268" s="7">
        <v>0.59</v>
      </c>
      <c r="H268" s="6" t="s">
        <v>104</v>
      </c>
      <c r="I268" s="6" t="s">
        <v>20</v>
      </c>
      <c r="J268" s="6">
        <v>2019.0</v>
      </c>
      <c r="K268" s="6" t="s">
        <v>66</v>
      </c>
      <c r="L268" s="6">
        <v>1.0</v>
      </c>
      <c r="M268" s="8">
        <f t="shared" si="1"/>
        <v>0.59</v>
      </c>
      <c r="P268" s="9"/>
    </row>
    <row r="269">
      <c r="A269" s="6" t="s">
        <v>864</v>
      </c>
      <c r="B269" s="6" t="s">
        <v>192</v>
      </c>
      <c r="C269" s="6" t="s">
        <v>377</v>
      </c>
      <c r="D269" s="6" t="s">
        <v>865</v>
      </c>
      <c r="E269" s="6" t="s">
        <v>215</v>
      </c>
      <c r="F269" s="6" t="s">
        <v>312</v>
      </c>
      <c r="G269" s="7">
        <v>0.15</v>
      </c>
      <c r="H269" s="6" t="s">
        <v>475</v>
      </c>
      <c r="I269" s="6" t="s">
        <v>45</v>
      </c>
      <c r="J269" s="6">
        <v>2024.0</v>
      </c>
      <c r="L269" s="6">
        <v>1.0</v>
      </c>
      <c r="M269" s="8">
        <f t="shared" si="1"/>
        <v>0.15</v>
      </c>
      <c r="P269" s="9"/>
    </row>
    <row r="270">
      <c r="A270" s="6" t="s">
        <v>866</v>
      </c>
      <c r="B270" s="6" t="s">
        <v>545</v>
      </c>
      <c r="C270" s="6" t="s">
        <v>43</v>
      </c>
      <c r="D270" s="6" t="s">
        <v>867</v>
      </c>
      <c r="E270" s="6" t="s">
        <v>135</v>
      </c>
      <c r="F270" s="6" t="s">
        <v>40</v>
      </c>
      <c r="G270" s="7">
        <v>0.02</v>
      </c>
      <c r="H270" s="6" t="s">
        <v>502</v>
      </c>
      <c r="I270" s="6" t="s">
        <v>20</v>
      </c>
      <c r="J270" s="6">
        <v>2025.0</v>
      </c>
      <c r="K270" s="10">
        <v>46024.0</v>
      </c>
      <c r="L270" s="6">
        <v>1.0</v>
      </c>
      <c r="M270" s="8">
        <f t="shared" si="1"/>
        <v>0.02</v>
      </c>
      <c r="P270" s="9"/>
    </row>
    <row r="271">
      <c r="A271" s="6" t="s">
        <v>868</v>
      </c>
      <c r="B271" s="6" t="s">
        <v>869</v>
      </c>
      <c r="C271" s="6" t="s">
        <v>43</v>
      </c>
      <c r="D271" s="6" t="s">
        <v>870</v>
      </c>
      <c r="E271" s="6" t="s">
        <v>329</v>
      </c>
      <c r="F271" s="6" t="s">
        <v>112</v>
      </c>
      <c r="G271" s="7">
        <v>0.05</v>
      </c>
      <c r="H271" s="6" t="s">
        <v>297</v>
      </c>
      <c r="I271" s="6" t="s">
        <v>20</v>
      </c>
      <c r="J271" s="6">
        <v>2022.0</v>
      </c>
      <c r="K271" s="10">
        <v>46056.0</v>
      </c>
      <c r="L271" s="6">
        <v>1.0</v>
      </c>
      <c r="M271" s="8">
        <f t="shared" si="1"/>
        <v>0.05</v>
      </c>
      <c r="P271" s="9"/>
    </row>
    <row r="272">
      <c r="A272" s="6" t="s">
        <v>871</v>
      </c>
      <c r="B272" s="6" t="s">
        <v>872</v>
      </c>
      <c r="C272" s="6" t="s">
        <v>156</v>
      </c>
      <c r="D272" s="6" t="s">
        <v>873</v>
      </c>
      <c r="E272" s="6" t="s">
        <v>874</v>
      </c>
      <c r="F272" s="6" t="s">
        <v>87</v>
      </c>
      <c r="G272" s="7">
        <v>0.25</v>
      </c>
      <c r="H272" s="6" t="s">
        <v>342</v>
      </c>
      <c r="I272" s="6" t="s">
        <v>20</v>
      </c>
      <c r="J272" s="6">
        <v>2014.0</v>
      </c>
      <c r="K272" s="10">
        <v>46305.0</v>
      </c>
      <c r="L272" s="6">
        <v>1.0</v>
      </c>
      <c r="M272" s="8">
        <f t="shared" si="1"/>
        <v>0.25</v>
      </c>
      <c r="P272" s="9"/>
    </row>
    <row r="273">
      <c r="A273" s="6" t="s">
        <v>875</v>
      </c>
      <c r="B273" s="6" t="s">
        <v>876</v>
      </c>
      <c r="C273" s="6" t="s">
        <v>43</v>
      </c>
      <c r="D273" s="6" t="s">
        <v>877</v>
      </c>
      <c r="E273" s="6" t="s">
        <v>329</v>
      </c>
      <c r="F273" s="6" t="s">
        <v>112</v>
      </c>
      <c r="G273" s="7">
        <v>0.09</v>
      </c>
      <c r="H273" s="6" t="s">
        <v>88</v>
      </c>
      <c r="I273" s="6" t="s">
        <v>20</v>
      </c>
      <c r="J273" s="6">
        <v>2024.0</v>
      </c>
      <c r="K273" s="10">
        <v>46084.0</v>
      </c>
      <c r="L273" s="6">
        <v>1.0</v>
      </c>
      <c r="M273" s="8">
        <f t="shared" si="1"/>
        <v>0.09</v>
      </c>
      <c r="P273" s="9"/>
    </row>
    <row r="274">
      <c r="A274" s="6" t="s">
        <v>878</v>
      </c>
      <c r="B274" s="6" t="s">
        <v>462</v>
      </c>
      <c r="C274" s="6" t="s">
        <v>37</v>
      </c>
      <c r="D274" s="6" t="s">
        <v>879</v>
      </c>
      <c r="E274" s="6" t="s">
        <v>880</v>
      </c>
      <c r="F274" s="6" t="s">
        <v>636</v>
      </c>
      <c r="G274" s="7">
        <v>0.09</v>
      </c>
      <c r="H274" s="6" t="s">
        <v>475</v>
      </c>
      <c r="I274" s="6" t="s">
        <v>20</v>
      </c>
      <c r="J274" s="6">
        <v>2024.0</v>
      </c>
      <c r="L274" s="6">
        <v>1.0</v>
      </c>
      <c r="M274" s="8">
        <f t="shared" si="1"/>
        <v>0.09</v>
      </c>
      <c r="P274" s="9"/>
    </row>
    <row r="275">
      <c r="A275" s="6" t="s">
        <v>881</v>
      </c>
      <c r="B275" s="6" t="s">
        <v>882</v>
      </c>
      <c r="C275" s="6" t="s">
        <v>43</v>
      </c>
      <c r="D275" s="6" t="s">
        <v>883</v>
      </c>
      <c r="E275" s="6" t="s">
        <v>164</v>
      </c>
      <c r="F275" s="6" t="s">
        <v>112</v>
      </c>
      <c r="G275" s="7">
        <v>0.05</v>
      </c>
      <c r="H275" s="6" t="s">
        <v>228</v>
      </c>
      <c r="I275" s="6" t="s">
        <v>20</v>
      </c>
      <c r="J275" s="6">
        <v>2025.0</v>
      </c>
      <c r="K275" s="10">
        <v>46055.0</v>
      </c>
      <c r="L275" s="6">
        <v>1.0</v>
      </c>
      <c r="M275" s="8">
        <f t="shared" si="1"/>
        <v>0.05</v>
      </c>
      <c r="P275" s="9"/>
    </row>
    <row r="276">
      <c r="A276" s="6" t="s">
        <v>884</v>
      </c>
      <c r="B276" s="6" t="s">
        <v>885</v>
      </c>
      <c r="C276" s="6" t="s">
        <v>30</v>
      </c>
      <c r="D276" s="6" t="s">
        <v>886</v>
      </c>
      <c r="E276" s="6" t="s">
        <v>887</v>
      </c>
      <c r="F276" s="6" t="s">
        <v>159</v>
      </c>
      <c r="G276" s="7">
        <v>1.13</v>
      </c>
      <c r="H276" s="6" t="s">
        <v>136</v>
      </c>
      <c r="I276" s="6" t="s">
        <v>20</v>
      </c>
      <c r="J276" s="6">
        <v>2026.0</v>
      </c>
      <c r="K276" s="10">
        <v>46149.0</v>
      </c>
      <c r="L276" s="6">
        <v>1.0</v>
      </c>
      <c r="M276" s="8">
        <f t="shared" si="1"/>
        <v>1.13</v>
      </c>
      <c r="P276" s="9"/>
    </row>
    <row r="277">
      <c r="A277" s="6" t="s">
        <v>888</v>
      </c>
      <c r="B277" s="6" t="s">
        <v>889</v>
      </c>
      <c r="C277" s="6" t="s">
        <v>43</v>
      </c>
      <c r="D277" s="6" t="s">
        <v>890</v>
      </c>
      <c r="E277" s="6" t="s">
        <v>891</v>
      </c>
      <c r="F277" s="6" t="s">
        <v>77</v>
      </c>
      <c r="G277" s="7">
        <v>0.04</v>
      </c>
      <c r="H277" s="6" t="s">
        <v>136</v>
      </c>
      <c r="I277" s="6" t="s">
        <v>20</v>
      </c>
      <c r="J277" s="6">
        <v>2026.0</v>
      </c>
      <c r="K277" s="10">
        <v>46117.0</v>
      </c>
      <c r="L277" s="6">
        <v>3.0</v>
      </c>
      <c r="M277" s="8">
        <f t="shared" si="1"/>
        <v>0.12</v>
      </c>
      <c r="P277" s="9"/>
    </row>
    <row r="278">
      <c r="A278" s="6" t="s">
        <v>892</v>
      </c>
      <c r="B278" s="6" t="s">
        <v>74</v>
      </c>
      <c r="C278" s="6" t="s">
        <v>43</v>
      </c>
      <c r="D278" s="6" t="s">
        <v>893</v>
      </c>
      <c r="E278" s="6" t="s">
        <v>894</v>
      </c>
      <c r="F278" s="6" t="s">
        <v>71</v>
      </c>
      <c r="G278" s="7">
        <v>0.05</v>
      </c>
      <c r="H278" s="6" t="s">
        <v>895</v>
      </c>
      <c r="I278" s="6" t="s">
        <v>20</v>
      </c>
      <c r="J278" s="6">
        <v>2018.0</v>
      </c>
      <c r="L278" s="6">
        <v>2.0</v>
      </c>
      <c r="M278" s="8">
        <f t="shared" si="1"/>
        <v>0.1</v>
      </c>
      <c r="P278" s="9"/>
    </row>
    <row r="279">
      <c r="A279" s="6" t="s">
        <v>896</v>
      </c>
      <c r="B279" s="6" t="s">
        <v>606</v>
      </c>
      <c r="C279" s="6" t="s">
        <v>366</v>
      </c>
      <c r="D279" s="6" t="s">
        <v>897</v>
      </c>
      <c r="E279" s="6" t="s">
        <v>898</v>
      </c>
      <c r="F279" s="6" t="s">
        <v>665</v>
      </c>
      <c r="G279" s="7">
        <v>1.5</v>
      </c>
      <c r="H279" s="6" t="s">
        <v>369</v>
      </c>
      <c r="I279" s="6" t="s">
        <v>20</v>
      </c>
      <c r="J279" s="6">
        <v>2019.0</v>
      </c>
      <c r="L279" s="6">
        <v>1.0</v>
      </c>
      <c r="M279" s="8">
        <f t="shared" si="1"/>
        <v>1.5</v>
      </c>
      <c r="P279" s="9"/>
    </row>
    <row r="280">
      <c r="A280" s="6" t="s">
        <v>899</v>
      </c>
      <c r="B280" s="6" t="s">
        <v>900</v>
      </c>
      <c r="C280" s="6" t="s">
        <v>30</v>
      </c>
      <c r="D280" s="6" t="s">
        <v>901</v>
      </c>
      <c r="E280" s="6" t="s">
        <v>902</v>
      </c>
      <c r="F280" s="6" t="s">
        <v>87</v>
      </c>
      <c r="G280" s="7">
        <v>0.55</v>
      </c>
      <c r="H280" s="6" t="s">
        <v>903</v>
      </c>
      <c r="I280" s="6" t="s">
        <v>20</v>
      </c>
      <c r="J280" s="6">
        <v>2016.0</v>
      </c>
      <c r="K280" s="10">
        <v>46115.0</v>
      </c>
      <c r="L280" s="6">
        <v>1.0</v>
      </c>
      <c r="M280" s="8">
        <f t="shared" si="1"/>
        <v>0.55</v>
      </c>
      <c r="P280" s="9"/>
    </row>
    <row r="281">
      <c r="A281" s="6" t="s">
        <v>904</v>
      </c>
      <c r="B281" s="6" t="s">
        <v>133</v>
      </c>
      <c r="C281" s="6" t="s">
        <v>43</v>
      </c>
      <c r="D281" s="6" t="s">
        <v>905</v>
      </c>
      <c r="E281" s="6" t="s">
        <v>891</v>
      </c>
      <c r="F281" s="6" t="s">
        <v>77</v>
      </c>
      <c r="G281" s="7">
        <v>0.04</v>
      </c>
      <c r="H281" s="6" t="s">
        <v>34</v>
      </c>
      <c r="I281" s="6" t="s">
        <v>20</v>
      </c>
      <c r="J281" s="6">
        <v>2025.0</v>
      </c>
      <c r="K281" s="10">
        <v>46117.0</v>
      </c>
      <c r="L281" s="6">
        <v>3.0</v>
      </c>
      <c r="M281" s="8">
        <f t="shared" si="1"/>
        <v>0.12</v>
      </c>
      <c r="P281" s="9"/>
    </row>
    <row r="282">
      <c r="A282" s="6" t="s">
        <v>904</v>
      </c>
      <c r="B282" s="6" t="s">
        <v>133</v>
      </c>
      <c r="C282" s="6" t="s">
        <v>43</v>
      </c>
      <c r="D282" s="6" t="s">
        <v>905</v>
      </c>
      <c r="E282" s="6" t="s">
        <v>891</v>
      </c>
      <c r="F282" s="6" t="s">
        <v>77</v>
      </c>
      <c r="G282" s="7">
        <v>0.22</v>
      </c>
      <c r="H282" s="6" t="s">
        <v>34</v>
      </c>
      <c r="I282" s="6" t="s">
        <v>45</v>
      </c>
      <c r="J282" s="6">
        <v>2025.0</v>
      </c>
      <c r="K282" s="10">
        <v>46117.0</v>
      </c>
      <c r="L282" s="6">
        <v>1.0</v>
      </c>
      <c r="M282" s="8">
        <f t="shared" si="1"/>
        <v>0.22</v>
      </c>
      <c r="P282" s="9"/>
    </row>
    <row r="283">
      <c r="A283" s="6" t="s">
        <v>906</v>
      </c>
      <c r="B283" s="6" t="s">
        <v>907</v>
      </c>
      <c r="C283" s="6" t="s">
        <v>15</v>
      </c>
      <c r="D283" s="6" t="s">
        <v>908</v>
      </c>
      <c r="E283" s="6" t="s">
        <v>909</v>
      </c>
      <c r="F283" s="6" t="s">
        <v>87</v>
      </c>
      <c r="G283" s="7">
        <v>0.5</v>
      </c>
      <c r="H283" s="6" t="s">
        <v>130</v>
      </c>
      <c r="I283" s="6" t="s">
        <v>20</v>
      </c>
      <c r="J283" s="6">
        <v>2014.0</v>
      </c>
      <c r="K283" s="10">
        <v>46055.0</v>
      </c>
      <c r="L283" s="6">
        <v>2.0</v>
      </c>
      <c r="M283" s="8">
        <f t="shared" si="1"/>
        <v>1</v>
      </c>
      <c r="P283" s="9"/>
    </row>
    <row r="284">
      <c r="A284" s="6" t="s">
        <v>906</v>
      </c>
      <c r="B284" s="6" t="s">
        <v>907</v>
      </c>
      <c r="C284" s="6" t="s">
        <v>15</v>
      </c>
      <c r="D284" s="6" t="s">
        <v>908</v>
      </c>
      <c r="E284" s="6" t="s">
        <v>909</v>
      </c>
      <c r="F284" s="6" t="s">
        <v>87</v>
      </c>
      <c r="G284" s="7">
        <v>0.25</v>
      </c>
      <c r="H284" s="6" t="s">
        <v>130</v>
      </c>
      <c r="I284" s="6" t="s">
        <v>20</v>
      </c>
      <c r="J284" s="6">
        <v>2014.0</v>
      </c>
      <c r="K284" s="10">
        <v>46055.0</v>
      </c>
      <c r="L284" s="6">
        <v>2.0</v>
      </c>
      <c r="M284" s="8">
        <f t="shared" si="1"/>
        <v>0.5</v>
      </c>
      <c r="P284" s="9"/>
    </row>
    <row r="285">
      <c r="A285" s="6" t="s">
        <v>910</v>
      </c>
      <c r="B285" s="6" t="s">
        <v>911</v>
      </c>
      <c r="C285" s="6" t="s">
        <v>43</v>
      </c>
      <c r="D285" s="6" t="s">
        <v>912</v>
      </c>
      <c r="E285" s="6" t="s">
        <v>39</v>
      </c>
      <c r="F285" s="6" t="s">
        <v>40</v>
      </c>
      <c r="G285" s="7">
        <v>0.06</v>
      </c>
      <c r="H285" s="6" t="s">
        <v>297</v>
      </c>
      <c r="I285" s="6" t="s">
        <v>20</v>
      </c>
      <c r="J285" s="6">
        <v>2022.0</v>
      </c>
      <c r="K285" s="10">
        <v>46114.0</v>
      </c>
      <c r="L285" s="6">
        <v>1.0</v>
      </c>
      <c r="M285" s="8">
        <f t="shared" si="1"/>
        <v>0.06</v>
      </c>
      <c r="P285" s="9"/>
    </row>
    <row r="286">
      <c r="A286" s="6" t="s">
        <v>913</v>
      </c>
      <c r="B286" s="6" t="s">
        <v>102</v>
      </c>
      <c r="C286" s="6" t="s">
        <v>37</v>
      </c>
      <c r="D286" s="6" t="s">
        <v>914</v>
      </c>
      <c r="E286" s="6" t="s">
        <v>176</v>
      </c>
      <c r="F286" s="6" t="s">
        <v>77</v>
      </c>
      <c r="G286" s="7">
        <v>0.07</v>
      </c>
      <c r="H286" s="6" t="s">
        <v>104</v>
      </c>
      <c r="I286" s="6" t="s">
        <v>20</v>
      </c>
      <c r="J286" s="6">
        <v>2019.0</v>
      </c>
      <c r="K286" s="10">
        <v>46056.0</v>
      </c>
      <c r="L286" s="6">
        <v>1.0</v>
      </c>
      <c r="M286" s="8">
        <f t="shared" si="1"/>
        <v>0.07</v>
      </c>
      <c r="P286" s="9"/>
    </row>
    <row r="287">
      <c r="A287" s="6" t="s">
        <v>915</v>
      </c>
      <c r="B287" s="6" t="s">
        <v>916</v>
      </c>
      <c r="C287" s="6" t="s">
        <v>37</v>
      </c>
      <c r="D287" s="6" t="s">
        <v>917</v>
      </c>
      <c r="E287" s="6" t="s">
        <v>256</v>
      </c>
      <c r="F287" s="6" t="s">
        <v>87</v>
      </c>
      <c r="G287" s="7">
        <v>0.07</v>
      </c>
      <c r="H287" s="6" t="s">
        <v>918</v>
      </c>
      <c r="I287" s="6" t="s">
        <v>20</v>
      </c>
      <c r="J287" s="6">
        <v>2023.0</v>
      </c>
      <c r="K287" s="10">
        <v>46084.0</v>
      </c>
      <c r="L287" s="6">
        <v>1.0</v>
      </c>
      <c r="M287" s="8">
        <f t="shared" si="1"/>
        <v>0.07</v>
      </c>
      <c r="P287" s="9"/>
    </row>
    <row r="288">
      <c r="A288" s="6" t="s">
        <v>919</v>
      </c>
      <c r="B288" s="6" t="s">
        <v>920</v>
      </c>
      <c r="C288" s="6" t="s">
        <v>37</v>
      </c>
      <c r="D288" s="6" t="s">
        <v>921</v>
      </c>
      <c r="E288" s="6" t="s">
        <v>248</v>
      </c>
      <c r="F288" s="6" t="s">
        <v>77</v>
      </c>
      <c r="G288" s="7">
        <v>0.05</v>
      </c>
      <c r="H288" s="6" t="s">
        <v>922</v>
      </c>
      <c r="I288" s="6" t="s">
        <v>20</v>
      </c>
      <c r="J288" s="6">
        <v>2014.0</v>
      </c>
      <c r="K288" s="10">
        <v>46146.0</v>
      </c>
      <c r="L288" s="6">
        <v>1.0</v>
      </c>
      <c r="M288" s="8">
        <f t="shared" si="1"/>
        <v>0.05</v>
      </c>
      <c r="N288" s="6" t="s">
        <v>374</v>
      </c>
      <c r="P288" s="9"/>
    </row>
    <row r="289">
      <c r="A289" s="6" t="s">
        <v>923</v>
      </c>
      <c r="B289" s="6" t="s">
        <v>924</v>
      </c>
      <c r="C289" s="6" t="s">
        <v>43</v>
      </c>
      <c r="D289" s="6" t="s">
        <v>925</v>
      </c>
      <c r="E289" s="6" t="s">
        <v>125</v>
      </c>
      <c r="F289" s="6" t="s">
        <v>40</v>
      </c>
      <c r="G289" s="7">
        <v>0.06</v>
      </c>
      <c r="H289" s="6" t="s">
        <v>104</v>
      </c>
      <c r="I289" s="6" t="s">
        <v>20</v>
      </c>
      <c r="J289" s="6">
        <v>2019.0</v>
      </c>
      <c r="K289" s="10">
        <v>46023.0</v>
      </c>
      <c r="L289" s="6">
        <v>1.0</v>
      </c>
      <c r="M289" s="8">
        <f t="shared" si="1"/>
        <v>0.06</v>
      </c>
      <c r="P289" s="9"/>
    </row>
    <row r="290">
      <c r="A290" s="6" t="s">
        <v>926</v>
      </c>
      <c r="B290" s="6" t="s">
        <v>102</v>
      </c>
      <c r="C290" s="6" t="s">
        <v>43</v>
      </c>
      <c r="D290" s="6" t="s">
        <v>927</v>
      </c>
      <c r="E290" s="6" t="s">
        <v>135</v>
      </c>
      <c r="F290" s="6" t="s">
        <v>40</v>
      </c>
      <c r="G290" s="7">
        <v>0.09</v>
      </c>
      <c r="H290" s="6" t="s">
        <v>410</v>
      </c>
      <c r="I290" s="6" t="s">
        <v>20</v>
      </c>
      <c r="J290" s="6">
        <v>2021.0</v>
      </c>
      <c r="K290" s="10">
        <v>46055.0</v>
      </c>
      <c r="L290" s="6">
        <v>1.0</v>
      </c>
      <c r="M290" s="8">
        <f t="shared" si="1"/>
        <v>0.09</v>
      </c>
      <c r="N290" s="6" t="s">
        <v>374</v>
      </c>
      <c r="P290" s="9"/>
    </row>
    <row r="291">
      <c r="A291" s="6" t="s">
        <v>928</v>
      </c>
      <c r="B291" s="6" t="s">
        <v>929</v>
      </c>
      <c r="C291" s="6" t="s">
        <v>43</v>
      </c>
      <c r="D291" s="6" t="s">
        <v>930</v>
      </c>
      <c r="E291" s="6" t="s">
        <v>135</v>
      </c>
      <c r="F291" s="6" t="s">
        <v>40</v>
      </c>
      <c r="G291" s="7">
        <v>0.04</v>
      </c>
      <c r="H291" s="6" t="s">
        <v>99</v>
      </c>
      <c r="I291" s="6" t="s">
        <v>20</v>
      </c>
      <c r="J291" s="6">
        <v>2022.0</v>
      </c>
      <c r="K291" s="10">
        <v>46082.0</v>
      </c>
      <c r="L291" s="6">
        <v>1.0</v>
      </c>
      <c r="M291" s="8">
        <f t="shared" si="1"/>
        <v>0.04</v>
      </c>
      <c r="P291" s="9"/>
    </row>
    <row r="292">
      <c r="A292" s="6" t="s">
        <v>931</v>
      </c>
      <c r="B292" s="6" t="s">
        <v>932</v>
      </c>
      <c r="C292" s="6" t="s">
        <v>23</v>
      </c>
      <c r="D292" s="6" t="s">
        <v>933</v>
      </c>
      <c r="E292" s="6" t="s">
        <v>125</v>
      </c>
      <c r="F292" s="6" t="s">
        <v>40</v>
      </c>
      <c r="G292" s="7">
        <v>0.24</v>
      </c>
      <c r="H292" s="6" t="s">
        <v>934</v>
      </c>
      <c r="I292" s="6" t="s">
        <v>20</v>
      </c>
      <c r="J292" s="6">
        <v>1993.0</v>
      </c>
      <c r="K292" s="10">
        <v>46023.0</v>
      </c>
      <c r="L292" s="6">
        <v>1.0</v>
      </c>
      <c r="M292" s="8">
        <f t="shared" si="1"/>
        <v>0.24</v>
      </c>
      <c r="P292" s="9"/>
    </row>
    <row r="293">
      <c r="A293" s="6" t="s">
        <v>935</v>
      </c>
      <c r="B293" s="6" t="s">
        <v>936</v>
      </c>
      <c r="C293" s="6" t="s">
        <v>43</v>
      </c>
      <c r="D293" s="6" t="s">
        <v>937</v>
      </c>
      <c r="E293" s="6" t="s">
        <v>125</v>
      </c>
      <c r="F293" s="6" t="s">
        <v>40</v>
      </c>
      <c r="G293" s="7">
        <v>0.05</v>
      </c>
      <c r="H293" s="6" t="s">
        <v>313</v>
      </c>
      <c r="I293" s="6" t="s">
        <v>20</v>
      </c>
      <c r="J293" s="6">
        <v>1995.0</v>
      </c>
      <c r="K293" s="10">
        <v>46023.0</v>
      </c>
      <c r="L293" s="6">
        <v>1.0</v>
      </c>
      <c r="M293" s="8">
        <f t="shared" si="1"/>
        <v>0.05</v>
      </c>
      <c r="P293" s="9"/>
    </row>
    <row r="294">
      <c r="A294" s="6" t="s">
        <v>938</v>
      </c>
      <c r="B294" s="6" t="s">
        <v>939</v>
      </c>
      <c r="C294" s="6" t="s">
        <v>43</v>
      </c>
      <c r="D294" s="6" t="s">
        <v>940</v>
      </c>
      <c r="E294" s="6" t="s">
        <v>57</v>
      </c>
      <c r="F294" s="6" t="s">
        <v>40</v>
      </c>
      <c r="G294" s="7">
        <v>0.06</v>
      </c>
      <c r="H294" s="6" t="s">
        <v>421</v>
      </c>
      <c r="I294" s="6" t="s">
        <v>20</v>
      </c>
      <c r="J294" s="6">
        <v>2000.0</v>
      </c>
      <c r="K294" s="10">
        <v>46055.0</v>
      </c>
      <c r="L294" s="6">
        <v>1.0</v>
      </c>
      <c r="M294" s="8">
        <f t="shared" si="1"/>
        <v>0.06</v>
      </c>
      <c r="P294" s="9"/>
    </row>
    <row r="295">
      <c r="A295" s="6" t="s">
        <v>941</v>
      </c>
      <c r="B295" s="6" t="s">
        <v>102</v>
      </c>
      <c r="C295" s="6" t="s">
        <v>30</v>
      </c>
      <c r="D295" s="6" t="s">
        <v>942</v>
      </c>
      <c r="E295" s="6" t="s">
        <v>943</v>
      </c>
      <c r="F295" s="6" t="s">
        <v>40</v>
      </c>
      <c r="G295" s="7">
        <v>0.5</v>
      </c>
      <c r="H295" s="6" t="s">
        <v>144</v>
      </c>
      <c r="I295" s="6" t="s">
        <v>20</v>
      </c>
      <c r="J295" s="6">
        <v>2018.0</v>
      </c>
      <c r="K295" s="10">
        <v>46084.0</v>
      </c>
      <c r="L295" s="6">
        <v>3.0</v>
      </c>
      <c r="M295" s="8">
        <f t="shared" si="1"/>
        <v>1.5</v>
      </c>
      <c r="P295" s="9"/>
    </row>
    <row r="296">
      <c r="A296" s="6" t="s">
        <v>944</v>
      </c>
      <c r="B296" s="6" t="s">
        <v>192</v>
      </c>
      <c r="C296" s="6" t="s">
        <v>43</v>
      </c>
      <c r="D296" s="6" t="s">
        <v>945</v>
      </c>
      <c r="E296" s="6" t="s">
        <v>185</v>
      </c>
      <c r="F296" s="6" t="s">
        <v>26</v>
      </c>
      <c r="G296" s="7">
        <v>0.49</v>
      </c>
      <c r="H296" s="6" t="s">
        <v>34</v>
      </c>
      <c r="I296" s="6" t="s">
        <v>20</v>
      </c>
      <c r="J296" s="6">
        <v>2025.0</v>
      </c>
      <c r="L296" s="6">
        <v>2.0</v>
      </c>
      <c r="M296" s="8">
        <f t="shared" si="1"/>
        <v>0.98</v>
      </c>
      <c r="P296" s="9"/>
    </row>
    <row r="297">
      <c r="A297" s="6" t="s">
        <v>946</v>
      </c>
      <c r="B297" s="6" t="s">
        <v>947</v>
      </c>
      <c r="C297" s="6" t="s">
        <v>43</v>
      </c>
      <c r="D297" s="6" t="s">
        <v>948</v>
      </c>
      <c r="E297" s="6" t="s">
        <v>135</v>
      </c>
      <c r="F297" s="6" t="s">
        <v>40</v>
      </c>
      <c r="G297" s="7">
        <v>0.1</v>
      </c>
      <c r="H297" s="6" t="s">
        <v>259</v>
      </c>
      <c r="I297" s="6" t="s">
        <v>20</v>
      </c>
      <c r="J297" s="6">
        <v>1996.0</v>
      </c>
      <c r="K297" s="10">
        <v>46054.0</v>
      </c>
      <c r="L297" s="6">
        <v>1.0</v>
      </c>
      <c r="M297" s="8">
        <f t="shared" si="1"/>
        <v>0.1</v>
      </c>
      <c r="P297" s="9"/>
    </row>
    <row r="298">
      <c r="A298" s="6" t="s">
        <v>949</v>
      </c>
      <c r="B298" s="6" t="s">
        <v>950</v>
      </c>
      <c r="C298" s="6" t="s">
        <v>30</v>
      </c>
      <c r="D298" s="6" t="s">
        <v>951</v>
      </c>
      <c r="E298" s="6" t="s">
        <v>535</v>
      </c>
      <c r="F298" s="6" t="s">
        <v>536</v>
      </c>
      <c r="G298" s="7">
        <v>1.9</v>
      </c>
      <c r="H298" s="6" t="s">
        <v>259</v>
      </c>
      <c r="I298" s="6" t="s">
        <v>20</v>
      </c>
      <c r="J298" s="6">
        <v>1996.0</v>
      </c>
      <c r="K298" s="10">
        <v>46086.0</v>
      </c>
      <c r="L298" s="6">
        <v>1.0</v>
      </c>
      <c r="M298" s="8">
        <f t="shared" si="1"/>
        <v>1.9</v>
      </c>
      <c r="N298" s="6" t="s">
        <v>122</v>
      </c>
      <c r="P298" s="9"/>
    </row>
    <row r="299">
      <c r="A299" s="6" t="s">
        <v>952</v>
      </c>
      <c r="B299" s="6" t="s">
        <v>953</v>
      </c>
      <c r="C299" s="6" t="s">
        <v>37</v>
      </c>
      <c r="D299" s="6" t="s">
        <v>954</v>
      </c>
      <c r="E299" s="6" t="s">
        <v>224</v>
      </c>
      <c r="F299" s="6" t="s">
        <v>18</v>
      </c>
      <c r="G299" s="7">
        <v>0.1</v>
      </c>
      <c r="H299" s="6" t="s">
        <v>363</v>
      </c>
      <c r="I299" s="6" t="s">
        <v>20</v>
      </c>
      <c r="J299" s="6">
        <v>2024.0</v>
      </c>
      <c r="K299" s="10">
        <v>46178.0</v>
      </c>
      <c r="L299" s="6">
        <v>1.0</v>
      </c>
      <c r="M299" s="8">
        <f t="shared" si="1"/>
        <v>0.1</v>
      </c>
      <c r="P299" s="9"/>
    </row>
    <row r="300">
      <c r="A300" s="6" t="s">
        <v>955</v>
      </c>
      <c r="B300" s="6" t="s">
        <v>789</v>
      </c>
      <c r="C300" s="6" t="s">
        <v>37</v>
      </c>
      <c r="D300" s="6" t="s">
        <v>956</v>
      </c>
      <c r="E300" s="6" t="s">
        <v>98</v>
      </c>
      <c r="F300" s="6" t="s">
        <v>18</v>
      </c>
      <c r="G300" s="7">
        <v>0.05</v>
      </c>
      <c r="H300" s="6" t="s">
        <v>136</v>
      </c>
      <c r="I300" s="6" t="s">
        <v>20</v>
      </c>
      <c r="J300" s="6">
        <v>2026.0</v>
      </c>
      <c r="L300" s="6">
        <v>1.0</v>
      </c>
      <c r="M300" s="8">
        <f t="shared" si="1"/>
        <v>0.05</v>
      </c>
      <c r="P300" s="9"/>
    </row>
    <row r="301">
      <c r="A301" s="6" t="s">
        <v>957</v>
      </c>
      <c r="B301" s="6" t="s">
        <v>162</v>
      </c>
      <c r="C301" s="6" t="s">
        <v>37</v>
      </c>
      <c r="D301" s="6" t="s">
        <v>958</v>
      </c>
      <c r="E301" s="6" t="s">
        <v>111</v>
      </c>
      <c r="F301" s="6" t="s">
        <v>112</v>
      </c>
      <c r="G301" s="7">
        <v>0.15</v>
      </c>
      <c r="H301" s="6" t="s">
        <v>468</v>
      </c>
      <c r="I301" s="6" t="s">
        <v>20</v>
      </c>
      <c r="J301" s="6">
        <v>2015.0</v>
      </c>
      <c r="L301" s="6">
        <v>1.0</v>
      </c>
      <c r="M301" s="8">
        <f t="shared" si="1"/>
        <v>0.15</v>
      </c>
      <c r="P301" s="9"/>
    </row>
    <row r="302">
      <c r="A302" s="6" t="s">
        <v>959</v>
      </c>
      <c r="B302" s="6" t="s">
        <v>138</v>
      </c>
      <c r="C302" s="6" t="s">
        <v>37</v>
      </c>
      <c r="D302" s="6" t="s">
        <v>960</v>
      </c>
      <c r="E302" s="6" t="s">
        <v>86</v>
      </c>
      <c r="F302" s="6" t="s">
        <v>87</v>
      </c>
      <c r="G302" s="7">
        <v>0.1</v>
      </c>
      <c r="H302" s="6" t="s">
        <v>475</v>
      </c>
      <c r="I302" s="6" t="s">
        <v>20</v>
      </c>
      <c r="J302" s="6">
        <v>2024.0</v>
      </c>
      <c r="L302" s="6">
        <v>1.0</v>
      </c>
      <c r="M302" s="8">
        <f t="shared" si="1"/>
        <v>0.1</v>
      </c>
      <c r="P302" s="9"/>
    </row>
    <row r="303">
      <c r="A303" s="6" t="s">
        <v>961</v>
      </c>
      <c r="B303" s="6" t="s">
        <v>962</v>
      </c>
      <c r="C303" s="6" t="s">
        <v>37</v>
      </c>
      <c r="D303" s="6" t="s">
        <v>963</v>
      </c>
      <c r="E303" s="6" t="s">
        <v>964</v>
      </c>
      <c r="F303" s="6" t="s">
        <v>965</v>
      </c>
      <c r="G303" s="7">
        <v>0.2</v>
      </c>
      <c r="H303" s="6" t="s">
        <v>19</v>
      </c>
      <c r="I303" s="6" t="s">
        <v>20</v>
      </c>
      <c r="J303" s="6">
        <v>2023.0</v>
      </c>
      <c r="K303" s="10">
        <v>46082.0</v>
      </c>
      <c r="L303" s="6">
        <v>1.0</v>
      </c>
      <c r="M303" s="8">
        <f t="shared" si="1"/>
        <v>0.2</v>
      </c>
      <c r="P303" s="9"/>
    </row>
    <row r="304">
      <c r="A304" s="6" t="s">
        <v>966</v>
      </c>
      <c r="B304" s="6" t="s">
        <v>967</v>
      </c>
      <c r="C304" s="6" t="s">
        <v>15</v>
      </c>
      <c r="D304" s="6" t="s">
        <v>968</v>
      </c>
      <c r="E304" s="6" t="s">
        <v>659</v>
      </c>
      <c r="F304" s="6" t="s">
        <v>18</v>
      </c>
      <c r="G304" s="7">
        <v>0.09</v>
      </c>
      <c r="H304" s="6" t="s">
        <v>19</v>
      </c>
      <c r="I304" s="6" t="s">
        <v>20</v>
      </c>
      <c r="J304" s="6">
        <v>2023.0</v>
      </c>
      <c r="K304" s="10">
        <v>46024.0</v>
      </c>
      <c r="L304" s="6">
        <v>2.0</v>
      </c>
      <c r="M304" s="8">
        <f t="shared" si="1"/>
        <v>0.18</v>
      </c>
      <c r="P304" s="9"/>
    </row>
    <row r="305">
      <c r="A305" s="6" t="s">
        <v>969</v>
      </c>
      <c r="B305" s="6" t="s">
        <v>970</v>
      </c>
      <c r="C305" s="6" t="s">
        <v>37</v>
      </c>
      <c r="D305" s="6" t="s">
        <v>971</v>
      </c>
      <c r="E305" s="6" t="s">
        <v>39</v>
      </c>
      <c r="F305" s="6" t="s">
        <v>40</v>
      </c>
      <c r="G305" s="7">
        <v>0.18</v>
      </c>
      <c r="H305" s="6" t="s">
        <v>19</v>
      </c>
      <c r="I305" s="6" t="s">
        <v>20</v>
      </c>
      <c r="J305" s="6">
        <v>2023.0</v>
      </c>
      <c r="K305" s="10">
        <v>46113.0</v>
      </c>
      <c r="L305" s="6">
        <v>2.0</v>
      </c>
      <c r="M305" s="8">
        <f t="shared" si="1"/>
        <v>0.36</v>
      </c>
      <c r="P305" s="9"/>
    </row>
    <row r="306">
      <c r="A306" s="6" t="s">
        <v>972</v>
      </c>
      <c r="B306" s="6" t="s">
        <v>494</v>
      </c>
      <c r="C306" s="6" t="s">
        <v>43</v>
      </c>
      <c r="D306" s="6" t="s">
        <v>973</v>
      </c>
      <c r="E306" s="6" t="s">
        <v>190</v>
      </c>
      <c r="F306" s="6" t="s">
        <v>18</v>
      </c>
      <c r="G306" s="7">
        <v>0.7</v>
      </c>
      <c r="H306" s="6" t="s">
        <v>674</v>
      </c>
      <c r="I306" s="6" t="s">
        <v>20</v>
      </c>
      <c r="J306" s="6">
        <v>2021.0</v>
      </c>
      <c r="L306" s="6">
        <v>2.0</v>
      </c>
      <c r="M306" s="8">
        <f t="shared" si="1"/>
        <v>1.4</v>
      </c>
      <c r="P306" s="9"/>
    </row>
    <row r="307">
      <c r="A307" s="6" t="s">
        <v>974</v>
      </c>
      <c r="B307" s="6" t="s">
        <v>74</v>
      </c>
      <c r="C307" s="6" t="s">
        <v>30</v>
      </c>
      <c r="D307" s="6" t="s">
        <v>975</v>
      </c>
      <c r="E307" s="6" t="s">
        <v>976</v>
      </c>
      <c r="F307" s="6" t="s">
        <v>977</v>
      </c>
      <c r="G307" s="7">
        <v>0.2</v>
      </c>
      <c r="H307" s="6" t="s">
        <v>65</v>
      </c>
      <c r="I307" s="6" t="s">
        <v>20</v>
      </c>
      <c r="J307" s="6">
        <v>2013.0</v>
      </c>
      <c r="L307" s="6">
        <v>2.0</v>
      </c>
      <c r="M307" s="8">
        <f t="shared" si="1"/>
        <v>0.4</v>
      </c>
      <c r="P307" s="9"/>
    </row>
    <row r="308">
      <c r="A308" s="6" t="s">
        <v>978</v>
      </c>
      <c r="B308" s="6" t="s">
        <v>606</v>
      </c>
      <c r="C308" s="6" t="s">
        <v>23</v>
      </c>
      <c r="D308" s="6" t="s">
        <v>979</v>
      </c>
      <c r="E308" s="6" t="s">
        <v>980</v>
      </c>
      <c r="F308" s="6" t="s">
        <v>112</v>
      </c>
      <c r="G308" s="7">
        <v>0.14</v>
      </c>
      <c r="H308" s="6" t="s">
        <v>780</v>
      </c>
      <c r="I308" s="6" t="s">
        <v>20</v>
      </c>
      <c r="J308" s="6">
        <v>2025.0</v>
      </c>
      <c r="L308" s="6">
        <v>2.0</v>
      </c>
      <c r="M308" s="8">
        <f t="shared" si="1"/>
        <v>0.28</v>
      </c>
      <c r="P308" s="9"/>
    </row>
    <row r="309">
      <c r="A309" s="6" t="s">
        <v>981</v>
      </c>
      <c r="B309" s="6" t="s">
        <v>208</v>
      </c>
      <c r="C309" s="6" t="s">
        <v>30</v>
      </c>
      <c r="D309" s="6" t="s">
        <v>982</v>
      </c>
      <c r="E309" s="6" t="s">
        <v>983</v>
      </c>
      <c r="F309" s="6" t="s">
        <v>977</v>
      </c>
      <c r="G309" s="7">
        <v>0.4</v>
      </c>
      <c r="H309" s="6" t="s">
        <v>65</v>
      </c>
      <c r="I309" s="6" t="s">
        <v>20</v>
      </c>
      <c r="J309" s="6">
        <v>2013.0</v>
      </c>
      <c r="K309" s="10">
        <v>46083.0</v>
      </c>
      <c r="L309" s="6">
        <v>1.0</v>
      </c>
      <c r="M309" s="8">
        <f t="shared" si="1"/>
        <v>0.4</v>
      </c>
      <c r="P309" s="9"/>
    </row>
    <row r="310">
      <c r="A310" s="6" t="s">
        <v>984</v>
      </c>
      <c r="B310" s="6" t="s">
        <v>985</v>
      </c>
      <c r="C310" s="6" t="s">
        <v>43</v>
      </c>
      <c r="D310" s="6" t="s">
        <v>986</v>
      </c>
      <c r="E310" s="6" t="s">
        <v>256</v>
      </c>
      <c r="F310" s="6" t="s">
        <v>87</v>
      </c>
      <c r="G310" s="7">
        <v>0.03</v>
      </c>
      <c r="H310" s="6" t="s">
        <v>324</v>
      </c>
      <c r="I310" s="6" t="s">
        <v>20</v>
      </c>
      <c r="J310" s="6">
        <v>1995.0</v>
      </c>
      <c r="K310" s="10">
        <v>46054.0</v>
      </c>
      <c r="L310" s="6">
        <v>4.0</v>
      </c>
      <c r="M310" s="8">
        <f t="shared" si="1"/>
        <v>0.12</v>
      </c>
      <c r="P310" s="9"/>
    </row>
    <row r="311">
      <c r="A311" s="6" t="s">
        <v>984</v>
      </c>
      <c r="B311" s="6" t="s">
        <v>985</v>
      </c>
      <c r="C311" s="6" t="s">
        <v>43</v>
      </c>
      <c r="D311" s="6" t="s">
        <v>986</v>
      </c>
      <c r="E311" s="6" t="s">
        <v>256</v>
      </c>
      <c r="F311" s="6" t="s">
        <v>87</v>
      </c>
      <c r="G311" s="7">
        <v>0.06</v>
      </c>
      <c r="H311" s="6" t="s">
        <v>316</v>
      </c>
      <c r="I311" s="6" t="s">
        <v>20</v>
      </c>
      <c r="J311" s="6">
        <v>1995.0</v>
      </c>
      <c r="K311" s="10">
        <v>46054.0</v>
      </c>
      <c r="L311" s="6">
        <v>4.0</v>
      </c>
      <c r="M311" s="8">
        <f t="shared" si="1"/>
        <v>0.24</v>
      </c>
      <c r="P311" s="9"/>
    </row>
    <row r="312">
      <c r="A312" s="6" t="s">
        <v>987</v>
      </c>
      <c r="B312" s="6" t="s">
        <v>988</v>
      </c>
      <c r="C312" s="6" t="s">
        <v>37</v>
      </c>
      <c r="D312" s="6" t="s">
        <v>989</v>
      </c>
      <c r="E312" s="6" t="s">
        <v>863</v>
      </c>
      <c r="F312" s="6" t="s">
        <v>112</v>
      </c>
      <c r="G312" s="7">
        <v>0.06</v>
      </c>
      <c r="H312" s="6" t="s">
        <v>407</v>
      </c>
      <c r="I312" s="6" t="s">
        <v>20</v>
      </c>
      <c r="J312" s="6">
        <v>2016.0</v>
      </c>
      <c r="K312" s="10">
        <v>46117.0</v>
      </c>
      <c r="L312" s="6">
        <v>1.0</v>
      </c>
      <c r="M312" s="8">
        <f t="shared" si="1"/>
        <v>0.06</v>
      </c>
      <c r="P312" s="9"/>
    </row>
    <row r="313">
      <c r="A313" s="6" t="s">
        <v>990</v>
      </c>
      <c r="B313" s="6" t="s">
        <v>74</v>
      </c>
      <c r="C313" s="6" t="s">
        <v>43</v>
      </c>
      <c r="D313" s="6" t="s">
        <v>991</v>
      </c>
      <c r="E313" s="6" t="s">
        <v>164</v>
      </c>
      <c r="F313" s="6" t="s">
        <v>112</v>
      </c>
      <c r="G313" s="7">
        <v>0.2</v>
      </c>
      <c r="H313" s="6" t="s">
        <v>99</v>
      </c>
      <c r="I313" s="6" t="s">
        <v>20</v>
      </c>
      <c r="J313" s="6">
        <v>2022.0</v>
      </c>
      <c r="L313" s="6">
        <v>3.0</v>
      </c>
      <c r="M313" s="8">
        <f t="shared" si="1"/>
        <v>0.6</v>
      </c>
      <c r="P313" s="9"/>
    </row>
    <row r="314">
      <c r="A314" s="6" t="s">
        <v>992</v>
      </c>
      <c r="B314" s="6" t="s">
        <v>192</v>
      </c>
      <c r="C314" s="6" t="s">
        <v>37</v>
      </c>
      <c r="D314" s="6" t="s">
        <v>993</v>
      </c>
      <c r="E314" s="6" t="s">
        <v>994</v>
      </c>
      <c r="F314" s="6" t="s">
        <v>77</v>
      </c>
      <c r="G314" s="7">
        <v>1.0</v>
      </c>
      <c r="H314" s="6" t="s">
        <v>324</v>
      </c>
      <c r="I314" s="6" t="s">
        <v>20</v>
      </c>
      <c r="J314" s="6">
        <v>1995.0</v>
      </c>
      <c r="L314" s="6">
        <v>1.0</v>
      </c>
      <c r="M314" s="8">
        <f t="shared" si="1"/>
        <v>1</v>
      </c>
      <c r="N314" s="6" t="s">
        <v>122</v>
      </c>
      <c r="P314" s="9"/>
    </row>
    <row r="315">
      <c r="A315" s="6" t="s">
        <v>995</v>
      </c>
      <c r="B315" s="6" t="s">
        <v>254</v>
      </c>
      <c r="C315" s="6" t="s">
        <v>37</v>
      </c>
      <c r="D315" s="6" t="s">
        <v>996</v>
      </c>
      <c r="E315" s="6" t="s">
        <v>125</v>
      </c>
      <c r="F315" s="6" t="s">
        <v>40</v>
      </c>
      <c r="G315" s="7">
        <v>0.15</v>
      </c>
      <c r="H315" s="6" t="s">
        <v>324</v>
      </c>
      <c r="I315" s="6" t="s">
        <v>20</v>
      </c>
      <c r="J315" s="6">
        <v>1995.0</v>
      </c>
      <c r="L315" s="6">
        <v>1.0</v>
      </c>
      <c r="M315" s="8">
        <f t="shared" si="1"/>
        <v>0.15</v>
      </c>
      <c r="P315" s="9"/>
    </row>
    <row r="316">
      <c r="A316" s="6" t="s">
        <v>995</v>
      </c>
      <c r="B316" s="6" t="s">
        <v>254</v>
      </c>
      <c r="C316" s="6" t="s">
        <v>37</v>
      </c>
      <c r="D316" s="6" t="s">
        <v>996</v>
      </c>
      <c r="E316" s="6" t="s">
        <v>125</v>
      </c>
      <c r="F316" s="6" t="s">
        <v>40</v>
      </c>
      <c r="G316" s="7">
        <v>0.28</v>
      </c>
      <c r="H316" s="6" t="s">
        <v>316</v>
      </c>
      <c r="I316" s="6" t="s">
        <v>20</v>
      </c>
      <c r="J316" s="6">
        <v>1995.0</v>
      </c>
      <c r="L316" s="6">
        <v>1.0</v>
      </c>
      <c r="M316" s="8">
        <f t="shared" si="1"/>
        <v>0.28</v>
      </c>
      <c r="P316" s="9"/>
    </row>
    <row r="317">
      <c r="A317" s="6" t="s">
        <v>997</v>
      </c>
      <c r="B317" s="6" t="s">
        <v>396</v>
      </c>
      <c r="C317" s="6" t="s">
        <v>37</v>
      </c>
      <c r="D317" s="6" t="s">
        <v>998</v>
      </c>
      <c r="E317" s="6" t="s">
        <v>999</v>
      </c>
      <c r="F317" s="6" t="s">
        <v>1000</v>
      </c>
      <c r="G317" s="7">
        <v>0.07</v>
      </c>
      <c r="H317" s="6" t="s">
        <v>787</v>
      </c>
      <c r="I317" s="6" t="s">
        <v>20</v>
      </c>
      <c r="J317" s="6">
        <v>2023.0</v>
      </c>
      <c r="L317" s="6">
        <v>1.0</v>
      </c>
      <c r="M317" s="8">
        <f t="shared" si="1"/>
        <v>0.07</v>
      </c>
      <c r="P317" s="9"/>
    </row>
    <row r="318">
      <c r="A318" s="6" t="s">
        <v>1001</v>
      </c>
      <c r="B318" s="6" t="s">
        <v>1002</v>
      </c>
      <c r="C318" s="6" t="s">
        <v>43</v>
      </c>
      <c r="D318" s="6" t="s">
        <v>1003</v>
      </c>
      <c r="E318" s="6" t="s">
        <v>164</v>
      </c>
      <c r="F318" s="6" t="s">
        <v>112</v>
      </c>
      <c r="G318" s="7">
        <v>1.95</v>
      </c>
      <c r="H318" s="6" t="s">
        <v>1004</v>
      </c>
      <c r="I318" s="6" t="s">
        <v>45</v>
      </c>
      <c r="J318" s="6">
        <v>2022.0</v>
      </c>
      <c r="K318" s="10">
        <v>46023.0</v>
      </c>
      <c r="L318" s="6">
        <v>2.0</v>
      </c>
      <c r="M318" s="8">
        <f t="shared" si="1"/>
        <v>3.9</v>
      </c>
      <c r="P318" s="9"/>
    </row>
    <row r="319">
      <c r="A319" s="6" t="s">
        <v>1001</v>
      </c>
      <c r="B319" s="6" t="s">
        <v>1002</v>
      </c>
      <c r="C319" s="6" t="s">
        <v>43</v>
      </c>
      <c r="D319" s="6" t="s">
        <v>1003</v>
      </c>
      <c r="E319" s="6" t="s">
        <v>164</v>
      </c>
      <c r="F319" s="6" t="s">
        <v>112</v>
      </c>
      <c r="G319" s="7">
        <v>0.2</v>
      </c>
      <c r="H319" s="6" t="s">
        <v>1004</v>
      </c>
      <c r="I319" s="6" t="s">
        <v>20</v>
      </c>
      <c r="J319" s="6">
        <v>2022.0</v>
      </c>
      <c r="K319" s="10">
        <v>46023.0</v>
      </c>
      <c r="L319" s="6">
        <v>1.0</v>
      </c>
      <c r="M319" s="8">
        <f t="shared" si="1"/>
        <v>0.2</v>
      </c>
      <c r="P319" s="9"/>
    </row>
    <row r="320">
      <c r="A320" s="6" t="s">
        <v>1005</v>
      </c>
      <c r="B320" s="6" t="s">
        <v>365</v>
      </c>
      <c r="C320" s="6" t="s">
        <v>23</v>
      </c>
      <c r="D320" s="6" t="s">
        <v>1006</v>
      </c>
      <c r="E320" s="6" t="s">
        <v>1007</v>
      </c>
      <c r="F320" s="6" t="s">
        <v>87</v>
      </c>
      <c r="G320" s="7">
        <v>0.1</v>
      </c>
      <c r="H320" s="6" t="s">
        <v>153</v>
      </c>
      <c r="I320" s="6" t="s">
        <v>20</v>
      </c>
      <c r="J320" s="6">
        <v>2025.0</v>
      </c>
      <c r="K320" s="10">
        <v>46023.0</v>
      </c>
      <c r="L320" s="6">
        <v>6.0</v>
      </c>
      <c r="M320" s="8">
        <f t="shared" si="1"/>
        <v>0.6</v>
      </c>
      <c r="P320" s="9"/>
    </row>
    <row r="321">
      <c r="A321" s="6" t="s">
        <v>1008</v>
      </c>
      <c r="B321" s="6" t="s">
        <v>606</v>
      </c>
      <c r="C321" s="6" t="s">
        <v>23</v>
      </c>
      <c r="D321" s="6" t="s">
        <v>1009</v>
      </c>
      <c r="E321" s="6" t="s">
        <v>1010</v>
      </c>
      <c r="F321" s="6" t="s">
        <v>87</v>
      </c>
      <c r="G321" s="7">
        <v>0.13</v>
      </c>
      <c r="H321" s="6" t="s">
        <v>27</v>
      </c>
      <c r="I321" s="6" t="s">
        <v>20</v>
      </c>
      <c r="J321" s="6">
        <v>2026.0</v>
      </c>
      <c r="L321" s="6">
        <v>1.0</v>
      </c>
      <c r="M321" s="8">
        <f t="shared" si="1"/>
        <v>0.13</v>
      </c>
      <c r="P321" s="9"/>
    </row>
    <row r="322">
      <c r="A322" s="6" t="s">
        <v>1011</v>
      </c>
      <c r="B322" s="6" t="s">
        <v>1012</v>
      </c>
      <c r="C322" s="6" t="s">
        <v>37</v>
      </c>
      <c r="D322" s="6" t="s">
        <v>1013</v>
      </c>
      <c r="E322" s="6" t="s">
        <v>140</v>
      </c>
      <c r="F322" s="6" t="s">
        <v>87</v>
      </c>
      <c r="G322" s="7">
        <v>0.34</v>
      </c>
      <c r="H322" s="6" t="s">
        <v>121</v>
      </c>
      <c r="I322" s="6" t="s">
        <v>20</v>
      </c>
      <c r="J322" s="6">
        <v>2021.0</v>
      </c>
      <c r="K322" s="10">
        <v>46023.0</v>
      </c>
      <c r="L322" s="6">
        <v>1.0</v>
      </c>
      <c r="M322" s="8">
        <f t="shared" si="1"/>
        <v>0.34</v>
      </c>
      <c r="P322" s="9"/>
    </row>
    <row r="323">
      <c r="A323" s="6" t="s">
        <v>1014</v>
      </c>
      <c r="B323" s="6" t="s">
        <v>138</v>
      </c>
      <c r="C323" s="6" t="s">
        <v>43</v>
      </c>
      <c r="D323" s="6" t="s">
        <v>1015</v>
      </c>
      <c r="E323" s="6" t="s">
        <v>135</v>
      </c>
      <c r="F323" s="6" t="s">
        <v>40</v>
      </c>
      <c r="G323" s="7">
        <v>0.08</v>
      </c>
      <c r="H323" s="6" t="s">
        <v>187</v>
      </c>
      <c r="I323" s="6" t="s">
        <v>20</v>
      </c>
      <c r="J323" s="6">
        <v>1995.0</v>
      </c>
      <c r="L323" s="6">
        <v>2.0</v>
      </c>
      <c r="M323" s="8">
        <f t="shared" si="1"/>
        <v>0.16</v>
      </c>
      <c r="P323" s="9"/>
    </row>
    <row r="324">
      <c r="A324" s="6" t="s">
        <v>1016</v>
      </c>
      <c r="B324" s="6" t="s">
        <v>1017</v>
      </c>
      <c r="C324" s="6" t="s">
        <v>30</v>
      </c>
      <c r="D324" s="6" t="s">
        <v>1018</v>
      </c>
      <c r="E324" s="6" t="s">
        <v>579</v>
      </c>
      <c r="F324" s="6" t="s">
        <v>112</v>
      </c>
      <c r="G324" s="7">
        <v>0.17</v>
      </c>
      <c r="H324" s="6" t="s">
        <v>674</v>
      </c>
      <c r="I324" s="6" t="s">
        <v>20</v>
      </c>
      <c r="J324" s="6">
        <v>2021.0</v>
      </c>
      <c r="L324" s="6">
        <v>1.0</v>
      </c>
      <c r="M324" s="8">
        <f t="shared" si="1"/>
        <v>0.17</v>
      </c>
      <c r="P324" s="9"/>
    </row>
    <row r="325">
      <c r="A325" s="6" t="s">
        <v>1019</v>
      </c>
      <c r="B325" s="6" t="s">
        <v>1020</v>
      </c>
      <c r="C325" s="6" t="s">
        <v>377</v>
      </c>
      <c r="D325" s="6" t="s">
        <v>1021</v>
      </c>
      <c r="E325" s="6" t="s">
        <v>891</v>
      </c>
      <c r="F325" s="6" t="s">
        <v>77</v>
      </c>
      <c r="G325" s="7">
        <v>0.05</v>
      </c>
      <c r="H325" s="6" t="s">
        <v>471</v>
      </c>
      <c r="I325" s="6" t="s">
        <v>20</v>
      </c>
      <c r="J325" s="6">
        <v>2026.0</v>
      </c>
      <c r="K325" s="10">
        <v>46206.0</v>
      </c>
      <c r="L325" s="6">
        <v>3.0</v>
      </c>
      <c r="M325" s="8">
        <f t="shared" si="1"/>
        <v>0.15</v>
      </c>
      <c r="P325" s="9"/>
    </row>
    <row r="326">
      <c r="A326" s="6" t="s">
        <v>1022</v>
      </c>
      <c r="B326" s="6" t="s">
        <v>138</v>
      </c>
      <c r="C326" s="6" t="s">
        <v>37</v>
      </c>
      <c r="D326" s="6" t="s">
        <v>1023</v>
      </c>
      <c r="E326" s="6" t="s">
        <v>757</v>
      </c>
      <c r="F326" s="6" t="s">
        <v>87</v>
      </c>
      <c r="G326" s="7">
        <v>0.23</v>
      </c>
      <c r="H326" s="6" t="s">
        <v>259</v>
      </c>
      <c r="I326" s="6" t="s">
        <v>20</v>
      </c>
      <c r="J326" s="6">
        <v>1996.0</v>
      </c>
      <c r="L326" s="6">
        <v>1.0</v>
      </c>
      <c r="M326" s="8">
        <f t="shared" si="1"/>
        <v>0.23</v>
      </c>
      <c r="P326" s="9"/>
    </row>
    <row r="327">
      <c r="A327" s="6" t="s">
        <v>1024</v>
      </c>
      <c r="B327" s="6" t="s">
        <v>1025</v>
      </c>
      <c r="C327" s="6" t="s">
        <v>43</v>
      </c>
      <c r="D327" s="6" t="s">
        <v>1026</v>
      </c>
      <c r="E327" s="6" t="s">
        <v>1027</v>
      </c>
      <c r="F327" s="6" t="s">
        <v>77</v>
      </c>
      <c r="G327" s="7">
        <v>0.06</v>
      </c>
      <c r="H327" s="6" t="s">
        <v>1028</v>
      </c>
      <c r="I327" s="6" t="s">
        <v>20</v>
      </c>
      <c r="J327" s="6">
        <v>2011.0</v>
      </c>
      <c r="K327" s="10">
        <v>46055.0</v>
      </c>
      <c r="L327" s="6">
        <v>1.0</v>
      </c>
      <c r="M327" s="8">
        <f t="shared" si="1"/>
        <v>0.06</v>
      </c>
      <c r="P327" s="9"/>
    </row>
    <row r="328">
      <c r="A328" s="6" t="s">
        <v>1029</v>
      </c>
      <c r="B328" s="6" t="s">
        <v>74</v>
      </c>
      <c r="C328" s="6" t="s">
        <v>43</v>
      </c>
      <c r="D328" s="6" t="s">
        <v>1030</v>
      </c>
      <c r="E328" s="6" t="s">
        <v>256</v>
      </c>
      <c r="F328" s="6" t="s">
        <v>87</v>
      </c>
      <c r="G328" s="7">
        <v>0.03</v>
      </c>
      <c r="H328" s="6" t="s">
        <v>290</v>
      </c>
      <c r="I328" s="6" t="s">
        <v>20</v>
      </c>
      <c r="J328" s="6">
        <v>2019.0</v>
      </c>
      <c r="L328" s="6">
        <v>2.0</v>
      </c>
      <c r="M328" s="8">
        <f t="shared" si="1"/>
        <v>0.06</v>
      </c>
      <c r="P328" s="9"/>
    </row>
    <row r="329">
      <c r="A329" s="6" t="s">
        <v>1031</v>
      </c>
      <c r="B329" s="6" t="s">
        <v>988</v>
      </c>
      <c r="C329" s="6" t="s">
        <v>43</v>
      </c>
      <c r="D329" s="6" t="s">
        <v>1032</v>
      </c>
      <c r="E329" s="6" t="s">
        <v>107</v>
      </c>
      <c r="F329" s="6" t="s">
        <v>18</v>
      </c>
      <c r="G329" s="7">
        <v>0.05</v>
      </c>
      <c r="H329" s="6" t="s">
        <v>407</v>
      </c>
      <c r="I329" s="6" t="s">
        <v>20</v>
      </c>
      <c r="J329" s="6">
        <v>2016.0</v>
      </c>
      <c r="K329" s="10">
        <v>46082.0</v>
      </c>
      <c r="L329" s="6">
        <v>1.0</v>
      </c>
      <c r="M329" s="8">
        <f t="shared" si="1"/>
        <v>0.05</v>
      </c>
      <c r="P329" s="9"/>
    </row>
    <row r="330">
      <c r="A330" s="6" t="s">
        <v>1033</v>
      </c>
      <c r="B330" s="6" t="s">
        <v>115</v>
      </c>
      <c r="C330" s="6" t="s">
        <v>15</v>
      </c>
      <c r="D330" s="6" t="s">
        <v>1034</v>
      </c>
      <c r="E330" s="6" t="s">
        <v>1007</v>
      </c>
      <c r="F330" s="6" t="s">
        <v>87</v>
      </c>
      <c r="G330" s="7">
        <v>0.05</v>
      </c>
      <c r="H330" s="6" t="s">
        <v>342</v>
      </c>
      <c r="I330" s="6" t="s">
        <v>20</v>
      </c>
      <c r="J330" s="6">
        <v>2014.0</v>
      </c>
      <c r="L330" s="6">
        <v>2.0</v>
      </c>
      <c r="M330" s="8">
        <f t="shared" si="1"/>
        <v>0.1</v>
      </c>
      <c r="P330" s="9"/>
    </row>
    <row r="331">
      <c r="A331" s="6" t="s">
        <v>1035</v>
      </c>
      <c r="B331" s="6" t="s">
        <v>1036</v>
      </c>
      <c r="C331" s="6" t="s">
        <v>43</v>
      </c>
      <c r="D331" s="6" t="s">
        <v>1037</v>
      </c>
      <c r="E331" s="6" t="s">
        <v>185</v>
      </c>
      <c r="F331" s="6" t="s">
        <v>26</v>
      </c>
      <c r="G331" s="7">
        <v>0.03</v>
      </c>
      <c r="H331" s="6" t="s">
        <v>1038</v>
      </c>
      <c r="I331" s="6" t="s">
        <v>20</v>
      </c>
      <c r="J331" s="6">
        <v>2015.0</v>
      </c>
      <c r="K331" s="10">
        <v>46082.0</v>
      </c>
      <c r="L331" s="6">
        <v>1.0</v>
      </c>
      <c r="M331" s="8">
        <f t="shared" si="1"/>
        <v>0.03</v>
      </c>
      <c r="P331" s="9"/>
    </row>
    <row r="332">
      <c r="A332" s="6" t="s">
        <v>1039</v>
      </c>
      <c r="B332" s="6" t="s">
        <v>74</v>
      </c>
      <c r="C332" s="6" t="s">
        <v>43</v>
      </c>
      <c r="D332" s="6" t="s">
        <v>1040</v>
      </c>
      <c r="E332" s="6" t="s">
        <v>107</v>
      </c>
      <c r="F332" s="6" t="s">
        <v>18</v>
      </c>
      <c r="G332" s="7">
        <v>0.07</v>
      </c>
      <c r="H332" s="6" t="s">
        <v>144</v>
      </c>
      <c r="I332" s="6" t="s">
        <v>20</v>
      </c>
      <c r="J332" s="6">
        <v>2018.0</v>
      </c>
      <c r="L332" s="6">
        <v>2.0</v>
      </c>
      <c r="M332" s="8">
        <f t="shared" si="1"/>
        <v>0.14</v>
      </c>
      <c r="P332" s="9"/>
    </row>
    <row r="333">
      <c r="A333" s="6" t="s">
        <v>1041</v>
      </c>
      <c r="B333" s="6" t="s">
        <v>1042</v>
      </c>
      <c r="C333" s="6" t="s">
        <v>37</v>
      </c>
      <c r="D333" s="6" t="s">
        <v>1043</v>
      </c>
      <c r="E333" s="6" t="s">
        <v>1044</v>
      </c>
      <c r="F333" s="6" t="s">
        <v>50</v>
      </c>
      <c r="G333" s="7">
        <v>0.09</v>
      </c>
      <c r="H333" s="6" t="s">
        <v>586</v>
      </c>
      <c r="I333" s="6" t="s">
        <v>20</v>
      </c>
      <c r="J333" s="6">
        <v>2012.0</v>
      </c>
      <c r="K333" s="10">
        <v>46023.0</v>
      </c>
      <c r="L333" s="6">
        <v>2.0</v>
      </c>
      <c r="M333" s="8">
        <f t="shared" si="1"/>
        <v>0.18</v>
      </c>
      <c r="P333" s="9"/>
    </row>
    <row r="334">
      <c r="A334" s="6" t="s">
        <v>1045</v>
      </c>
      <c r="B334" s="6" t="s">
        <v>1046</v>
      </c>
      <c r="C334" s="6" t="s">
        <v>43</v>
      </c>
      <c r="D334" s="6" t="s">
        <v>1047</v>
      </c>
      <c r="E334" s="6" t="s">
        <v>389</v>
      </c>
      <c r="F334" s="6" t="s">
        <v>87</v>
      </c>
      <c r="G334" s="7">
        <v>0.06</v>
      </c>
      <c r="H334" s="6" t="s">
        <v>1048</v>
      </c>
      <c r="I334" s="6" t="s">
        <v>20</v>
      </c>
      <c r="J334" s="6">
        <v>2008.0</v>
      </c>
      <c r="K334" s="6" t="s">
        <v>301</v>
      </c>
      <c r="L334" s="6">
        <v>1.0</v>
      </c>
      <c r="M334" s="8">
        <f t="shared" si="1"/>
        <v>0.06</v>
      </c>
      <c r="P334" s="9"/>
    </row>
    <row r="335">
      <c r="A335" s="6" t="s">
        <v>1049</v>
      </c>
      <c r="B335" s="6" t="s">
        <v>213</v>
      </c>
      <c r="C335" s="6" t="s">
        <v>23</v>
      </c>
      <c r="D335" s="6" t="s">
        <v>1050</v>
      </c>
      <c r="E335" s="6">
        <v>3.0</v>
      </c>
      <c r="F335" s="6" t="s">
        <v>26</v>
      </c>
      <c r="G335" s="7">
        <v>0.14</v>
      </c>
      <c r="H335" s="6" t="s">
        <v>153</v>
      </c>
      <c r="I335" s="6" t="s">
        <v>20</v>
      </c>
      <c r="J335" s="6">
        <v>2025.0</v>
      </c>
      <c r="L335" s="6">
        <v>5.0</v>
      </c>
      <c r="M335" s="8">
        <f t="shared" si="1"/>
        <v>0.7</v>
      </c>
      <c r="P335" s="9"/>
    </row>
    <row r="336">
      <c r="A336" s="6" t="s">
        <v>1051</v>
      </c>
      <c r="B336" s="6" t="s">
        <v>606</v>
      </c>
      <c r="C336" s="6" t="s">
        <v>23</v>
      </c>
      <c r="D336" s="6" t="s">
        <v>1052</v>
      </c>
      <c r="E336" s="6" t="s">
        <v>980</v>
      </c>
      <c r="F336" s="6" t="s">
        <v>112</v>
      </c>
      <c r="G336" s="7">
        <v>0.05</v>
      </c>
      <c r="H336" s="6" t="s">
        <v>153</v>
      </c>
      <c r="I336" s="6" t="s">
        <v>20</v>
      </c>
      <c r="J336" s="6">
        <v>2025.0</v>
      </c>
      <c r="L336" s="6">
        <v>11.0</v>
      </c>
      <c r="M336" s="8">
        <f t="shared" si="1"/>
        <v>0.55</v>
      </c>
      <c r="P336" s="9"/>
    </row>
    <row r="337">
      <c r="A337" s="6" t="s">
        <v>1053</v>
      </c>
      <c r="B337" s="6" t="s">
        <v>1054</v>
      </c>
      <c r="C337" s="6" t="s">
        <v>30</v>
      </c>
      <c r="D337" s="6" t="s">
        <v>1055</v>
      </c>
      <c r="E337" s="6" t="s">
        <v>176</v>
      </c>
      <c r="F337" s="6" t="s">
        <v>77</v>
      </c>
      <c r="G337" s="7">
        <v>0.25</v>
      </c>
      <c r="H337" s="6" t="s">
        <v>655</v>
      </c>
      <c r="I337" s="6" t="s">
        <v>20</v>
      </c>
      <c r="J337" s="6">
        <v>2023.0</v>
      </c>
      <c r="K337" s="10">
        <v>46056.0</v>
      </c>
      <c r="L337" s="6">
        <v>1.0</v>
      </c>
      <c r="M337" s="8">
        <f t="shared" si="1"/>
        <v>0.25</v>
      </c>
      <c r="P337" s="9"/>
    </row>
    <row r="338">
      <c r="A338" s="6" t="s">
        <v>1056</v>
      </c>
      <c r="B338" s="6" t="s">
        <v>1057</v>
      </c>
      <c r="C338" s="6" t="s">
        <v>43</v>
      </c>
      <c r="D338" s="6" t="s">
        <v>1058</v>
      </c>
      <c r="E338" s="6" t="s">
        <v>86</v>
      </c>
      <c r="F338" s="6" t="s">
        <v>87</v>
      </c>
      <c r="G338" s="7">
        <v>0.17</v>
      </c>
      <c r="H338" s="6" t="s">
        <v>113</v>
      </c>
      <c r="I338" s="6" t="s">
        <v>20</v>
      </c>
      <c r="J338" s="6">
        <v>2023.0</v>
      </c>
      <c r="K338" s="10">
        <v>46023.0</v>
      </c>
      <c r="L338" s="6">
        <v>1.0</v>
      </c>
      <c r="M338" s="8">
        <f t="shared" si="1"/>
        <v>0.17</v>
      </c>
      <c r="P338" s="9"/>
    </row>
    <row r="339">
      <c r="A339" s="6" t="s">
        <v>1059</v>
      </c>
      <c r="B339" s="6" t="s">
        <v>771</v>
      </c>
      <c r="C339" s="6" t="s">
        <v>37</v>
      </c>
      <c r="D339" s="6" t="s">
        <v>1060</v>
      </c>
      <c r="E339" s="6" t="s">
        <v>76</v>
      </c>
      <c r="F339" s="6" t="s">
        <v>77</v>
      </c>
      <c r="G339" s="7">
        <v>0.1</v>
      </c>
      <c r="H339" s="6" t="s">
        <v>160</v>
      </c>
      <c r="I339" s="6" t="s">
        <v>20</v>
      </c>
      <c r="J339" s="6">
        <v>2024.0</v>
      </c>
      <c r="K339" s="10">
        <v>46023.0</v>
      </c>
      <c r="L339" s="6">
        <v>1.0</v>
      </c>
      <c r="M339" s="8">
        <f t="shared" si="1"/>
        <v>0.1</v>
      </c>
      <c r="P339" s="9"/>
    </row>
    <row r="340">
      <c r="A340" s="6" t="s">
        <v>1061</v>
      </c>
      <c r="B340" s="6" t="s">
        <v>138</v>
      </c>
      <c r="C340" s="6" t="s">
        <v>37</v>
      </c>
      <c r="D340" s="6" t="s">
        <v>1062</v>
      </c>
      <c r="E340" s="6" t="s">
        <v>86</v>
      </c>
      <c r="F340" s="6" t="s">
        <v>87</v>
      </c>
      <c r="G340" s="7">
        <v>0.05</v>
      </c>
      <c r="H340" s="6" t="s">
        <v>1063</v>
      </c>
      <c r="I340" s="6" t="s">
        <v>20</v>
      </c>
      <c r="J340" s="6">
        <v>1995.0</v>
      </c>
      <c r="L340" s="6">
        <v>2.0</v>
      </c>
      <c r="M340" s="8">
        <f t="shared" si="1"/>
        <v>0.1</v>
      </c>
      <c r="P340" s="9"/>
    </row>
    <row r="341">
      <c r="A341" s="6" t="s">
        <v>1061</v>
      </c>
      <c r="B341" s="6" t="s">
        <v>138</v>
      </c>
      <c r="C341" s="6" t="s">
        <v>37</v>
      </c>
      <c r="D341" s="6" t="s">
        <v>1062</v>
      </c>
      <c r="E341" s="6" t="s">
        <v>86</v>
      </c>
      <c r="F341" s="6" t="s">
        <v>87</v>
      </c>
      <c r="G341" s="7">
        <v>0.3</v>
      </c>
      <c r="H341" s="6" t="s">
        <v>1064</v>
      </c>
      <c r="I341" s="6" t="s">
        <v>20</v>
      </c>
      <c r="J341" s="6">
        <v>1995.0</v>
      </c>
      <c r="L341" s="6">
        <v>4.0</v>
      </c>
      <c r="M341" s="8">
        <f t="shared" si="1"/>
        <v>1.2</v>
      </c>
      <c r="P341" s="9"/>
    </row>
    <row r="342">
      <c r="A342" s="6" t="s">
        <v>1065</v>
      </c>
      <c r="B342" s="6" t="s">
        <v>292</v>
      </c>
      <c r="C342" s="6" t="s">
        <v>61</v>
      </c>
      <c r="D342" s="6" t="s">
        <v>1066</v>
      </c>
      <c r="E342" s="6" t="s">
        <v>943</v>
      </c>
      <c r="F342" s="6" t="s">
        <v>40</v>
      </c>
      <c r="G342" s="7">
        <v>0.18</v>
      </c>
      <c r="H342" s="6" t="s">
        <v>631</v>
      </c>
      <c r="I342" s="6" t="s">
        <v>20</v>
      </c>
      <c r="J342" s="6">
        <v>1995.0</v>
      </c>
      <c r="L342" s="6">
        <v>2.0</v>
      </c>
      <c r="M342" s="8">
        <f t="shared" si="1"/>
        <v>0.36</v>
      </c>
      <c r="P342" s="9"/>
    </row>
    <row r="343">
      <c r="A343" s="6" t="s">
        <v>1067</v>
      </c>
      <c r="B343" s="6" t="s">
        <v>331</v>
      </c>
      <c r="C343" s="6" t="s">
        <v>43</v>
      </c>
      <c r="D343" s="6" t="s">
        <v>1068</v>
      </c>
      <c r="E343" s="6" t="s">
        <v>86</v>
      </c>
      <c r="F343" s="6" t="s">
        <v>87</v>
      </c>
      <c r="G343" s="7">
        <v>0.09</v>
      </c>
      <c r="H343" s="6" t="s">
        <v>89</v>
      </c>
      <c r="I343" s="6" t="s">
        <v>20</v>
      </c>
      <c r="J343" s="6">
        <v>2021.0</v>
      </c>
      <c r="K343" s="10">
        <v>46024.0</v>
      </c>
      <c r="L343" s="6">
        <v>1.0</v>
      </c>
      <c r="M343" s="8">
        <f t="shared" si="1"/>
        <v>0.09</v>
      </c>
      <c r="P343" s="9"/>
    </row>
    <row r="344">
      <c r="A344" s="6" t="s">
        <v>1069</v>
      </c>
      <c r="B344" s="6" t="s">
        <v>146</v>
      </c>
      <c r="C344" s="6" t="s">
        <v>37</v>
      </c>
      <c r="D344" s="6" t="s">
        <v>1070</v>
      </c>
      <c r="E344" s="6" t="s">
        <v>248</v>
      </c>
      <c r="F344" s="6" t="s">
        <v>77</v>
      </c>
      <c r="G344" s="7">
        <v>0.13</v>
      </c>
      <c r="H344" s="6" t="s">
        <v>1071</v>
      </c>
      <c r="I344" s="6" t="s">
        <v>20</v>
      </c>
      <c r="J344" s="6">
        <v>2012.0</v>
      </c>
      <c r="L344" s="6">
        <v>1.0</v>
      </c>
      <c r="M344" s="8">
        <f t="shared" si="1"/>
        <v>0.13</v>
      </c>
      <c r="P344" s="9"/>
    </row>
    <row r="345">
      <c r="A345" s="6" t="s">
        <v>1072</v>
      </c>
      <c r="B345" s="6" t="s">
        <v>647</v>
      </c>
      <c r="C345" s="6" t="s">
        <v>43</v>
      </c>
      <c r="D345" s="6" t="s">
        <v>1073</v>
      </c>
      <c r="E345" s="6" t="s">
        <v>185</v>
      </c>
      <c r="F345" s="6" t="s">
        <v>26</v>
      </c>
      <c r="G345" s="7">
        <v>0.05</v>
      </c>
      <c r="H345" s="6" t="s">
        <v>89</v>
      </c>
      <c r="I345" s="6" t="s">
        <v>20</v>
      </c>
      <c r="J345" s="6">
        <v>2021.0</v>
      </c>
      <c r="K345" s="10">
        <v>46055.0</v>
      </c>
      <c r="L345" s="6">
        <v>1.0</v>
      </c>
      <c r="M345" s="8">
        <f t="shared" si="1"/>
        <v>0.05</v>
      </c>
      <c r="P345" s="9"/>
    </row>
    <row r="346">
      <c r="A346" s="6" t="s">
        <v>1074</v>
      </c>
      <c r="B346" s="6" t="s">
        <v>146</v>
      </c>
      <c r="C346" s="6" t="s">
        <v>30</v>
      </c>
      <c r="D346" s="6" t="s">
        <v>1075</v>
      </c>
      <c r="E346" s="6" t="s">
        <v>256</v>
      </c>
      <c r="F346" s="6" t="s">
        <v>87</v>
      </c>
      <c r="G346" s="7">
        <v>0.75</v>
      </c>
      <c r="H346" s="6" t="s">
        <v>1076</v>
      </c>
      <c r="I346" s="6" t="s">
        <v>20</v>
      </c>
      <c r="J346" s="6">
        <v>2018.0</v>
      </c>
      <c r="L346" s="6">
        <v>1.0</v>
      </c>
      <c r="M346" s="8">
        <f t="shared" si="1"/>
        <v>0.75</v>
      </c>
      <c r="P346" s="9"/>
    </row>
    <row r="347">
      <c r="A347" s="6" t="s">
        <v>1077</v>
      </c>
      <c r="B347" s="6" t="s">
        <v>162</v>
      </c>
      <c r="C347" s="6" t="s">
        <v>43</v>
      </c>
      <c r="D347" s="6" t="s">
        <v>1078</v>
      </c>
      <c r="E347" s="6" t="s">
        <v>248</v>
      </c>
      <c r="F347" s="6" t="s">
        <v>77</v>
      </c>
      <c r="G347" s="7">
        <v>0.49</v>
      </c>
      <c r="H347" s="6" t="s">
        <v>211</v>
      </c>
      <c r="I347" s="6" t="s">
        <v>20</v>
      </c>
      <c r="J347" s="6">
        <v>2010.0</v>
      </c>
      <c r="L347" s="6">
        <v>1.0</v>
      </c>
      <c r="M347" s="8">
        <f t="shared" si="1"/>
        <v>0.49</v>
      </c>
      <c r="P347" s="9"/>
    </row>
    <row r="348">
      <c r="A348" s="6" t="s">
        <v>1079</v>
      </c>
      <c r="B348" s="6" t="s">
        <v>371</v>
      </c>
      <c r="C348" s="6" t="s">
        <v>43</v>
      </c>
      <c r="D348" s="6" t="s">
        <v>1080</v>
      </c>
      <c r="E348" s="6" t="s">
        <v>76</v>
      </c>
      <c r="F348" s="6" t="s">
        <v>77</v>
      </c>
      <c r="G348" s="7">
        <v>0.03</v>
      </c>
      <c r="H348" s="6" t="s">
        <v>249</v>
      </c>
      <c r="I348" s="6" t="s">
        <v>20</v>
      </c>
      <c r="J348" s="6">
        <v>2014.0</v>
      </c>
      <c r="K348" s="10">
        <v>46024.0</v>
      </c>
      <c r="L348" s="6">
        <v>4.0</v>
      </c>
      <c r="M348" s="8">
        <f t="shared" si="1"/>
        <v>0.12</v>
      </c>
      <c r="P348" s="9"/>
    </row>
    <row r="349">
      <c r="A349" s="6" t="s">
        <v>1081</v>
      </c>
      <c r="B349" s="6" t="s">
        <v>1082</v>
      </c>
      <c r="C349" s="6" t="s">
        <v>43</v>
      </c>
      <c r="D349" s="6" t="s">
        <v>1083</v>
      </c>
      <c r="E349" s="6" t="s">
        <v>256</v>
      </c>
      <c r="F349" s="6" t="s">
        <v>87</v>
      </c>
      <c r="G349" s="7">
        <v>0.05</v>
      </c>
      <c r="H349" s="6" t="s">
        <v>922</v>
      </c>
      <c r="I349" s="6" t="s">
        <v>20</v>
      </c>
      <c r="J349" s="6">
        <v>2014.0</v>
      </c>
      <c r="K349" s="10">
        <v>46025.0</v>
      </c>
      <c r="L349" s="6">
        <v>1.0</v>
      </c>
      <c r="M349" s="8">
        <f t="shared" si="1"/>
        <v>0.05</v>
      </c>
      <c r="P349" s="9"/>
    </row>
    <row r="350">
      <c r="A350" s="6" t="s">
        <v>1084</v>
      </c>
      <c r="B350" s="6" t="s">
        <v>331</v>
      </c>
      <c r="C350" s="6" t="s">
        <v>43</v>
      </c>
      <c r="D350" s="6" t="s">
        <v>1085</v>
      </c>
      <c r="E350" s="6" t="s">
        <v>176</v>
      </c>
      <c r="F350" s="6" t="s">
        <v>77</v>
      </c>
      <c r="G350" s="7">
        <v>0.06</v>
      </c>
      <c r="H350" s="6" t="s">
        <v>444</v>
      </c>
      <c r="I350" s="6" t="s">
        <v>20</v>
      </c>
      <c r="J350" s="6">
        <v>2012.0</v>
      </c>
      <c r="K350" s="10">
        <v>46023.0</v>
      </c>
      <c r="L350" s="6">
        <v>1.0</v>
      </c>
      <c r="M350" s="8">
        <f t="shared" si="1"/>
        <v>0.06</v>
      </c>
      <c r="P350" s="9"/>
    </row>
    <row r="351">
      <c r="A351" s="6" t="s">
        <v>1084</v>
      </c>
      <c r="B351" s="6" t="s">
        <v>331</v>
      </c>
      <c r="C351" s="6" t="s">
        <v>43</v>
      </c>
      <c r="D351" s="6" t="s">
        <v>1085</v>
      </c>
      <c r="E351" s="6" t="s">
        <v>176</v>
      </c>
      <c r="F351" s="6" t="s">
        <v>77</v>
      </c>
      <c r="G351" s="7">
        <v>0.13</v>
      </c>
      <c r="H351" s="6" t="s">
        <v>270</v>
      </c>
      <c r="I351" s="6" t="s">
        <v>20</v>
      </c>
      <c r="J351" s="6">
        <v>2022.0</v>
      </c>
      <c r="K351" s="10">
        <v>46023.0</v>
      </c>
      <c r="L351" s="6">
        <v>1.0</v>
      </c>
      <c r="M351" s="8">
        <f t="shared" si="1"/>
        <v>0.13</v>
      </c>
      <c r="P351" s="9"/>
    </row>
    <row r="352">
      <c r="A352" s="6" t="s">
        <v>1084</v>
      </c>
      <c r="B352" s="6" t="s">
        <v>331</v>
      </c>
      <c r="C352" s="6" t="s">
        <v>43</v>
      </c>
      <c r="D352" s="6" t="s">
        <v>1085</v>
      </c>
      <c r="E352" s="6" t="s">
        <v>176</v>
      </c>
      <c r="F352" s="6" t="s">
        <v>77</v>
      </c>
      <c r="G352" s="7">
        <v>0.13</v>
      </c>
      <c r="H352" s="6" t="s">
        <v>270</v>
      </c>
      <c r="I352" s="6" t="s">
        <v>20</v>
      </c>
      <c r="J352" s="6">
        <v>2022.0</v>
      </c>
      <c r="K352" s="10">
        <v>46023.0</v>
      </c>
      <c r="L352" s="6">
        <v>1.0</v>
      </c>
      <c r="M352" s="8">
        <f t="shared" si="1"/>
        <v>0.13</v>
      </c>
      <c r="P352" s="9"/>
    </row>
    <row r="353">
      <c r="A353" s="6" t="s">
        <v>1086</v>
      </c>
      <c r="B353" s="6" t="s">
        <v>1087</v>
      </c>
      <c r="C353" s="6" t="s">
        <v>1088</v>
      </c>
      <c r="D353" s="6" t="s">
        <v>1089</v>
      </c>
      <c r="E353" s="6" t="s">
        <v>82</v>
      </c>
      <c r="F353" s="6" t="s">
        <v>77</v>
      </c>
      <c r="G353" s="7">
        <v>1.5</v>
      </c>
      <c r="H353" s="6" t="s">
        <v>1090</v>
      </c>
      <c r="I353" s="6" t="s">
        <v>20</v>
      </c>
      <c r="J353" s="6">
        <v>2011.0</v>
      </c>
      <c r="K353" s="10">
        <v>46084.0</v>
      </c>
      <c r="L353" s="6">
        <v>1.0</v>
      </c>
      <c r="M353" s="8">
        <f t="shared" si="1"/>
        <v>1.5</v>
      </c>
      <c r="P353" s="9"/>
    </row>
    <row r="354">
      <c r="A354" s="6" t="s">
        <v>1091</v>
      </c>
      <c r="B354" s="6" t="s">
        <v>219</v>
      </c>
      <c r="C354" s="6" t="s">
        <v>37</v>
      </c>
      <c r="D354" s="6" t="s">
        <v>1092</v>
      </c>
      <c r="E354" s="6" t="s">
        <v>1093</v>
      </c>
      <c r="F354" s="6" t="s">
        <v>77</v>
      </c>
      <c r="G354" s="7">
        <v>0.06</v>
      </c>
      <c r="H354" s="6" t="s">
        <v>398</v>
      </c>
      <c r="I354" s="6" t="s">
        <v>20</v>
      </c>
      <c r="J354" s="6">
        <v>2019.0</v>
      </c>
      <c r="L354" s="6">
        <v>1.0</v>
      </c>
      <c r="M354" s="8">
        <f t="shared" si="1"/>
        <v>0.06</v>
      </c>
      <c r="P354" s="9"/>
    </row>
    <row r="355">
      <c r="A355" s="6" t="s">
        <v>1094</v>
      </c>
      <c r="B355" s="6" t="s">
        <v>1095</v>
      </c>
      <c r="C355" s="6" t="s">
        <v>43</v>
      </c>
      <c r="D355" s="6" t="s">
        <v>1096</v>
      </c>
      <c r="E355" s="6" t="s">
        <v>164</v>
      </c>
      <c r="F355" s="6" t="s">
        <v>112</v>
      </c>
      <c r="G355" s="7">
        <v>0.14</v>
      </c>
      <c r="H355" s="7" t="s">
        <v>290</v>
      </c>
      <c r="I355" s="6" t="s">
        <v>20</v>
      </c>
      <c r="J355" s="6">
        <v>2019.0</v>
      </c>
      <c r="K355" s="10">
        <v>46023.0</v>
      </c>
      <c r="L355" s="6">
        <v>1.0</v>
      </c>
      <c r="M355" s="8">
        <f t="shared" si="1"/>
        <v>0.14</v>
      </c>
      <c r="P355" s="9"/>
    </row>
    <row r="356">
      <c r="A356" s="6" t="s">
        <v>1097</v>
      </c>
      <c r="B356" s="6" t="s">
        <v>254</v>
      </c>
      <c r="C356" s="6" t="s">
        <v>377</v>
      </c>
      <c r="D356" s="6" t="s">
        <v>1098</v>
      </c>
      <c r="E356" s="6" t="s">
        <v>107</v>
      </c>
      <c r="F356" s="6" t="s">
        <v>1099</v>
      </c>
      <c r="G356" s="7">
        <v>0.15</v>
      </c>
      <c r="H356" s="6" t="s">
        <v>471</v>
      </c>
      <c r="I356" s="6" t="s">
        <v>20</v>
      </c>
      <c r="J356" s="6">
        <v>2026.0</v>
      </c>
      <c r="L356" s="6">
        <v>1.0</v>
      </c>
      <c r="M356" s="8">
        <f t="shared" si="1"/>
        <v>0.15</v>
      </c>
      <c r="P356" s="9"/>
    </row>
    <row r="357">
      <c r="A357" s="6" t="s">
        <v>1100</v>
      </c>
      <c r="B357" s="6" t="s">
        <v>1101</v>
      </c>
      <c r="C357" s="6" t="s">
        <v>43</v>
      </c>
      <c r="D357" s="6" t="s">
        <v>1102</v>
      </c>
      <c r="E357" s="6" t="s">
        <v>256</v>
      </c>
      <c r="F357" s="6" t="s">
        <v>87</v>
      </c>
      <c r="G357" s="7">
        <v>0.06</v>
      </c>
      <c r="H357" s="6" t="s">
        <v>34</v>
      </c>
      <c r="I357" s="6" t="s">
        <v>20</v>
      </c>
      <c r="J357" s="6">
        <v>2025.0</v>
      </c>
      <c r="K357" s="10">
        <v>46055.0</v>
      </c>
      <c r="L357" s="6">
        <v>4.0</v>
      </c>
      <c r="M357" s="8">
        <f t="shared" si="1"/>
        <v>0.24</v>
      </c>
      <c r="P357" s="9"/>
    </row>
    <row r="358">
      <c r="A358" s="6" t="s">
        <v>1103</v>
      </c>
      <c r="B358" s="6" t="s">
        <v>1046</v>
      </c>
      <c r="C358" s="6" t="s">
        <v>43</v>
      </c>
      <c r="D358" s="6" t="s">
        <v>1104</v>
      </c>
      <c r="E358" s="6" t="s">
        <v>76</v>
      </c>
      <c r="F358" s="6" t="s">
        <v>77</v>
      </c>
      <c r="G358" s="7">
        <v>0.06</v>
      </c>
      <c r="H358" s="6" t="s">
        <v>83</v>
      </c>
      <c r="I358" s="6" t="s">
        <v>20</v>
      </c>
      <c r="J358" s="6">
        <v>1997.0</v>
      </c>
      <c r="K358" s="10">
        <v>46023.0</v>
      </c>
      <c r="L358" s="6">
        <v>1.0</v>
      </c>
      <c r="M358" s="8">
        <f t="shared" si="1"/>
        <v>0.06</v>
      </c>
      <c r="P358" s="9"/>
    </row>
    <row r="359">
      <c r="A359" s="6" t="s">
        <v>1103</v>
      </c>
      <c r="B359" s="6" t="s">
        <v>1046</v>
      </c>
      <c r="C359" s="6" t="s">
        <v>43</v>
      </c>
      <c r="D359" s="6" t="s">
        <v>1104</v>
      </c>
      <c r="E359" s="6" t="s">
        <v>76</v>
      </c>
      <c r="F359" s="6" t="s">
        <v>77</v>
      </c>
      <c r="G359" s="7">
        <v>0.06</v>
      </c>
      <c r="H359" s="6" t="s">
        <v>1064</v>
      </c>
      <c r="I359" s="6" t="s">
        <v>20</v>
      </c>
      <c r="J359" s="6">
        <v>1997.0</v>
      </c>
      <c r="K359" s="10">
        <v>46023.0</v>
      </c>
      <c r="L359" s="6">
        <v>2.0</v>
      </c>
      <c r="M359" s="8">
        <f t="shared" si="1"/>
        <v>0.12</v>
      </c>
      <c r="P359" s="9"/>
    </row>
    <row r="360">
      <c r="A360" s="6" t="s">
        <v>1105</v>
      </c>
      <c r="B360" s="6" t="s">
        <v>1106</v>
      </c>
      <c r="C360" s="6" t="s">
        <v>43</v>
      </c>
      <c r="D360" s="6" t="s">
        <v>1107</v>
      </c>
      <c r="E360" s="6" t="s">
        <v>117</v>
      </c>
      <c r="F360" s="6" t="s">
        <v>77</v>
      </c>
      <c r="G360" s="7">
        <v>0.08</v>
      </c>
      <c r="H360" s="6" t="s">
        <v>141</v>
      </c>
      <c r="I360" s="6" t="s">
        <v>20</v>
      </c>
      <c r="J360" s="6">
        <v>1995.0</v>
      </c>
      <c r="K360" s="10">
        <v>46023.0</v>
      </c>
      <c r="L360" s="6">
        <v>3.0</v>
      </c>
      <c r="M360" s="8">
        <f t="shared" si="1"/>
        <v>0.24</v>
      </c>
      <c r="P360" s="9"/>
    </row>
    <row r="361">
      <c r="A361" s="6" t="s">
        <v>1108</v>
      </c>
      <c r="B361" s="6" t="s">
        <v>1109</v>
      </c>
      <c r="C361" s="6" t="s">
        <v>37</v>
      </c>
      <c r="D361" s="6" t="s">
        <v>1110</v>
      </c>
      <c r="E361" s="6" t="s">
        <v>248</v>
      </c>
      <c r="F361" s="6" t="s">
        <v>77</v>
      </c>
      <c r="G361" s="7">
        <v>0.06</v>
      </c>
      <c r="H361" s="6" t="s">
        <v>1111</v>
      </c>
      <c r="I361" s="6" t="s">
        <v>20</v>
      </c>
      <c r="J361" s="6">
        <v>1993.0</v>
      </c>
      <c r="K361" s="10">
        <v>46084.0</v>
      </c>
      <c r="L361" s="6">
        <v>1.0</v>
      </c>
      <c r="M361" s="8">
        <f t="shared" si="1"/>
        <v>0.06</v>
      </c>
      <c r="P361" s="9"/>
    </row>
    <row r="362">
      <c r="A362" s="6" t="s">
        <v>1112</v>
      </c>
      <c r="B362" s="6" t="s">
        <v>208</v>
      </c>
      <c r="C362" s="6" t="s">
        <v>30</v>
      </c>
      <c r="D362" s="6" t="s">
        <v>1113</v>
      </c>
      <c r="E362" s="6" t="s">
        <v>248</v>
      </c>
      <c r="F362" s="6" t="s">
        <v>77</v>
      </c>
      <c r="G362" s="7">
        <v>0.15</v>
      </c>
      <c r="H362" s="6" t="s">
        <v>283</v>
      </c>
      <c r="I362" s="6" t="s">
        <v>20</v>
      </c>
      <c r="J362" s="6">
        <v>2013.0</v>
      </c>
      <c r="K362" s="10">
        <v>46082.0</v>
      </c>
      <c r="L362" s="6">
        <v>1.0</v>
      </c>
      <c r="M362" s="8">
        <f t="shared" si="1"/>
        <v>0.15</v>
      </c>
      <c r="P362" s="9"/>
    </row>
    <row r="363">
      <c r="A363" s="6" t="s">
        <v>1114</v>
      </c>
      <c r="B363" s="6" t="s">
        <v>1115</v>
      </c>
      <c r="C363" s="6" t="s">
        <v>37</v>
      </c>
      <c r="D363" s="6" t="s">
        <v>1116</v>
      </c>
      <c r="E363" s="6" t="s">
        <v>1117</v>
      </c>
      <c r="F363" s="6" t="s">
        <v>1118</v>
      </c>
      <c r="G363" s="7">
        <v>0.25</v>
      </c>
      <c r="H363" s="6" t="s">
        <v>471</v>
      </c>
      <c r="I363" s="6" t="s">
        <v>20</v>
      </c>
      <c r="J363" s="6">
        <v>2026.0</v>
      </c>
      <c r="K363" s="10">
        <v>46083.0</v>
      </c>
      <c r="L363" s="6">
        <v>1.0</v>
      </c>
      <c r="M363" s="8">
        <f t="shared" si="1"/>
        <v>0.25</v>
      </c>
      <c r="P363" s="9"/>
    </row>
    <row r="364">
      <c r="A364" s="6" t="s">
        <v>1119</v>
      </c>
      <c r="B364" s="6" t="s">
        <v>1120</v>
      </c>
      <c r="C364" s="6" t="s">
        <v>377</v>
      </c>
      <c r="D364" s="6" t="s">
        <v>1121</v>
      </c>
      <c r="E364" s="6" t="s">
        <v>76</v>
      </c>
      <c r="F364" s="6" t="s">
        <v>77</v>
      </c>
      <c r="G364" s="7">
        <v>0.1</v>
      </c>
      <c r="H364" s="6" t="s">
        <v>471</v>
      </c>
      <c r="I364" s="6" t="s">
        <v>20</v>
      </c>
      <c r="J364" s="6">
        <v>2026.0</v>
      </c>
      <c r="K364" s="10">
        <v>46082.0</v>
      </c>
      <c r="L364" s="6">
        <v>2.0</v>
      </c>
      <c r="M364" s="8">
        <f t="shared" si="1"/>
        <v>0.2</v>
      </c>
      <c r="P364" s="9"/>
    </row>
    <row r="365">
      <c r="A365" s="6" t="s">
        <v>1122</v>
      </c>
      <c r="B365" s="6" t="s">
        <v>462</v>
      </c>
      <c r="C365" s="6" t="s">
        <v>43</v>
      </c>
      <c r="D365" s="6" t="s">
        <v>1123</v>
      </c>
      <c r="E365" s="6" t="s">
        <v>76</v>
      </c>
      <c r="F365" s="6" t="s">
        <v>77</v>
      </c>
      <c r="G365" s="7">
        <v>0.06</v>
      </c>
      <c r="H365" s="6" t="s">
        <v>471</v>
      </c>
      <c r="I365" s="6" t="s">
        <v>20</v>
      </c>
      <c r="J365" s="6">
        <v>2026.0</v>
      </c>
      <c r="L365" s="6">
        <v>1.0</v>
      </c>
      <c r="M365" s="8">
        <f t="shared" si="1"/>
        <v>0.06</v>
      </c>
      <c r="P365" s="9"/>
    </row>
    <row r="366">
      <c r="A366" s="6" t="s">
        <v>1124</v>
      </c>
      <c r="B366" s="6" t="s">
        <v>1125</v>
      </c>
      <c r="C366" s="6" t="s">
        <v>43</v>
      </c>
      <c r="D366" s="6" t="s">
        <v>1126</v>
      </c>
      <c r="E366" s="6" t="s">
        <v>356</v>
      </c>
      <c r="F366" s="6" t="s">
        <v>87</v>
      </c>
      <c r="G366" s="7">
        <v>0.03</v>
      </c>
      <c r="H366" s="6" t="s">
        <v>475</v>
      </c>
      <c r="I366" s="6" t="s">
        <v>20</v>
      </c>
      <c r="J366" s="6">
        <v>2024.0</v>
      </c>
      <c r="K366" s="10">
        <v>46116.0</v>
      </c>
      <c r="L366" s="6">
        <v>1.0</v>
      </c>
      <c r="M366" s="8">
        <f t="shared" si="1"/>
        <v>0.03</v>
      </c>
      <c r="P366" s="9"/>
    </row>
    <row r="367">
      <c r="A367" s="6" t="s">
        <v>1127</v>
      </c>
      <c r="B367" s="6" t="s">
        <v>52</v>
      </c>
      <c r="C367" s="6" t="s">
        <v>43</v>
      </c>
      <c r="D367" s="6" t="s">
        <v>1128</v>
      </c>
      <c r="F367" s="6" t="s">
        <v>1118</v>
      </c>
      <c r="G367" s="7">
        <v>0.14</v>
      </c>
      <c r="H367" s="6" t="s">
        <v>34</v>
      </c>
      <c r="I367" s="6" t="s">
        <v>20</v>
      </c>
      <c r="J367" s="6">
        <v>2025.0</v>
      </c>
      <c r="L367" s="6">
        <v>1.0</v>
      </c>
      <c r="M367" s="8">
        <f t="shared" si="1"/>
        <v>0.14</v>
      </c>
      <c r="P367" s="9"/>
    </row>
    <row r="368">
      <c r="A368" s="6" t="s">
        <v>1129</v>
      </c>
      <c r="B368" s="6" t="s">
        <v>606</v>
      </c>
      <c r="C368" s="6" t="s">
        <v>23</v>
      </c>
      <c r="D368" s="6" t="s">
        <v>1130</v>
      </c>
      <c r="E368" s="6" t="s">
        <v>1131</v>
      </c>
      <c r="F368" s="6" t="s">
        <v>87</v>
      </c>
      <c r="G368" s="7">
        <v>0.05</v>
      </c>
      <c r="H368" s="6" t="s">
        <v>780</v>
      </c>
      <c r="I368" s="6" t="s">
        <v>20</v>
      </c>
      <c r="J368" s="6">
        <v>2025.0</v>
      </c>
      <c r="L368" s="6">
        <v>1.0</v>
      </c>
      <c r="M368" s="8">
        <f t="shared" si="1"/>
        <v>0.05</v>
      </c>
      <c r="P368" s="9"/>
    </row>
    <row r="369">
      <c r="A369" s="6" t="s">
        <v>1129</v>
      </c>
      <c r="B369" s="6" t="s">
        <v>606</v>
      </c>
      <c r="C369" s="6" t="s">
        <v>23</v>
      </c>
      <c r="D369" s="6" t="s">
        <v>1130</v>
      </c>
      <c r="E369" s="6" t="s">
        <v>1131</v>
      </c>
      <c r="F369" s="6" t="s">
        <v>87</v>
      </c>
      <c r="G369" s="7">
        <v>0.03</v>
      </c>
      <c r="H369" s="6" t="s">
        <v>1132</v>
      </c>
      <c r="I369" s="6" t="s">
        <v>20</v>
      </c>
      <c r="J369" s="6">
        <v>2025.0</v>
      </c>
      <c r="L369" s="6">
        <v>1.0</v>
      </c>
      <c r="M369" s="8">
        <f t="shared" si="1"/>
        <v>0.03</v>
      </c>
      <c r="P369" s="9"/>
    </row>
    <row r="370">
      <c r="A370" s="6" t="s">
        <v>1133</v>
      </c>
      <c r="B370" s="6" t="s">
        <v>138</v>
      </c>
      <c r="C370" s="6" t="s">
        <v>43</v>
      </c>
      <c r="D370" s="6" t="s">
        <v>1134</v>
      </c>
      <c r="E370" s="6" t="s">
        <v>176</v>
      </c>
      <c r="F370" s="6" t="s">
        <v>77</v>
      </c>
      <c r="G370" s="7">
        <v>0.09</v>
      </c>
      <c r="H370" s="6" t="s">
        <v>259</v>
      </c>
      <c r="I370" s="6" t="s">
        <v>20</v>
      </c>
      <c r="J370" s="6">
        <v>1996.0</v>
      </c>
      <c r="L370" s="6">
        <v>1.0</v>
      </c>
      <c r="M370" s="8">
        <f t="shared" si="1"/>
        <v>0.09</v>
      </c>
      <c r="P370" s="9"/>
    </row>
    <row r="371">
      <c r="A371" s="6" t="s">
        <v>1135</v>
      </c>
      <c r="B371" s="6" t="s">
        <v>396</v>
      </c>
      <c r="C371" s="6" t="s">
        <v>43</v>
      </c>
      <c r="D371" s="6" t="s">
        <v>1136</v>
      </c>
      <c r="E371" s="6" t="s">
        <v>1137</v>
      </c>
      <c r="F371" s="6" t="s">
        <v>26</v>
      </c>
      <c r="G371" s="7">
        <v>0.08</v>
      </c>
      <c r="H371" s="6" t="s">
        <v>407</v>
      </c>
      <c r="I371" s="6" t="s">
        <v>20</v>
      </c>
      <c r="J371" s="6">
        <v>2016.0</v>
      </c>
      <c r="L371" s="6">
        <v>1.0</v>
      </c>
      <c r="M371" s="8">
        <f t="shared" si="1"/>
        <v>0.08</v>
      </c>
      <c r="P371" s="9"/>
    </row>
    <row r="372">
      <c r="A372" s="6" t="s">
        <v>1138</v>
      </c>
      <c r="B372" s="6" t="s">
        <v>1139</v>
      </c>
      <c r="C372" s="6" t="s">
        <v>43</v>
      </c>
      <c r="D372" s="6" t="s">
        <v>1140</v>
      </c>
      <c r="E372" s="6" t="s">
        <v>757</v>
      </c>
      <c r="F372" s="6" t="s">
        <v>87</v>
      </c>
      <c r="G372" s="7">
        <v>0.05</v>
      </c>
      <c r="H372" s="6" t="s">
        <v>187</v>
      </c>
      <c r="I372" s="6" t="s">
        <v>20</v>
      </c>
      <c r="J372" s="6">
        <v>1995.0</v>
      </c>
      <c r="K372" s="10">
        <v>46084.0</v>
      </c>
      <c r="L372" s="6">
        <v>2.0</v>
      </c>
      <c r="M372" s="8">
        <f t="shared" si="1"/>
        <v>0.1</v>
      </c>
      <c r="P372" s="9"/>
    </row>
    <row r="373">
      <c r="A373" s="6" t="s">
        <v>1141</v>
      </c>
      <c r="B373" s="6" t="s">
        <v>115</v>
      </c>
      <c r="C373" s="6" t="s">
        <v>23</v>
      </c>
      <c r="D373" s="6" t="s">
        <v>1142</v>
      </c>
      <c r="E373" s="6" t="s">
        <v>1143</v>
      </c>
      <c r="F373" s="6" t="s">
        <v>77</v>
      </c>
      <c r="G373" s="7">
        <v>0.05</v>
      </c>
      <c r="H373" s="6" t="s">
        <v>1144</v>
      </c>
      <c r="I373" s="6" t="s">
        <v>20</v>
      </c>
      <c r="J373" s="6">
        <v>2019.0</v>
      </c>
      <c r="L373" s="6">
        <v>1.0</v>
      </c>
      <c r="M373" s="8">
        <f t="shared" si="1"/>
        <v>0.05</v>
      </c>
      <c r="P373" s="9"/>
    </row>
    <row r="374">
      <c r="A374" s="6" t="s">
        <v>1141</v>
      </c>
      <c r="B374" s="6" t="s">
        <v>115</v>
      </c>
      <c r="C374" s="6" t="s">
        <v>23</v>
      </c>
      <c r="D374" s="6" t="s">
        <v>1142</v>
      </c>
      <c r="E374" s="6" t="s">
        <v>1143</v>
      </c>
      <c r="F374" s="6" t="s">
        <v>77</v>
      </c>
      <c r="G374" s="7">
        <v>0.08</v>
      </c>
      <c r="H374" s="6" t="s">
        <v>130</v>
      </c>
      <c r="I374" s="6" t="s">
        <v>20</v>
      </c>
      <c r="J374" s="6">
        <v>2014.0</v>
      </c>
      <c r="L374" s="6">
        <v>1.0</v>
      </c>
      <c r="M374" s="8">
        <f t="shared" si="1"/>
        <v>0.08</v>
      </c>
      <c r="P374" s="9"/>
    </row>
    <row r="375">
      <c r="A375" s="6" t="s">
        <v>1145</v>
      </c>
      <c r="B375" s="6" t="s">
        <v>74</v>
      </c>
      <c r="C375" s="6" t="s">
        <v>43</v>
      </c>
      <c r="D375" s="6" t="s">
        <v>1146</v>
      </c>
      <c r="E375" s="6" t="s">
        <v>1147</v>
      </c>
      <c r="F375" s="6" t="s">
        <v>18</v>
      </c>
      <c r="G375" s="7">
        <v>0.03</v>
      </c>
      <c r="H375" s="6" t="s">
        <v>1148</v>
      </c>
      <c r="I375" s="6" t="s">
        <v>20</v>
      </c>
      <c r="J375" s="6">
        <v>2012.0</v>
      </c>
      <c r="L375" s="6">
        <v>1.0</v>
      </c>
      <c r="M375" s="8">
        <f t="shared" si="1"/>
        <v>0.03</v>
      </c>
      <c r="P375" s="9"/>
    </row>
    <row r="376">
      <c r="A376" s="6" t="s">
        <v>1149</v>
      </c>
      <c r="B376" s="6" t="s">
        <v>208</v>
      </c>
      <c r="C376" s="6" t="s">
        <v>43</v>
      </c>
      <c r="D376" s="6" t="s">
        <v>1150</v>
      </c>
      <c r="E376" s="6" t="s">
        <v>82</v>
      </c>
      <c r="F376" s="6" t="s">
        <v>77</v>
      </c>
      <c r="G376" s="7">
        <v>0.03</v>
      </c>
      <c r="H376" s="6" t="s">
        <v>398</v>
      </c>
      <c r="I376" s="6" t="s">
        <v>20</v>
      </c>
      <c r="J376" s="6">
        <v>2019.0</v>
      </c>
      <c r="K376" s="10">
        <v>46084.0</v>
      </c>
      <c r="L376" s="6">
        <v>1.0</v>
      </c>
      <c r="M376" s="8">
        <f t="shared" si="1"/>
        <v>0.03</v>
      </c>
      <c r="P376" s="9"/>
    </row>
    <row r="377">
      <c r="A377" s="6" t="s">
        <v>1151</v>
      </c>
      <c r="B377" s="6" t="s">
        <v>1152</v>
      </c>
      <c r="C377" s="6" t="s">
        <v>43</v>
      </c>
      <c r="D377" s="6" t="s">
        <v>1153</v>
      </c>
      <c r="E377" s="6" t="s">
        <v>389</v>
      </c>
      <c r="F377" s="6" t="s">
        <v>87</v>
      </c>
      <c r="G377" s="7">
        <v>0.1</v>
      </c>
      <c r="H377" s="6" t="s">
        <v>471</v>
      </c>
      <c r="I377" s="6" t="s">
        <v>20</v>
      </c>
      <c r="J377" s="6">
        <v>2026.0</v>
      </c>
      <c r="K377" s="10">
        <v>46114.0</v>
      </c>
      <c r="L377" s="6">
        <v>1.0</v>
      </c>
      <c r="M377" s="8">
        <f t="shared" si="1"/>
        <v>0.1</v>
      </c>
      <c r="P377" s="9"/>
    </row>
    <row r="378">
      <c r="A378" s="6" t="s">
        <v>1154</v>
      </c>
      <c r="B378" s="6" t="s">
        <v>1155</v>
      </c>
      <c r="C378" s="6" t="s">
        <v>23</v>
      </c>
      <c r="D378" s="6" t="s">
        <v>1156</v>
      </c>
      <c r="E378" s="6" t="s">
        <v>25</v>
      </c>
      <c r="F378" s="6" t="s">
        <v>26</v>
      </c>
      <c r="G378" s="7">
        <v>0.04</v>
      </c>
      <c r="H378" s="6" t="s">
        <v>104</v>
      </c>
      <c r="I378" s="6" t="s">
        <v>20</v>
      </c>
      <c r="J378" s="6">
        <v>2019.0</v>
      </c>
      <c r="K378" s="10">
        <v>46024.0</v>
      </c>
      <c r="L378" s="6">
        <v>1.0</v>
      </c>
      <c r="M378" s="8">
        <f t="shared" si="1"/>
        <v>0.04</v>
      </c>
      <c r="P378" s="9"/>
    </row>
    <row r="379">
      <c r="A379" s="6" t="s">
        <v>1157</v>
      </c>
      <c r="B379" s="6" t="s">
        <v>1158</v>
      </c>
      <c r="C379" s="6" t="s">
        <v>43</v>
      </c>
      <c r="D379" s="6" t="s">
        <v>1159</v>
      </c>
      <c r="E379" s="6" t="s">
        <v>1160</v>
      </c>
      <c r="F379" s="6" t="s">
        <v>1000</v>
      </c>
      <c r="G379" s="7">
        <v>0.08</v>
      </c>
      <c r="H379" s="6" t="s">
        <v>1161</v>
      </c>
      <c r="I379" s="6" t="s">
        <v>20</v>
      </c>
      <c r="J379" s="6">
        <v>2005.0</v>
      </c>
      <c r="K379" s="10">
        <v>46023.0</v>
      </c>
      <c r="L379" s="6">
        <v>2.0</v>
      </c>
      <c r="M379" s="8">
        <f t="shared" si="1"/>
        <v>0.16</v>
      </c>
      <c r="P379" s="9"/>
    </row>
    <row r="380">
      <c r="A380" s="6" t="s">
        <v>1162</v>
      </c>
      <c r="B380" s="6" t="s">
        <v>115</v>
      </c>
      <c r="C380" s="6" t="s">
        <v>23</v>
      </c>
      <c r="D380" s="6" t="s">
        <v>1163</v>
      </c>
      <c r="E380" s="6" t="s">
        <v>616</v>
      </c>
      <c r="F380" s="6" t="s">
        <v>40</v>
      </c>
      <c r="G380" s="7">
        <v>0.13</v>
      </c>
      <c r="H380" s="6" t="s">
        <v>27</v>
      </c>
      <c r="I380" s="6" t="s">
        <v>20</v>
      </c>
      <c r="J380" s="6">
        <v>2026.0</v>
      </c>
      <c r="L380" s="6">
        <v>1.0</v>
      </c>
      <c r="M380" s="8">
        <f t="shared" si="1"/>
        <v>0.13</v>
      </c>
      <c r="P380" s="9"/>
    </row>
    <row r="381">
      <c r="A381" s="6" t="s">
        <v>1164</v>
      </c>
      <c r="B381" s="6" t="s">
        <v>1165</v>
      </c>
      <c r="C381" s="6" t="s">
        <v>37</v>
      </c>
      <c r="D381" s="6" t="s">
        <v>1166</v>
      </c>
      <c r="E381" s="6" t="s">
        <v>1167</v>
      </c>
      <c r="F381" s="6" t="s">
        <v>159</v>
      </c>
      <c r="G381" s="7">
        <v>0.1</v>
      </c>
      <c r="H381" s="6" t="s">
        <v>99</v>
      </c>
      <c r="I381" s="6" t="s">
        <v>20</v>
      </c>
      <c r="J381" s="6">
        <v>2022.0</v>
      </c>
      <c r="K381" s="10">
        <v>46116.0</v>
      </c>
      <c r="L381" s="6">
        <v>1.0</v>
      </c>
      <c r="M381" s="8">
        <f t="shared" si="1"/>
        <v>0.1</v>
      </c>
      <c r="P381" s="9"/>
    </row>
    <row r="382">
      <c r="A382" s="6" t="s">
        <v>1168</v>
      </c>
      <c r="B382" s="6" t="s">
        <v>1169</v>
      </c>
      <c r="C382" s="6" t="s">
        <v>37</v>
      </c>
      <c r="D382" s="6" t="s">
        <v>1170</v>
      </c>
      <c r="E382" s="6" t="s">
        <v>579</v>
      </c>
      <c r="F382" s="6" t="s">
        <v>112</v>
      </c>
      <c r="G382" s="7">
        <v>0.15</v>
      </c>
      <c r="H382" s="6" t="s">
        <v>297</v>
      </c>
      <c r="I382" s="6" t="s">
        <v>20</v>
      </c>
      <c r="J382" s="6">
        <v>2022.0</v>
      </c>
      <c r="L382" s="6">
        <v>1.0</v>
      </c>
      <c r="M382" s="8">
        <f t="shared" si="1"/>
        <v>0.15</v>
      </c>
      <c r="P382" s="9"/>
    </row>
    <row r="383">
      <c r="A383" s="6" t="s">
        <v>1171</v>
      </c>
      <c r="B383" s="6" t="s">
        <v>462</v>
      </c>
      <c r="C383" s="6" t="s">
        <v>43</v>
      </c>
      <c r="D383" s="6" t="s">
        <v>1172</v>
      </c>
      <c r="E383" s="6" t="s">
        <v>389</v>
      </c>
      <c r="F383" s="6" t="s">
        <v>87</v>
      </c>
      <c r="G383" s="7">
        <v>0.1</v>
      </c>
      <c r="H383" s="6" t="s">
        <v>136</v>
      </c>
      <c r="I383" s="6" t="s">
        <v>20</v>
      </c>
      <c r="J383" s="6">
        <v>2026.0</v>
      </c>
      <c r="L383" s="6">
        <v>1.0</v>
      </c>
      <c r="M383" s="8">
        <f t="shared" si="1"/>
        <v>0.1</v>
      </c>
      <c r="P383" s="9"/>
    </row>
    <row r="384">
      <c r="A384" s="6" t="s">
        <v>1171</v>
      </c>
      <c r="B384" s="6" t="s">
        <v>462</v>
      </c>
      <c r="C384" s="6" t="s">
        <v>43</v>
      </c>
      <c r="D384" s="6" t="s">
        <v>1172</v>
      </c>
      <c r="E384" s="6" t="s">
        <v>389</v>
      </c>
      <c r="F384" s="6" t="s">
        <v>87</v>
      </c>
      <c r="G384" s="7">
        <v>0.2</v>
      </c>
      <c r="H384" s="6" t="s">
        <v>136</v>
      </c>
      <c r="I384" s="6" t="s">
        <v>45</v>
      </c>
      <c r="J384" s="6">
        <v>2026.0</v>
      </c>
      <c r="L384" s="6">
        <v>1.0</v>
      </c>
      <c r="M384" s="8">
        <f t="shared" si="1"/>
        <v>0.2</v>
      </c>
      <c r="P384" s="9"/>
    </row>
    <row r="385">
      <c r="A385" s="6" t="s">
        <v>1173</v>
      </c>
      <c r="B385" s="6" t="s">
        <v>1174</v>
      </c>
      <c r="C385" s="6" t="s">
        <v>37</v>
      </c>
      <c r="D385" s="6" t="s">
        <v>1175</v>
      </c>
      <c r="E385" s="6" t="s">
        <v>1176</v>
      </c>
      <c r="F385" s="6" t="s">
        <v>18</v>
      </c>
      <c r="G385" s="7">
        <v>0.1</v>
      </c>
      <c r="H385" s="6" t="s">
        <v>475</v>
      </c>
      <c r="I385" s="6" t="s">
        <v>20</v>
      </c>
      <c r="J385" s="6">
        <v>2024.0</v>
      </c>
      <c r="L385" s="6">
        <v>1.0</v>
      </c>
      <c r="M385" s="8">
        <f t="shared" si="1"/>
        <v>0.1</v>
      </c>
      <c r="P385" s="9"/>
    </row>
    <row r="386">
      <c r="A386" s="6" t="s">
        <v>1177</v>
      </c>
      <c r="B386" s="6" t="s">
        <v>74</v>
      </c>
      <c r="C386" s="6" t="s">
        <v>43</v>
      </c>
      <c r="D386" s="6" t="s">
        <v>1178</v>
      </c>
      <c r="E386" s="6" t="s">
        <v>902</v>
      </c>
      <c r="F386" s="6" t="s">
        <v>87</v>
      </c>
      <c r="G386" s="7">
        <v>0.05</v>
      </c>
      <c r="H386" s="6" t="s">
        <v>496</v>
      </c>
      <c r="I386" s="6" t="s">
        <v>20</v>
      </c>
      <c r="J386" s="6">
        <v>2013.0</v>
      </c>
      <c r="L386" s="6">
        <v>1.0</v>
      </c>
      <c r="M386" s="8">
        <f t="shared" si="1"/>
        <v>0.05</v>
      </c>
      <c r="P386" s="9"/>
    </row>
    <row r="387">
      <c r="A387" s="6" t="s">
        <v>1179</v>
      </c>
      <c r="B387" s="6" t="s">
        <v>494</v>
      </c>
      <c r="C387" s="6" t="s">
        <v>43</v>
      </c>
      <c r="D387" s="6" t="s">
        <v>1180</v>
      </c>
      <c r="E387" s="6" t="s">
        <v>57</v>
      </c>
      <c r="F387" s="6" t="s">
        <v>40</v>
      </c>
      <c r="G387" s="7">
        <v>0.15</v>
      </c>
      <c r="H387" s="6" t="s">
        <v>1181</v>
      </c>
      <c r="I387" s="6" t="s">
        <v>20</v>
      </c>
      <c r="J387" s="6">
        <v>2025.0</v>
      </c>
      <c r="L387" s="6">
        <v>1.0</v>
      </c>
      <c r="M387" s="8">
        <f t="shared" si="1"/>
        <v>0.15</v>
      </c>
      <c r="P387" s="9"/>
    </row>
    <row r="388">
      <c r="A388" s="6" t="s">
        <v>1182</v>
      </c>
      <c r="B388" s="6" t="s">
        <v>1183</v>
      </c>
      <c r="C388" s="6" t="s">
        <v>37</v>
      </c>
      <c r="D388" s="6" t="s">
        <v>1184</v>
      </c>
      <c r="E388" s="6" t="s">
        <v>57</v>
      </c>
      <c r="F388" s="6" t="s">
        <v>40</v>
      </c>
      <c r="G388" s="7">
        <v>0.1</v>
      </c>
      <c r="H388" s="6" t="s">
        <v>1185</v>
      </c>
      <c r="I388" s="6" t="s">
        <v>20</v>
      </c>
      <c r="J388" s="6">
        <v>2007.0</v>
      </c>
      <c r="L388" s="6">
        <v>1.0</v>
      </c>
      <c r="M388" s="8">
        <f t="shared" si="1"/>
        <v>0.1</v>
      </c>
      <c r="P388" s="9"/>
    </row>
    <row r="389">
      <c r="A389" s="6" t="s">
        <v>1186</v>
      </c>
      <c r="B389" s="6" t="s">
        <v>1187</v>
      </c>
      <c r="C389" s="6" t="s">
        <v>37</v>
      </c>
      <c r="D389" s="6" t="s">
        <v>1188</v>
      </c>
      <c r="E389" s="6" t="s">
        <v>540</v>
      </c>
      <c r="F389" s="6" t="s">
        <v>40</v>
      </c>
      <c r="G389" s="7">
        <v>0.07</v>
      </c>
      <c r="H389" s="6" t="s">
        <v>160</v>
      </c>
      <c r="I389" s="6" t="s">
        <v>20</v>
      </c>
      <c r="J389" s="6">
        <v>2024.0</v>
      </c>
      <c r="K389" s="10">
        <v>46207.0</v>
      </c>
      <c r="L389" s="6">
        <v>1.0</v>
      </c>
      <c r="M389" s="8">
        <f t="shared" si="1"/>
        <v>0.07</v>
      </c>
      <c r="P389" s="9"/>
    </row>
    <row r="390">
      <c r="A390" s="6" t="s">
        <v>1189</v>
      </c>
      <c r="B390" s="6" t="s">
        <v>219</v>
      </c>
      <c r="C390" s="6" t="s">
        <v>61</v>
      </c>
      <c r="D390" s="6" t="s">
        <v>1190</v>
      </c>
      <c r="E390" s="6" t="s">
        <v>994</v>
      </c>
      <c r="F390" s="6" t="s">
        <v>26</v>
      </c>
      <c r="G390" s="7">
        <v>2.4</v>
      </c>
      <c r="H390" s="6" t="s">
        <v>316</v>
      </c>
      <c r="I390" s="6" t="s">
        <v>20</v>
      </c>
      <c r="J390" s="6">
        <v>1993.0</v>
      </c>
      <c r="L390" s="6">
        <v>1.0</v>
      </c>
      <c r="M390" s="8">
        <f t="shared" si="1"/>
        <v>2.4</v>
      </c>
      <c r="N390" s="6" t="s">
        <v>122</v>
      </c>
      <c r="P390" s="9"/>
    </row>
    <row r="391">
      <c r="A391" s="6" t="s">
        <v>1191</v>
      </c>
      <c r="B391" s="6" t="s">
        <v>1192</v>
      </c>
      <c r="C391" s="6" t="s">
        <v>43</v>
      </c>
      <c r="D391" s="6" t="s">
        <v>1193</v>
      </c>
      <c r="E391" s="6" t="s">
        <v>57</v>
      </c>
      <c r="F391" s="6" t="s">
        <v>40</v>
      </c>
      <c r="G391" s="7">
        <v>0.06</v>
      </c>
      <c r="H391" s="6" t="s">
        <v>1194</v>
      </c>
      <c r="I391" s="6" t="s">
        <v>20</v>
      </c>
      <c r="J391" s="6">
        <v>2014.0</v>
      </c>
      <c r="K391" s="10">
        <v>46113.0</v>
      </c>
      <c r="L391" s="6">
        <v>1.0</v>
      </c>
      <c r="M391" s="8">
        <f t="shared" si="1"/>
        <v>0.06</v>
      </c>
      <c r="P391" s="9"/>
    </row>
    <row r="392">
      <c r="A392" s="6" t="s">
        <v>1195</v>
      </c>
      <c r="B392" s="6" t="s">
        <v>1196</v>
      </c>
      <c r="C392" s="6" t="s">
        <v>37</v>
      </c>
      <c r="D392" s="6" t="s">
        <v>1197</v>
      </c>
      <c r="E392" s="6" t="s">
        <v>76</v>
      </c>
      <c r="F392" s="6" t="s">
        <v>77</v>
      </c>
      <c r="G392" s="7">
        <v>0.1</v>
      </c>
      <c r="H392" s="6" t="s">
        <v>249</v>
      </c>
      <c r="I392" s="6" t="s">
        <v>20</v>
      </c>
      <c r="J392" s="6">
        <v>2014.0</v>
      </c>
      <c r="K392" s="10">
        <v>46023.0</v>
      </c>
      <c r="L392" s="6">
        <v>4.0</v>
      </c>
      <c r="M392" s="8">
        <f t="shared" si="1"/>
        <v>0.4</v>
      </c>
      <c r="P392" s="9"/>
    </row>
    <row r="393">
      <c r="A393" s="6" t="s">
        <v>1198</v>
      </c>
      <c r="B393" s="6" t="s">
        <v>396</v>
      </c>
      <c r="C393" s="6" t="s">
        <v>43</v>
      </c>
      <c r="D393" s="6" t="s">
        <v>1199</v>
      </c>
      <c r="E393" s="6" t="s">
        <v>164</v>
      </c>
      <c r="F393" s="6" t="s">
        <v>112</v>
      </c>
      <c r="G393" s="7">
        <v>0.05</v>
      </c>
      <c r="H393" s="6" t="s">
        <v>89</v>
      </c>
      <c r="I393" s="6" t="s">
        <v>20</v>
      </c>
      <c r="J393" s="6">
        <v>2021.0</v>
      </c>
      <c r="L393" s="6">
        <v>1.0</v>
      </c>
      <c r="M393" s="8">
        <f t="shared" si="1"/>
        <v>0.05</v>
      </c>
      <c r="P393" s="9"/>
    </row>
    <row r="394">
      <c r="A394" s="6" t="s">
        <v>1200</v>
      </c>
      <c r="B394" s="6" t="s">
        <v>254</v>
      </c>
      <c r="C394" s="6" t="s">
        <v>30</v>
      </c>
      <c r="D394" s="6" t="s">
        <v>1201</v>
      </c>
      <c r="E394" s="6" t="s">
        <v>389</v>
      </c>
      <c r="F394" s="6" t="s">
        <v>87</v>
      </c>
      <c r="G394" s="7">
        <v>1.74</v>
      </c>
      <c r="H394" s="6" t="s">
        <v>187</v>
      </c>
      <c r="I394" s="6" t="s">
        <v>20</v>
      </c>
      <c r="J394" s="6">
        <v>1995.0</v>
      </c>
      <c r="L394" s="6">
        <v>1.0</v>
      </c>
      <c r="M394" s="8">
        <f t="shared" si="1"/>
        <v>1.74</v>
      </c>
      <c r="P394" s="9"/>
    </row>
    <row r="395">
      <c r="A395" s="6" t="s">
        <v>1202</v>
      </c>
      <c r="B395" s="6" t="s">
        <v>1203</v>
      </c>
      <c r="C395" s="6" t="s">
        <v>43</v>
      </c>
      <c r="D395" s="6" t="s">
        <v>1204</v>
      </c>
      <c r="E395" s="6" t="s">
        <v>329</v>
      </c>
      <c r="F395" s="6" t="s">
        <v>112</v>
      </c>
      <c r="G395" s="7">
        <v>0.08</v>
      </c>
      <c r="H395" s="6" t="s">
        <v>19</v>
      </c>
      <c r="I395" s="6" t="s">
        <v>20</v>
      </c>
      <c r="J395" s="6">
        <v>2023.0</v>
      </c>
      <c r="K395" s="10">
        <v>46023.0</v>
      </c>
      <c r="L395" s="6">
        <v>1.0</v>
      </c>
      <c r="M395" s="8">
        <f t="shared" si="1"/>
        <v>0.08</v>
      </c>
      <c r="P395" s="9"/>
    </row>
    <row r="396">
      <c r="A396" s="6" t="s">
        <v>1205</v>
      </c>
      <c r="B396" s="6" t="s">
        <v>1206</v>
      </c>
      <c r="C396" s="6" t="s">
        <v>37</v>
      </c>
      <c r="D396" s="6" t="s">
        <v>1207</v>
      </c>
      <c r="E396" s="6" t="s">
        <v>215</v>
      </c>
      <c r="F396" s="6" t="s">
        <v>26</v>
      </c>
      <c r="G396" s="7">
        <v>0.14</v>
      </c>
      <c r="H396" s="6" t="s">
        <v>324</v>
      </c>
      <c r="I396" s="6" t="s">
        <v>20</v>
      </c>
      <c r="J396" s="6">
        <v>1995.0</v>
      </c>
      <c r="K396" s="10">
        <v>46082.0</v>
      </c>
      <c r="L396" s="6">
        <v>2.0</v>
      </c>
      <c r="M396" s="8">
        <f t="shared" si="1"/>
        <v>0.28</v>
      </c>
      <c r="P396" s="9"/>
    </row>
    <row r="397">
      <c r="A397" s="6" t="s">
        <v>1205</v>
      </c>
      <c r="B397" s="6" t="s">
        <v>1206</v>
      </c>
      <c r="C397" s="6" t="s">
        <v>37</v>
      </c>
      <c r="D397" s="6" t="s">
        <v>1207</v>
      </c>
      <c r="E397" s="6" t="s">
        <v>215</v>
      </c>
      <c r="F397" s="6" t="s">
        <v>26</v>
      </c>
      <c r="G397" s="7">
        <v>0.49</v>
      </c>
      <c r="H397" s="6" t="s">
        <v>316</v>
      </c>
      <c r="I397" s="6" t="s">
        <v>20</v>
      </c>
      <c r="J397" s="6">
        <v>1995.0</v>
      </c>
      <c r="K397" s="10">
        <v>46082.0</v>
      </c>
      <c r="L397" s="6">
        <v>1.0</v>
      </c>
      <c r="M397" s="8">
        <f t="shared" si="1"/>
        <v>0.49</v>
      </c>
      <c r="P397" s="9"/>
    </row>
    <row r="398">
      <c r="A398" s="6" t="s">
        <v>1208</v>
      </c>
      <c r="B398" s="6" t="s">
        <v>1209</v>
      </c>
      <c r="C398" s="6" t="s">
        <v>43</v>
      </c>
      <c r="D398" s="6" t="s">
        <v>1210</v>
      </c>
      <c r="E398" s="6" t="s">
        <v>256</v>
      </c>
      <c r="F398" s="6" t="s">
        <v>87</v>
      </c>
      <c r="G398" s="7">
        <v>0.2</v>
      </c>
      <c r="H398" s="6" t="s">
        <v>194</v>
      </c>
      <c r="I398" s="6" t="s">
        <v>20</v>
      </c>
      <c r="J398" s="6">
        <v>1994.0</v>
      </c>
      <c r="K398" s="10">
        <v>46056.0</v>
      </c>
      <c r="L398" s="6">
        <v>2.0</v>
      </c>
      <c r="M398" s="8">
        <f t="shared" si="1"/>
        <v>0.4</v>
      </c>
      <c r="P398" s="9"/>
    </row>
    <row r="399">
      <c r="A399" s="6" t="s">
        <v>1211</v>
      </c>
      <c r="B399" s="6" t="s">
        <v>606</v>
      </c>
      <c r="C399" s="6" t="s">
        <v>23</v>
      </c>
      <c r="D399" s="6" t="s">
        <v>1212</v>
      </c>
      <c r="E399" s="6" t="s">
        <v>179</v>
      </c>
      <c r="F399" s="6" t="s">
        <v>112</v>
      </c>
      <c r="G399" s="7">
        <v>0.14</v>
      </c>
      <c r="H399" s="6" t="s">
        <v>19</v>
      </c>
      <c r="I399" s="6" t="s">
        <v>20</v>
      </c>
      <c r="J399" s="6">
        <v>2023.0</v>
      </c>
      <c r="L399" s="6">
        <v>1.0</v>
      </c>
      <c r="M399" s="8">
        <f t="shared" si="1"/>
        <v>0.14</v>
      </c>
      <c r="P399" s="9"/>
    </row>
    <row r="400">
      <c r="A400" s="6" t="s">
        <v>1213</v>
      </c>
      <c r="B400" s="6" t="s">
        <v>1214</v>
      </c>
      <c r="C400" s="6" t="s">
        <v>43</v>
      </c>
      <c r="D400" s="6" t="s">
        <v>1215</v>
      </c>
      <c r="E400" s="6" t="s">
        <v>256</v>
      </c>
      <c r="F400" s="6" t="s">
        <v>87</v>
      </c>
      <c r="G400" s="7">
        <v>0.1</v>
      </c>
      <c r="H400" s="6" t="s">
        <v>582</v>
      </c>
      <c r="I400" s="6" t="s">
        <v>20</v>
      </c>
      <c r="J400" s="6">
        <v>2023.0</v>
      </c>
      <c r="K400" s="10">
        <v>46083.0</v>
      </c>
      <c r="L400" s="6">
        <v>1.0</v>
      </c>
      <c r="M400" s="8">
        <f t="shared" si="1"/>
        <v>0.1</v>
      </c>
      <c r="P400" s="9"/>
    </row>
    <row r="401">
      <c r="A401" s="6" t="s">
        <v>1216</v>
      </c>
      <c r="B401" s="6" t="s">
        <v>1217</v>
      </c>
      <c r="C401" s="6" t="s">
        <v>43</v>
      </c>
      <c r="D401" s="6" t="s">
        <v>1218</v>
      </c>
      <c r="E401" s="6" t="s">
        <v>389</v>
      </c>
      <c r="F401" s="6" t="s">
        <v>87</v>
      </c>
      <c r="G401" s="7">
        <v>0.03</v>
      </c>
      <c r="H401" s="6" t="s">
        <v>1076</v>
      </c>
      <c r="I401" s="6" t="s">
        <v>20</v>
      </c>
      <c r="J401" s="6">
        <v>2018.0</v>
      </c>
      <c r="K401" s="10">
        <v>46084.0</v>
      </c>
      <c r="L401" s="6">
        <v>1.0</v>
      </c>
      <c r="M401" s="8">
        <f t="shared" si="1"/>
        <v>0.03</v>
      </c>
      <c r="P401" s="9"/>
    </row>
    <row r="402">
      <c r="A402" s="6" t="s">
        <v>1219</v>
      </c>
      <c r="B402" s="6" t="s">
        <v>1220</v>
      </c>
      <c r="C402" s="6" t="s">
        <v>37</v>
      </c>
      <c r="D402" s="6" t="s">
        <v>1221</v>
      </c>
      <c r="E402" s="6" t="s">
        <v>753</v>
      </c>
      <c r="F402" s="6" t="s">
        <v>87</v>
      </c>
      <c r="G402" s="7">
        <v>0.05</v>
      </c>
      <c r="H402" s="6" t="s">
        <v>88</v>
      </c>
      <c r="I402" s="6" t="s">
        <v>20</v>
      </c>
      <c r="J402" s="6">
        <v>2024.0</v>
      </c>
      <c r="K402" s="10">
        <v>46084.0</v>
      </c>
      <c r="L402" s="6">
        <v>1.0</v>
      </c>
      <c r="M402" s="8">
        <f t="shared" si="1"/>
        <v>0.05</v>
      </c>
      <c r="P402" s="9"/>
    </row>
    <row r="403">
      <c r="A403" s="6" t="s">
        <v>1222</v>
      </c>
      <c r="B403" s="6" t="s">
        <v>1223</v>
      </c>
      <c r="C403" s="6" t="s">
        <v>366</v>
      </c>
      <c r="D403" s="6" t="s">
        <v>1224</v>
      </c>
      <c r="E403" s="6" t="s">
        <v>1225</v>
      </c>
      <c r="F403" s="6" t="s">
        <v>665</v>
      </c>
      <c r="G403" s="7">
        <v>0.92</v>
      </c>
      <c r="H403" s="6" t="s">
        <v>1226</v>
      </c>
      <c r="I403" s="6" t="s">
        <v>45</v>
      </c>
      <c r="J403" s="6">
        <v>2013.0</v>
      </c>
      <c r="L403" s="6">
        <v>1.0</v>
      </c>
      <c r="M403" s="8">
        <f t="shared" si="1"/>
        <v>0.92</v>
      </c>
      <c r="P403" s="9"/>
    </row>
    <row r="404">
      <c r="A404" s="6" t="s">
        <v>1227</v>
      </c>
      <c r="B404" s="6" t="s">
        <v>74</v>
      </c>
      <c r="C404" s="6" t="s">
        <v>43</v>
      </c>
      <c r="D404" s="6" t="s">
        <v>1228</v>
      </c>
      <c r="E404" s="6" t="s">
        <v>1027</v>
      </c>
      <c r="F404" s="6" t="s">
        <v>77</v>
      </c>
      <c r="G404" s="7">
        <v>0.05</v>
      </c>
      <c r="H404" s="6" t="s">
        <v>363</v>
      </c>
      <c r="I404" s="6" t="s">
        <v>20</v>
      </c>
      <c r="J404" s="6">
        <v>2024.0</v>
      </c>
      <c r="L404" s="6">
        <v>1.0</v>
      </c>
      <c r="M404" s="8">
        <f t="shared" si="1"/>
        <v>0.05</v>
      </c>
      <c r="P404" s="9"/>
    </row>
    <row r="405">
      <c r="A405" s="6" t="s">
        <v>1229</v>
      </c>
      <c r="B405" s="6" t="s">
        <v>1230</v>
      </c>
      <c r="C405" s="6" t="s">
        <v>43</v>
      </c>
      <c r="D405" s="6" t="s">
        <v>1231</v>
      </c>
      <c r="E405" s="6" t="s">
        <v>176</v>
      </c>
      <c r="F405" s="6" t="s">
        <v>77</v>
      </c>
      <c r="G405" s="7">
        <v>0.05</v>
      </c>
      <c r="H405" s="6" t="s">
        <v>259</v>
      </c>
      <c r="I405" s="6" t="s">
        <v>20</v>
      </c>
      <c r="J405" s="6">
        <v>1996.0</v>
      </c>
      <c r="K405" s="10">
        <v>46055.0</v>
      </c>
      <c r="L405" s="6">
        <v>1.0</v>
      </c>
      <c r="M405" s="8">
        <f t="shared" si="1"/>
        <v>0.05</v>
      </c>
      <c r="P405" s="9"/>
    </row>
    <row r="406">
      <c r="A406" s="6" t="s">
        <v>1232</v>
      </c>
      <c r="B406" s="6" t="s">
        <v>619</v>
      </c>
      <c r="C406" s="6" t="s">
        <v>37</v>
      </c>
      <c r="D406" s="6" t="s">
        <v>1233</v>
      </c>
      <c r="E406" s="6" t="s">
        <v>579</v>
      </c>
      <c r="F406" s="6" t="s">
        <v>112</v>
      </c>
      <c r="G406" s="7">
        <v>0.06</v>
      </c>
      <c r="H406" s="6" t="s">
        <v>444</v>
      </c>
      <c r="I406" s="6" t="s">
        <v>20</v>
      </c>
      <c r="J406" s="6">
        <v>2012.0</v>
      </c>
      <c r="K406" s="10">
        <v>46084.0</v>
      </c>
      <c r="L406" s="6">
        <v>1.0</v>
      </c>
      <c r="M406" s="8">
        <f t="shared" si="1"/>
        <v>0.06</v>
      </c>
      <c r="P406" s="9"/>
    </row>
    <row r="407">
      <c r="A407" s="6" t="s">
        <v>1234</v>
      </c>
      <c r="B407" s="6" t="s">
        <v>1235</v>
      </c>
      <c r="C407" s="6" t="s">
        <v>37</v>
      </c>
      <c r="D407" s="6" t="s">
        <v>1236</v>
      </c>
      <c r="E407" s="6" t="s">
        <v>135</v>
      </c>
      <c r="F407" s="6" t="s">
        <v>40</v>
      </c>
      <c r="G407" s="7">
        <v>0.2</v>
      </c>
      <c r="H407" s="6" t="s">
        <v>746</v>
      </c>
      <c r="I407" s="6" t="s">
        <v>20</v>
      </c>
      <c r="J407" s="6">
        <v>2024.0</v>
      </c>
      <c r="K407" s="10">
        <v>46055.0</v>
      </c>
      <c r="L407" s="6">
        <v>1.0</v>
      </c>
      <c r="M407" s="8">
        <f t="shared" si="1"/>
        <v>0.2</v>
      </c>
      <c r="P407" s="9"/>
    </row>
    <row r="408">
      <c r="A408" s="6" t="s">
        <v>1237</v>
      </c>
      <c r="B408" s="6" t="s">
        <v>1238</v>
      </c>
      <c r="C408" s="6" t="s">
        <v>43</v>
      </c>
      <c r="D408" s="6" t="s">
        <v>1239</v>
      </c>
      <c r="E408" s="6" t="s">
        <v>39</v>
      </c>
      <c r="F408" s="6" t="s">
        <v>40</v>
      </c>
      <c r="G408" s="7">
        <v>0.08</v>
      </c>
      <c r="H408" s="6" t="s">
        <v>228</v>
      </c>
      <c r="I408" s="6" t="s">
        <v>20</v>
      </c>
      <c r="J408" s="6">
        <v>2025.0</v>
      </c>
      <c r="K408" s="10">
        <v>46084.0</v>
      </c>
      <c r="L408" s="6">
        <v>1.0</v>
      </c>
      <c r="M408" s="8">
        <f t="shared" si="1"/>
        <v>0.08</v>
      </c>
      <c r="P408" s="9"/>
    </row>
    <row r="409">
      <c r="A409" s="6" t="s">
        <v>1240</v>
      </c>
      <c r="B409" s="6" t="s">
        <v>1241</v>
      </c>
      <c r="C409" s="6" t="s">
        <v>30</v>
      </c>
      <c r="D409" s="6" t="s">
        <v>1242</v>
      </c>
      <c r="E409" s="6" t="s">
        <v>1243</v>
      </c>
      <c r="F409" s="6" t="s">
        <v>1244</v>
      </c>
      <c r="G409" s="7">
        <v>0.37</v>
      </c>
      <c r="H409" s="6" t="s">
        <v>471</v>
      </c>
      <c r="I409" s="6" t="s">
        <v>20</v>
      </c>
      <c r="J409" s="6">
        <v>2026.0</v>
      </c>
      <c r="L409" s="6">
        <v>1.0</v>
      </c>
      <c r="M409" s="8">
        <f t="shared" si="1"/>
        <v>0.37</v>
      </c>
      <c r="P409" s="9"/>
    </row>
    <row r="410">
      <c r="A410" s="6" t="s">
        <v>1245</v>
      </c>
      <c r="B410" s="6" t="s">
        <v>462</v>
      </c>
      <c r="C410" s="6" t="s">
        <v>37</v>
      </c>
      <c r="D410" s="6" t="s">
        <v>1246</v>
      </c>
      <c r="E410" s="6" t="s">
        <v>1247</v>
      </c>
      <c r="F410" s="6" t="s">
        <v>50</v>
      </c>
      <c r="G410" s="7">
        <v>0.13</v>
      </c>
      <c r="H410" s="6" t="s">
        <v>136</v>
      </c>
      <c r="I410" s="6" t="s">
        <v>20</v>
      </c>
      <c r="J410" s="6">
        <v>2026.0</v>
      </c>
      <c r="L410" s="6">
        <v>1.0</v>
      </c>
      <c r="M410" s="8">
        <f t="shared" si="1"/>
        <v>0.13</v>
      </c>
      <c r="P410" s="9"/>
    </row>
    <row r="411">
      <c r="A411" s="6" t="s">
        <v>1248</v>
      </c>
      <c r="B411" s="6" t="s">
        <v>1249</v>
      </c>
      <c r="C411" s="6" t="s">
        <v>43</v>
      </c>
      <c r="D411" s="6" t="s">
        <v>1250</v>
      </c>
      <c r="E411" s="6" t="s">
        <v>76</v>
      </c>
      <c r="F411" s="6" t="s">
        <v>77</v>
      </c>
      <c r="G411" s="7">
        <v>0.14</v>
      </c>
      <c r="H411" s="6" t="s">
        <v>187</v>
      </c>
      <c r="I411" s="6" t="s">
        <v>20</v>
      </c>
      <c r="J411" s="6">
        <v>1995.0</v>
      </c>
      <c r="K411" s="10">
        <v>46023.0</v>
      </c>
      <c r="L411" s="6">
        <v>3.0</v>
      </c>
      <c r="M411" s="8">
        <f t="shared" si="1"/>
        <v>0.42</v>
      </c>
      <c r="P411" s="9"/>
    </row>
    <row r="412">
      <c r="A412" s="6" t="s">
        <v>1251</v>
      </c>
      <c r="B412" s="6" t="s">
        <v>1252</v>
      </c>
      <c r="C412" s="6" t="s">
        <v>37</v>
      </c>
      <c r="D412" s="6" t="s">
        <v>1253</v>
      </c>
      <c r="E412" s="6" t="s">
        <v>1254</v>
      </c>
      <c r="F412" s="6" t="s">
        <v>18</v>
      </c>
      <c r="G412" s="7">
        <v>0.25</v>
      </c>
      <c r="H412" s="6" t="s">
        <v>113</v>
      </c>
      <c r="I412" s="6" t="s">
        <v>20</v>
      </c>
      <c r="J412" s="6">
        <v>2023.0</v>
      </c>
      <c r="K412" s="10">
        <v>46240.0</v>
      </c>
      <c r="L412" s="6">
        <v>1.0</v>
      </c>
      <c r="M412" s="8">
        <f t="shared" si="1"/>
        <v>0.25</v>
      </c>
      <c r="P412" s="9"/>
    </row>
    <row r="413">
      <c r="A413" s="6" t="s">
        <v>1255</v>
      </c>
      <c r="B413" s="6" t="s">
        <v>138</v>
      </c>
      <c r="C413" s="6" t="s">
        <v>30</v>
      </c>
      <c r="D413" s="6" t="s">
        <v>1256</v>
      </c>
      <c r="E413" s="6" t="s">
        <v>891</v>
      </c>
      <c r="F413" s="6" t="s">
        <v>77</v>
      </c>
      <c r="G413" s="7">
        <v>0.34</v>
      </c>
      <c r="H413" s="6" t="s">
        <v>58</v>
      </c>
      <c r="I413" s="6" t="s">
        <v>20</v>
      </c>
      <c r="J413" s="6">
        <v>1995.0</v>
      </c>
      <c r="L413" s="6">
        <v>1.0</v>
      </c>
      <c r="M413" s="8">
        <f t="shared" si="1"/>
        <v>0.34</v>
      </c>
      <c r="P413" s="9"/>
    </row>
    <row r="414">
      <c r="A414" s="6" t="s">
        <v>1257</v>
      </c>
      <c r="B414" s="6" t="s">
        <v>74</v>
      </c>
      <c r="C414" s="6" t="s">
        <v>43</v>
      </c>
      <c r="D414" s="6" t="s">
        <v>1258</v>
      </c>
      <c r="E414" s="6" t="s">
        <v>329</v>
      </c>
      <c r="F414" s="6" t="s">
        <v>112</v>
      </c>
      <c r="G414" s="7">
        <v>0.04</v>
      </c>
      <c r="H414" s="6" t="s">
        <v>88</v>
      </c>
      <c r="I414" s="6" t="s">
        <v>20</v>
      </c>
      <c r="J414" s="6">
        <v>2024.0</v>
      </c>
      <c r="L414" s="6">
        <v>3.0</v>
      </c>
      <c r="M414" s="8">
        <f t="shared" si="1"/>
        <v>0.12</v>
      </c>
      <c r="P414" s="9"/>
    </row>
    <row r="415">
      <c r="A415" s="6" t="s">
        <v>1259</v>
      </c>
      <c r="B415" s="6" t="s">
        <v>192</v>
      </c>
      <c r="C415" s="6" t="s">
        <v>30</v>
      </c>
      <c r="D415" s="6" t="s">
        <v>1260</v>
      </c>
      <c r="E415" s="6" t="s">
        <v>526</v>
      </c>
      <c r="F415" s="6" t="s">
        <v>26</v>
      </c>
      <c r="G415" s="7">
        <v>4.8</v>
      </c>
      <c r="H415" s="6" t="s">
        <v>1261</v>
      </c>
      <c r="I415" s="6" t="s">
        <v>20</v>
      </c>
      <c r="J415" s="6">
        <v>1994.0</v>
      </c>
      <c r="L415" s="6">
        <v>1.0</v>
      </c>
      <c r="M415" s="8">
        <f t="shared" si="1"/>
        <v>4.8</v>
      </c>
      <c r="N415" s="6" t="s">
        <v>122</v>
      </c>
      <c r="P415" s="9"/>
    </row>
    <row r="416">
      <c r="A416" s="6" t="s">
        <v>1262</v>
      </c>
      <c r="B416" s="6" t="s">
        <v>1263</v>
      </c>
      <c r="C416" s="6" t="s">
        <v>15</v>
      </c>
      <c r="D416" s="6" t="s">
        <v>1264</v>
      </c>
      <c r="E416" s="6" t="s">
        <v>1265</v>
      </c>
      <c r="F416" s="6" t="s">
        <v>112</v>
      </c>
      <c r="G416" s="7">
        <v>0.18</v>
      </c>
      <c r="H416" s="6" t="s">
        <v>780</v>
      </c>
      <c r="I416" s="6" t="s">
        <v>20</v>
      </c>
      <c r="J416" s="6">
        <v>2025.0</v>
      </c>
      <c r="K416" s="6" t="s">
        <v>527</v>
      </c>
      <c r="L416" s="6">
        <v>2.0</v>
      </c>
      <c r="M416" s="8">
        <f t="shared" si="1"/>
        <v>0.36</v>
      </c>
      <c r="P416" s="9"/>
    </row>
    <row r="417">
      <c r="A417" s="6" t="s">
        <v>1266</v>
      </c>
      <c r="B417" s="6" t="s">
        <v>192</v>
      </c>
      <c r="C417" s="6" t="s">
        <v>37</v>
      </c>
      <c r="D417" s="6" t="s">
        <v>1267</v>
      </c>
      <c r="E417" s="6" t="s">
        <v>158</v>
      </c>
      <c r="F417" s="6" t="s">
        <v>159</v>
      </c>
      <c r="G417" s="7">
        <v>0.25</v>
      </c>
      <c r="H417" s="6" t="s">
        <v>228</v>
      </c>
      <c r="I417" s="6" t="s">
        <v>20</v>
      </c>
      <c r="J417" s="6">
        <v>2025.0</v>
      </c>
      <c r="L417" s="6">
        <v>1.0</v>
      </c>
      <c r="M417" s="8">
        <f t="shared" si="1"/>
        <v>0.25</v>
      </c>
      <c r="P417" s="9"/>
    </row>
    <row r="418">
      <c r="A418" s="6" t="s">
        <v>1268</v>
      </c>
      <c r="B418" s="6" t="s">
        <v>1269</v>
      </c>
      <c r="C418" s="6" t="s">
        <v>43</v>
      </c>
      <c r="D418" s="6" t="s">
        <v>1270</v>
      </c>
      <c r="E418" s="6" t="s">
        <v>248</v>
      </c>
      <c r="F418" s="6" t="s">
        <v>77</v>
      </c>
      <c r="G418" s="7">
        <v>0.1</v>
      </c>
      <c r="H418" s="6" t="s">
        <v>582</v>
      </c>
      <c r="I418" s="6" t="s">
        <v>20</v>
      </c>
      <c r="J418" s="6">
        <v>2023.0</v>
      </c>
      <c r="K418" s="10">
        <v>46085.0</v>
      </c>
      <c r="L418" s="6">
        <v>1.0</v>
      </c>
      <c r="M418" s="8">
        <f t="shared" si="1"/>
        <v>0.1</v>
      </c>
      <c r="P418" s="9"/>
    </row>
    <row r="419">
      <c r="A419" s="6" t="s">
        <v>1271</v>
      </c>
      <c r="B419" s="6" t="s">
        <v>1272</v>
      </c>
      <c r="C419" s="6" t="s">
        <v>37</v>
      </c>
      <c r="D419" s="6" t="s">
        <v>1273</v>
      </c>
      <c r="E419" s="6" t="s">
        <v>753</v>
      </c>
      <c r="F419" s="6" t="s">
        <v>87</v>
      </c>
      <c r="G419" s="7">
        <v>0.05</v>
      </c>
      <c r="H419" s="6" t="s">
        <v>324</v>
      </c>
      <c r="I419" s="6" t="s">
        <v>20</v>
      </c>
      <c r="J419" s="6">
        <v>1995.0</v>
      </c>
      <c r="K419" s="10">
        <v>46055.0</v>
      </c>
      <c r="L419" s="6">
        <v>2.0</v>
      </c>
      <c r="M419" s="8">
        <f t="shared" si="1"/>
        <v>0.1</v>
      </c>
      <c r="P419" s="9"/>
    </row>
    <row r="420">
      <c r="A420" s="6" t="s">
        <v>1271</v>
      </c>
      <c r="B420" s="6" t="s">
        <v>1272</v>
      </c>
      <c r="C420" s="6" t="s">
        <v>37</v>
      </c>
      <c r="D420" s="6" t="s">
        <v>1273</v>
      </c>
      <c r="E420" s="6" t="s">
        <v>753</v>
      </c>
      <c r="F420" s="6" t="s">
        <v>87</v>
      </c>
      <c r="G420" s="7">
        <v>0.16</v>
      </c>
      <c r="H420" s="6" t="s">
        <v>316</v>
      </c>
      <c r="I420" s="6" t="s">
        <v>20</v>
      </c>
      <c r="J420" s="6">
        <v>1995.0</v>
      </c>
      <c r="K420" s="10">
        <v>46055.0</v>
      </c>
      <c r="L420" s="6">
        <v>3.0</v>
      </c>
      <c r="M420" s="8">
        <f t="shared" si="1"/>
        <v>0.48</v>
      </c>
      <c r="P420" s="9"/>
    </row>
    <row r="421">
      <c r="A421" s="6" t="s">
        <v>1274</v>
      </c>
      <c r="B421" s="6" t="s">
        <v>1275</v>
      </c>
      <c r="C421" s="6" t="s">
        <v>37</v>
      </c>
      <c r="D421" s="6" t="s">
        <v>1276</v>
      </c>
      <c r="E421" s="6" t="s">
        <v>256</v>
      </c>
      <c r="F421" s="6" t="s">
        <v>87</v>
      </c>
      <c r="G421" s="7">
        <v>0.19</v>
      </c>
      <c r="H421" s="6" t="s">
        <v>1277</v>
      </c>
      <c r="I421" s="6" t="s">
        <v>20</v>
      </c>
      <c r="J421" s="6">
        <v>2004.0</v>
      </c>
      <c r="K421" s="10">
        <v>46024.0</v>
      </c>
      <c r="L421" s="6">
        <v>1.0</v>
      </c>
      <c r="M421" s="8">
        <f t="shared" si="1"/>
        <v>0.19</v>
      </c>
      <c r="P421" s="9"/>
    </row>
    <row r="422">
      <c r="A422" s="6" t="s">
        <v>1274</v>
      </c>
      <c r="B422" s="6" t="s">
        <v>1275</v>
      </c>
      <c r="C422" s="6" t="s">
        <v>37</v>
      </c>
      <c r="D422" s="6" t="s">
        <v>1276</v>
      </c>
      <c r="E422" s="6" t="s">
        <v>256</v>
      </c>
      <c r="F422" s="6" t="s">
        <v>87</v>
      </c>
      <c r="G422" s="7">
        <v>0.14</v>
      </c>
      <c r="H422" s="6" t="s">
        <v>1277</v>
      </c>
      <c r="I422" s="6" t="s">
        <v>20</v>
      </c>
      <c r="J422" s="6">
        <v>2004.0</v>
      </c>
      <c r="K422" s="10">
        <v>46024.0</v>
      </c>
      <c r="L422" s="6">
        <v>1.0</v>
      </c>
      <c r="M422" s="8">
        <f t="shared" si="1"/>
        <v>0.14</v>
      </c>
      <c r="N422" s="6" t="s">
        <v>1278</v>
      </c>
      <c r="P422" s="9"/>
    </row>
    <row r="423">
      <c r="A423" s="6" t="s">
        <v>1279</v>
      </c>
      <c r="B423" s="6" t="s">
        <v>1280</v>
      </c>
      <c r="C423" s="6" t="s">
        <v>43</v>
      </c>
      <c r="D423" s="6" t="s">
        <v>1281</v>
      </c>
      <c r="E423" s="6" t="s">
        <v>107</v>
      </c>
      <c r="F423" s="6" t="s">
        <v>18</v>
      </c>
      <c r="G423" s="7">
        <v>0.22</v>
      </c>
      <c r="H423" s="6" t="s">
        <v>238</v>
      </c>
      <c r="I423" s="6" t="s">
        <v>45</v>
      </c>
      <c r="J423" s="6">
        <v>2024.0</v>
      </c>
      <c r="K423" s="10">
        <v>46024.0</v>
      </c>
      <c r="L423" s="6">
        <v>1.0</v>
      </c>
      <c r="M423" s="8">
        <f t="shared" si="1"/>
        <v>0.22</v>
      </c>
      <c r="P423" s="9"/>
    </row>
    <row r="424">
      <c r="A424" s="6" t="s">
        <v>1282</v>
      </c>
      <c r="B424" s="6" t="s">
        <v>462</v>
      </c>
      <c r="C424" s="6" t="s">
        <v>43</v>
      </c>
      <c r="D424" s="6" t="s">
        <v>1283</v>
      </c>
      <c r="E424" s="6" t="s">
        <v>1284</v>
      </c>
      <c r="F424" s="6" t="s">
        <v>87</v>
      </c>
      <c r="G424" s="7">
        <v>0.05</v>
      </c>
      <c r="H424" s="6" t="s">
        <v>259</v>
      </c>
      <c r="I424" s="6" t="s">
        <v>20</v>
      </c>
      <c r="J424" s="6">
        <v>1996.0</v>
      </c>
      <c r="L424" s="6">
        <v>1.0</v>
      </c>
      <c r="M424" s="8">
        <f t="shared" si="1"/>
        <v>0.05</v>
      </c>
      <c r="P424" s="9"/>
    </row>
    <row r="425">
      <c r="A425" s="6" t="s">
        <v>1285</v>
      </c>
      <c r="B425" s="6" t="s">
        <v>504</v>
      </c>
      <c r="C425" s="6" t="s">
        <v>43</v>
      </c>
      <c r="D425" s="6" t="s">
        <v>1286</v>
      </c>
      <c r="E425" s="6" t="s">
        <v>579</v>
      </c>
      <c r="F425" s="6" t="s">
        <v>112</v>
      </c>
      <c r="G425" s="7">
        <v>0.06</v>
      </c>
      <c r="H425" s="6" t="s">
        <v>1287</v>
      </c>
      <c r="I425" s="6" t="s">
        <v>20</v>
      </c>
      <c r="J425" s="6">
        <v>2021.0</v>
      </c>
      <c r="K425" s="10">
        <v>46084.0</v>
      </c>
      <c r="L425" s="6">
        <v>1.0</v>
      </c>
      <c r="M425" s="8">
        <f t="shared" si="1"/>
        <v>0.06</v>
      </c>
      <c r="P425" s="9"/>
    </row>
    <row r="426">
      <c r="A426" s="6" t="s">
        <v>1288</v>
      </c>
      <c r="B426" s="6" t="s">
        <v>1289</v>
      </c>
      <c r="C426" s="6" t="s">
        <v>15</v>
      </c>
      <c r="D426" s="6" t="s">
        <v>1290</v>
      </c>
      <c r="E426" s="6" t="s">
        <v>1291</v>
      </c>
      <c r="F426" s="6" t="s">
        <v>665</v>
      </c>
      <c r="G426" s="7">
        <v>1.86</v>
      </c>
      <c r="H426" s="6" t="s">
        <v>27</v>
      </c>
      <c r="I426" s="6" t="s">
        <v>20</v>
      </c>
      <c r="J426" s="6">
        <v>2026.0</v>
      </c>
      <c r="K426" s="10">
        <v>46083.0</v>
      </c>
      <c r="L426" s="6">
        <v>1.0</v>
      </c>
      <c r="M426" s="8">
        <f t="shared" si="1"/>
        <v>1.86</v>
      </c>
      <c r="P426" s="9"/>
    </row>
    <row r="427">
      <c r="A427" s="6" t="s">
        <v>1292</v>
      </c>
      <c r="B427" s="6" t="s">
        <v>462</v>
      </c>
      <c r="C427" s="6" t="s">
        <v>43</v>
      </c>
      <c r="D427" s="6" t="s">
        <v>1293</v>
      </c>
      <c r="E427" s="6" t="s">
        <v>389</v>
      </c>
      <c r="F427" s="6" t="s">
        <v>87</v>
      </c>
      <c r="G427" s="7">
        <v>0.17</v>
      </c>
      <c r="H427" s="6" t="s">
        <v>34</v>
      </c>
      <c r="I427" s="6" t="s">
        <v>45</v>
      </c>
      <c r="J427" s="6">
        <v>2025.0</v>
      </c>
      <c r="L427" s="6">
        <v>1.0</v>
      </c>
      <c r="M427" s="8">
        <f t="shared" si="1"/>
        <v>0.17</v>
      </c>
      <c r="P427" s="9"/>
    </row>
    <row r="428">
      <c r="A428" s="6" t="s">
        <v>1294</v>
      </c>
      <c r="B428" s="6" t="s">
        <v>1295</v>
      </c>
      <c r="C428" s="6" t="s">
        <v>37</v>
      </c>
      <c r="D428" s="6" t="s">
        <v>1296</v>
      </c>
      <c r="E428" s="6" t="s">
        <v>1297</v>
      </c>
      <c r="F428" s="6" t="s">
        <v>112</v>
      </c>
      <c r="G428" s="7">
        <v>0.2</v>
      </c>
      <c r="H428" s="6" t="s">
        <v>34</v>
      </c>
      <c r="I428" s="6" t="s">
        <v>20</v>
      </c>
      <c r="J428" s="6">
        <v>2025.0</v>
      </c>
      <c r="K428" s="10">
        <v>46116.0</v>
      </c>
      <c r="L428" s="6">
        <v>1.0</v>
      </c>
      <c r="M428" s="8">
        <f t="shared" si="1"/>
        <v>0.2</v>
      </c>
      <c r="P428" s="9"/>
    </row>
    <row r="429">
      <c r="A429" s="6" t="s">
        <v>1298</v>
      </c>
      <c r="B429" s="6" t="s">
        <v>74</v>
      </c>
      <c r="C429" s="6" t="s">
        <v>43</v>
      </c>
      <c r="D429" s="6" t="s">
        <v>1299</v>
      </c>
      <c r="E429" s="6" t="s">
        <v>356</v>
      </c>
      <c r="F429" s="6" t="s">
        <v>87</v>
      </c>
      <c r="G429" s="7">
        <v>0.05</v>
      </c>
      <c r="H429" s="6" t="s">
        <v>1300</v>
      </c>
      <c r="I429" s="6" t="s">
        <v>20</v>
      </c>
      <c r="J429" s="6">
        <v>2021.0</v>
      </c>
      <c r="L429" s="6">
        <v>2.0</v>
      </c>
      <c r="M429" s="8">
        <f t="shared" si="1"/>
        <v>0.1</v>
      </c>
      <c r="P429" s="9"/>
    </row>
    <row r="430">
      <c r="A430" s="6" t="s">
        <v>1301</v>
      </c>
      <c r="B430" s="6" t="s">
        <v>1302</v>
      </c>
      <c r="C430" s="6" t="s">
        <v>43</v>
      </c>
      <c r="D430" s="6" t="s">
        <v>1303</v>
      </c>
      <c r="E430" s="6" t="s">
        <v>579</v>
      </c>
      <c r="F430" s="6" t="s">
        <v>112</v>
      </c>
      <c r="G430" s="7">
        <v>0.07</v>
      </c>
      <c r="H430" s="6" t="s">
        <v>1277</v>
      </c>
      <c r="I430" s="6" t="s">
        <v>20</v>
      </c>
      <c r="J430" s="6">
        <v>2004.0</v>
      </c>
      <c r="K430" s="10">
        <v>46055.0</v>
      </c>
      <c r="L430" s="6">
        <v>1.0</v>
      </c>
      <c r="M430" s="8">
        <f t="shared" si="1"/>
        <v>0.07</v>
      </c>
      <c r="P430" s="9"/>
    </row>
    <row r="431">
      <c r="A431" s="6" t="s">
        <v>1304</v>
      </c>
      <c r="B431" s="6" t="s">
        <v>1305</v>
      </c>
      <c r="C431" s="6" t="s">
        <v>43</v>
      </c>
      <c r="D431" s="6" t="s">
        <v>1306</v>
      </c>
      <c r="E431" s="6" t="s">
        <v>117</v>
      </c>
      <c r="F431" s="6" t="s">
        <v>77</v>
      </c>
      <c r="G431" s="7">
        <v>0.08</v>
      </c>
      <c r="H431" s="6" t="s">
        <v>148</v>
      </c>
      <c r="I431" s="6" t="s">
        <v>20</v>
      </c>
      <c r="J431" s="6">
        <v>2026.0</v>
      </c>
      <c r="K431" s="10">
        <v>46023.0</v>
      </c>
      <c r="L431" s="6">
        <v>3.0</v>
      </c>
      <c r="M431" s="8">
        <f t="shared" si="1"/>
        <v>0.24</v>
      </c>
      <c r="P431" s="9"/>
    </row>
    <row r="432">
      <c r="A432" s="6" t="s">
        <v>1307</v>
      </c>
      <c r="B432" s="6" t="s">
        <v>254</v>
      </c>
      <c r="C432" s="6" t="s">
        <v>37</v>
      </c>
      <c r="D432" s="6" t="s">
        <v>1308</v>
      </c>
      <c r="E432" s="6" t="s">
        <v>140</v>
      </c>
      <c r="F432" s="6" t="s">
        <v>87</v>
      </c>
      <c r="G432" s="7">
        <v>0.18</v>
      </c>
      <c r="H432" s="6" t="s">
        <v>83</v>
      </c>
      <c r="I432" s="6" t="s">
        <v>20</v>
      </c>
      <c r="J432" s="6">
        <v>1995.0</v>
      </c>
      <c r="L432" s="6">
        <v>1.0</v>
      </c>
      <c r="M432" s="8">
        <f t="shared" si="1"/>
        <v>0.18</v>
      </c>
      <c r="P432" s="9"/>
    </row>
    <row r="433">
      <c r="A433" s="6" t="s">
        <v>1307</v>
      </c>
      <c r="B433" s="6" t="s">
        <v>254</v>
      </c>
      <c r="C433" s="6" t="s">
        <v>37</v>
      </c>
      <c r="D433" s="6" t="s">
        <v>1308</v>
      </c>
      <c r="E433" s="6" t="s">
        <v>140</v>
      </c>
      <c r="F433" s="6" t="s">
        <v>87</v>
      </c>
      <c r="G433" s="7">
        <v>0.43</v>
      </c>
      <c r="H433" s="6" t="s">
        <v>1064</v>
      </c>
      <c r="I433" s="6" t="s">
        <v>20</v>
      </c>
      <c r="J433" s="6">
        <v>1995.0</v>
      </c>
      <c r="L433" s="6">
        <v>1.0</v>
      </c>
      <c r="M433" s="8">
        <f t="shared" si="1"/>
        <v>0.43</v>
      </c>
      <c r="P433" s="9"/>
    </row>
    <row r="434">
      <c r="A434" s="6" t="s">
        <v>1309</v>
      </c>
      <c r="B434" s="6" t="s">
        <v>74</v>
      </c>
      <c r="C434" s="6" t="s">
        <v>43</v>
      </c>
      <c r="D434" s="6" t="s">
        <v>1310</v>
      </c>
      <c r="E434" s="6" t="s">
        <v>140</v>
      </c>
      <c r="F434" s="6" t="s">
        <v>87</v>
      </c>
      <c r="G434" s="7">
        <v>0.12</v>
      </c>
      <c r="H434" s="6" t="s">
        <v>88</v>
      </c>
      <c r="I434" s="6" t="s">
        <v>20</v>
      </c>
      <c r="J434" s="6">
        <v>2024.0</v>
      </c>
      <c r="L434" s="6">
        <v>1.0</v>
      </c>
      <c r="M434" s="8">
        <f t="shared" si="1"/>
        <v>0.12</v>
      </c>
      <c r="P434" s="9"/>
    </row>
    <row r="435">
      <c r="A435" s="6" t="s">
        <v>1311</v>
      </c>
      <c r="B435" s="6" t="s">
        <v>1312</v>
      </c>
      <c r="C435" s="6" t="s">
        <v>43</v>
      </c>
      <c r="D435" s="6" t="s">
        <v>1313</v>
      </c>
      <c r="E435" s="6" t="s">
        <v>107</v>
      </c>
      <c r="F435" s="6" t="s">
        <v>18</v>
      </c>
      <c r="G435" s="7">
        <v>0.05</v>
      </c>
      <c r="H435" s="6" t="s">
        <v>136</v>
      </c>
      <c r="I435" s="6" t="s">
        <v>20</v>
      </c>
      <c r="J435" s="6">
        <v>2026.0</v>
      </c>
      <c r="K435" s="10">
        <v>46023.0</v>
      </c>
      <c r="L435" s="6">
        <v>3.0</v>
      </c>
      <c r="M435" s="8">
        <f t="shared" si="1"/>
        <v>0.15</v>
      </c>
      <c r="P435" s="9"/>
    </row>
    <row r="436">
      <c r="A436" s="6" t="s">
        <v>1314</v>
      </c>
      <c r="B436" s="6" t="s">
        <v>1315</v>
      </c>
      <c r="C436" s="6" t="s">
        <v>37</v>
      </c>
      <c r="D436" s="6" t="s">
        <v>1316</v>
      </c>
      <c r="E436" s="6" t="s">
        <v>248</v>
      </c>
      <c r="F436" s="6" t="s">
        <v>77</v>
      </c>
      <c r="G436" s="7">
        <v>0.13</v>
      </c>
      <c r="H436" s="6" t="s">
        <v>34</v>
      </c>
      <c r="I436" s="6" t="s">
        <v>20</v>
      </c>
      <c r="J436" s="6">
        <v>2025.0</v>
      </c>
      <c r="K436" s="10">
        <v>46055.0</v>
      </c>
      <c r="L436" s="6">
        <v>1.0</v>
      </c>
      <c r="M436" s="8">
        <f t="shared" si="1"/>
        <v>0.13</v>
      </c>
      <c r="P436" s="9"/>
    </row>
    <row r="437">
      <c r="A437" s="6" t="s">
        <v>1317</v>
      </c>
      <c r="B437" s="6" t="s">
        <v>1318</v>
      </c>
      <c r="C437" s="6" t="s">
        <v>183</v>
      </c>
      <c r="D437" s="6" t="s">
        <v>1319</v>
      </c>
      <c r="E437" s="6" t="s">
        <v>1320</v>
      </c>
      <c r="F437" s="6" t="s">
        <v>87</v>
      </c>
      <c r="G437" s="7">
        <v>0.1</v>
      </c>
      <c r="H437" s="6" t="s">
        <v>918</v>
      </c>
      <c r="I437" s="6" t="s">
        <v>20</v>
      </c>
      <c r="J437" s="6">
        <v>2023.0</v>
      </c>
      <c r="K437" s="10">
        <v>46117.0</v>
      </c>
      <c r="L437" s="6">
        <v>1.0</v>
      </c>
      <c r="M437" s="8">
        <f t="shared" si="1"/>
        <v>0.1</v>
      </c>
      <c r="P437" s="9"/>
    </row>
    <row r="438">
      <c r="A438" s="6" t="s">
        <v>1321</v>
      </c>
      <c r="B438" s="6" t="s">
        <v>74</v>
      </c>
      <c r="C438" s="6" t="s">
        <v>30</v>
      </c>
      <c r="D438" s="6" t="s">
        <v>1322</v>
      </c>
      <c r="E438" s="6" t="s">
        <v>210</v>
      </c>
      <c r="F438" s="6" t="s">
        <v>18</v>
      </c>
      <c r="G438" s="7">
        <v>0.5</v>
      </c>
      <c r="H438" s="6" t="s">
        <v>687</v>
      </c>
      <c r="I438" s="6" t="s">
        <v>20</v>
      </c>
      <c r="J438" s="6">
        <v>2011.0</v>
      </c>
      <c r="L438" s="6">
        <v>1.0</v>
      </c>
      <c r="M438" s="8">
        <f t="shared" si="1"/>
        <v>0.5</v>
      </c>
      <c r="P438" s="9"/>
    </row>
    <row r="439">
      <c r="A439" s="6" t="s">
        <v>1323</v>
      </c>
      <c r="B439" s="6" t="s">
        <v>1324</v>
      </c>
      <c r="C439" s="6" t="s">
        <v>15</v>
      </c>
      <c r="D439" s="6" t="s">
        <v>1325</v>
      </c>
      <c r="E439" s="6" t="s">
        <v>179</v>
      </c>
      <c r="F439" s="6" t="s">
        <v>112</v>
      </c>
      <c r="G439" s="7">
        <v>0.23</v>
      </c>
      <c r="H439" s="6" t="s">
        <v>153</v>
      </c>
      <c r="I439" s="6" t="s">
        <v>20</v>
      </c>
      <c r="J439" s="6">
        <v>2025.0</v>
      </c>
      <c r="K439" s="10">
        <v>46084.0</v>
      </c>
      <c r="L439" s="6">
        <v>2.0</v>
      </c>
      <c r="M439" s="8">
        <f t="shared" si="1"/>
        <v>0.46</v>
      </c>
      <c r="P439" s="9"/>
    </row>
    <row r="440">
      <c r="A440" s="6" t="s">
        <v>1326</v>
      </c>
      <c r="B440" s="6" t="s">
        <v>1327</v>
      </c>
      <c r="C440" s="6" t="s">
        <v>37</v>
      </c>
      <c r="D440" s="6" t="s">
        <v>1328</v>
      </c>
      <c r="E440" s="6" t="s">
        <v>635</v>
      </c>
      <c r="F440" s="6" t="s">
        <v>636</v>
      </c>
      <c r="G440" s="7">
        <v>0.58</v>
      </c>
      <c r="H440" s="6" t="s">
        <v>160</v>
      </c>
      <c r="I440" s="6" t="s">
        <v>45</v>
      </c>
      <c r="J440" s="6">
        <v>2024.0</v>
      </c>
      <c r="K440" s="10">
        <v>46116.0</v>
      </c>
      <c r="L440" s="6">
        <v>1.0</v>
      </c>
      <c r="M440" s="8">
        <f t="shared" si="1"/>
        <v>0.58</v>
      </c>
      <c r="P440" s="9"/>
    </row>
    <row r="441">
      <c r="A441" s="6" t="s">
        <v>1329</v>
      </c>
      <c r="B441" s="6" t="s">
        <v>1046</v>
      </c>
      <c r="C441" s="6" t="s">
        <v>43</v>
      </c>
      <c r="D441" s="6" t="s">
        <v>1330</v>
      </c>
      <c r="E441" s="6" t="s">
        <v>1027</v>
      </c>
      <c r="F441" s="6" t="s">
        <v>77</v>
      </c>
      <c r="G441" s="7">
        <v>0.17</v>
      </c>
      <c r="H441" s="6" t="s">
        <v>113</v>
      </c>
      <c r="I441" s="6" t="s">
        <v>20</v>
      </c>
      <c r="J441" s="6">
        <v>2023.0</v>
      </c>
      <c r="K441" s="10">
        <v>46023.0</v>
      </c>
      <c r="L441" s="6">
        <v>1.0</v>
      </c>
      <c r="M441" s="8">
        <f t="shared" si="1"/>
        <v>0.17</v>
      </c>
      <c r="P441" s="9"/>
    </row>
    <row r="442">
      <c r="A442" s="6" t="s">
        <v>1331</v>
      </c>
      <c r="B442" s="6" t="s">
        <v>494</v>
      </c>
      <c r="C442" s="6" t="s">
        <v>43</v>
      </c>
      <c r="D442" s="6" t="s">
        <v>1332</v>
      </c>
      <c r="E442" s="6" t="s">
        <v>57</v>
      </c>
      <c r="F442" s="6" t="s">
        <v>40</v>
      </c>
      <c r="G442" s="7">
        <v>0.14</v>
      </c>
      <c r="H442" s="6" t="s">
        <v>428</v>
      </c>
      <c r="I442" s="6" t="s">
        <v>20</v>
      </c>
      <c r="J442" s="6">
        <v>2022.0</v>
      </c>
      <c r="L442" s="6">
        <v>1.0</v>
      </c>
      <c r="M442" s="8">
        <f t="shared" si="1"/>
        <v>0.14</v>
      </c>
      <c r="P442" s="9"/>
    </row>
    <row r="443">
      <c r="A443" s="6" t="s">
        <v>1333</v>
      </c>
      <c r="B443" s="6" t="s">
        <v>462</v>
      </c>
      <c r="C443" s="6" t="s">
        <v>23</v>
      </c>
      <c r="D443" s="6" t="s">
        <v>1334</v>
      </c>
      <c r="E443" s="6" t="s">
        <v>814</v>
      </c>
      <c r="F443" s="6" t="s">
        <v>1335</v>
      </c>
      <c r="G443" s="7">
        <v>0.05</v>
      </c>
      <c r="H443" s="6" t="s">
        <v>1336</v>
      </c>
      <c r="I443" s="6" t="s">
        <v>45</v>
      </c>
      <c r="J443" s="6">
        <v>2025.0</v>
      </c>
      <c r="L443" s="6">
        <v>1.0</v>
      </c>
      <c r="M443" s="8">
        <f t="shared" si="1"/>
        <v>0.05</v>
      </c>
      <c r="P443" s="9"/>
    </row>
    <row r="444">
      <c r="A444" s="6" t="s">
        <v>1333</v>
      </c>
      <c r="B444" s="6" t="s">
        <v>462</v>
      </c>
      <c r="C444" s="6" t="s">
        <v>23</v>
      </c>
      <c r="D444" s="6" t="s">
        <v>1334</v>
      </c>
      <c r="E444" s="6" t="s">
        <v>814</v>
      </c>
      <c r="F444" s="6" t="s">
        <v>1335</v>
      </c>
      <c r="G444" s="7">
        <v>0.05</v>
      </c>
      <c r="H444" s="6" t="s">
        <v>1336</v>
      </c>
      <c r="I444" s="6" t="s">
        <v>20</v>
      </c>
      <c r="J444" s="6">
        <v>2025.0</v>
      </c>
      <c r="L444" s="6">
        <v>3.0</v>
      </c>
      <c r="M444" s="8">
        <f t="shared" si="1"/>
        <v>0.15</v>
      </c>
      <c r="P444" s="9"/>
    </row>
    <row r="445">
      <c r="A445" s="6" t="s">
        <v>1337</v>
      </c>
      <c r="B445" s="6" t="s">
        <v>162</v>
      </c>
      <c r="C445" s="6" t="s">
        <v>43</v>
      </c>
      <c r="D445" s="6" t="s">
        <v>1338</v>
      </c>
      <c r="E445" s="6" t="s">
        <v>612</v>
      </c>
      <c r="F445" s="6" t="s">
        <v>71</v>
      </c>
      <c r="G445" s="7">
        <v>0.25</v>
      </c>
      <c r="H445" s="6" t="s">
        <v>270</v>
      </c>
      <c r="I445" s="6" t="s">
        <v>45</v>
      </c>
      <c r="J445" s="6">
        <v>2022.0</v>
      </c>
      <c r="L445" s="6">
        <v>2.0</v>
      </c>
      <c r="M445" s="8">
        <f t="shared" si="1"/>
        <v>0.5</v>
      </c>
      <c r="P445" s="9"/>
    </row>
    <row r="446">
      <c r="A446" s="6" t="s">
        <v>1339</v>
      </c>
      <c r="B446" s="6" t="s">
        <v>545</v>
      </c>
      <c r="C446" s="6" t="s">
        <v>43</v>
      </c>
      <c r="D446" s="6" t="s">
        <v>1340</v>
      </c>
      <c r="E446" s="6" t="s">
        <v>117</v>
      </c>
      <c r="F446" s="6" t="s">
        <v>77</v>
      </c>
      <c r="G446" s="7">
        <v>0.06</v>
      </c>
      <c r="H446" s="6" t="s">
        <v>34</v>
      </c>
      <c r="I446" s="6" t="s">
        <v>20</v>
      </c>
      <c r="J446" s="6">
        <v>2025.0</v>
      </c>
      <c r="K446" s="10">
        <v>46023.0</v>
      </c>
      <c r="L446" s="6">
        <v>5.0</v>
      </c>
      <c r="M446" s="8">
        <f t="shared" si="1"/>
        <v>0.3</v>
      </c>
      <c r="P446" s="9"/>
    </row>
    <row r="447">
      <c r="A447" s="6" t="s">
        <v>1341</v>
      </c>
      <c r="B447" s="6" t="s">
        <v>162</v>
      </c>
      <c r="C447" s="6" t="s">
        <v>30</v>
      </c>
      <c r="D447" s="6" t="s">
        <v>1342</v>
      </c>
      <c r="E447" s="6" t="s">
        <v>1343</v>
      </c>
      <c r="F447" s="6" t="s">
        <v>1244</v>
      </c>
      <c r="G447" s="7">
        <v>0.46</v>
      </c>
      <c r="H447" s="6" t="s">
        <v>1344</v>
      </c>
      <c r="I447" s="6" t="s">
        <v>20</v>
      </c>
      <c r="J447" s="6">
        <v>2018.0</v>
      </c>
      <c r="L447" s="6">
        <v>2.0</v>
      </c>
      <c r="M447" s="8">
        <f t="shared" si="1"/>
        <v>0.92</v>
      </c>
      <c r="P447" s="9"/>
    </row>
    <row r="448">
      <c r="A448" s="6" t="s">
        <v>1345</v>
      </c>
      <c r="B448" s="6" t="s">
        <v>219</v>
      </c>
      <c r="C448" s="6" t="s">
        <v>43</v>
      </c>
      <c r="D448" s="6" t="s">
        <v>1346</v>
      </c>
      <c r="E448" s="6" t="s">
        <v>215</v>
      </c>
      <c r="F448" s="6" t="s">
        <v>26</v>
      </c>
      <c r="G448" s="7">
        <v>13.99</v>
      </c>
      <c r="H448" s="6" t="s">
        <v>113</v>
      </c>
      <c r="I448" s="6" t="s">
        <v>20</v>
      </c>
      <c r="J448" s="6">
        <v>2023.0</v>
      </c>
      <c r="L448" s="6">
        <v>1.0</v>
      </c>
      <c r="M448" s="8">
        <f t="shared" si="1"/>
        <v>13.99</v>
      </c>
      <c r="N448" s="6" t="s">
        <v>122</v>
      </c>
      <c r="P448" s="9"/>
    </row>
    <row r="449">
      <c r="A449" s="6" t="s">
        <v>1347</v>
      </c>
      <c r="B449" s="6" t="s">
        <v>524</v>
      </c>
      <c r="C449" s="6" t="s">
        <v>43</v>
      </c>
      <c r="D449" s="6" t="s">
        <v>1348</v>
      </c>
      <c r="E449" s="6" t="s">
        <v>25</v>
      </c>
      <c r="F449" s="6" t="s">
        <v>26</v>
      </c>
      <c r="G449" s="7">
        <v>0.05</v>
      </c>
      <c r="H449" s="6" t="s">
        <v>1349</v>
      </c>
      <c r="I449" s="6" t="s">
        <v>20</v>
      </c>
      <c r="J449" s="6">
        <v>2024.0</v>
      </c>
      <c r="K449" s="10">
        <v>46024.0</v>
      </c>
      <c r="L449" s="6">
        <v>1.0</v>
      </c>
      <c r="M449" s="8">
        <f t="shared" si="1"/>
        <v>0.05</v>
      </c>
      <c r="P449" s="9"/>
    </row>
    <row r="450">
      <c r="A450" s="6" t="s">
        <v>1347</v>
      </c>
      <c r="B450" s="6" t="s">
        <v>524</v>
      </c>
      <c r="C450" s="6" t="s">
        <v>43</v>
      </c>
      <c r="D450" s="6" t="s">
        <v>1348</v>
      </c>
      <c r="E450" s="6" t="s">
        <v>25</v>
      </c>
      <c r="F450" s="6" t="s">
        <v>26</v>
      </c>
      <c r="G450" s="7">
        <v>0.25</v>
      </c>
      <c r="H450" s="6" t="s">
        <v>1349</v>
      </c>
      <c r="I450" s="6" t="s">
        <v>45</v>
      </c>
      <c r="J450" s="6">
        <v>2024.0</v>
      </c>
      <c r="K450" s="10">
        <v>46024.0</v>
      </c>
      <c r="L450" s="6">
        <v>1.0</v>
      </c>
      <c r="M450" s="8">
        <f t="shared" si="1"/>
        <v>0.25</v>
      </c>
      <c r="P450" s="9"/>
    </row>
    <row r="451">
      <c r="A451" s="6" t="s">
        <v>1350</v>
      </c>
      <c r="B451" s="6" t="s">
        <v>406</v>
      </c>
      <c r="C451" s="6" t="s">
        <v>37</v>
      </c>
      <c r="D451" s="6" t="s">
        <v>1351</v>
      </c>
      <c r="E451" s="6" t="s">
        <v>107</v>
      </c>
      <c r="F451" s="6" t="s">
        <v>18</v>
      </c>
      <c r="G451" s="7">
        <v>0.09</v>
      </c>
      <c r="H451" s="6" t="s">
        <v>160</v>
      </c>
      <c r="I451" s="6" t="s">
        <v>20</v>
      </c>
      <c r="J451" s="6">
        <v>2024.0</v>
      </c>
      <c r="K451" s="6" t="s">
        <v>100</v>
      </c>
      <c r="L451" s="6">
        <v>1.0</v>
      </c>
      <c r="M451" s="8">
        <f t="shared" si="1"/>
        <v>0.09</v>
      </c>
      <c r="P451" s="9"/>
    </row>
    <row r="452">
      <c r="A452" s="6" t="s">
        <v>1352</v>
      </c>
      <c r="B452" s="6" t="s">
        <v>1353</v>
      </c>
      <c r="C452" s="6" t="s">
        <v>43</v>
      </c>
      <c r="D452" s="6" t="s">
        <v>1354</v>
      </c>
      <c r="E452" s="6" t="s">
        <v>1093</v>
      </c>
      <c r="F452" s="6" t="s">
        <v>77</v>
      </c>
      <c r="G452" s="7">
        <v>0.04</v>
      </c>
      <c r="H452" s="6" t="s">
        <v>34</v>
      </c>
      <c r="I452" s="6" t="s">
        <v>20</v>
      </c>
      <c r="J452" s="6">
        <v>2025.0</v>
      </c>
      <c r="K452" s="10">
        <v>46179.0</v>
      </c>
      <c r="L452" s="6">
        <v>3.0</v>
      </c>
      <c r="M452" s="8">
        <f t="shared" si="1"/>
        <v>0.12</v>
      </c>
      <c r="P452" s="9"/>
    </row>
    <row r="453">
      <c r="A453" s="6" t="s">
        <v>1355</v>
      </c>
      <c r="B453" s="6" t="s">
        <v>1356</v>
      </c>
      <c r="C453" s="6" t="s">
        <v>43</v>
      </c>
      <c r="D453" s="6" t="s">
        <v>1357</v>
      </c>
      <c r="E453" s="6" t="s">
        <v>86</v>
      </c>
      <c r="F453" s="6" t="s">
        <v>87</v>
      </c>
      <c r="G453" s="7">
        <v>0.08</v>
      </c>
      <c r="H453" s="6" t="s">
        <v>350</v>
      </c>
      <c r="I453" s="6" t="s">
        <v>20</v>
      </c>
      <c r="J453" s="6">
        <v>2003.0</v>
      </c>
      <c r="K453" s="10">
        <v>46024.0</v>
      </c>
      <c r="L453" s="6">
        <v>1.0</v>
      </c>
      <c r="M453" s="8">
        <f t="shared" si="1"/>
        <v>0.08</v>
      </c>
      <c r="P453" s="9"/>
    </row>
    <row r="454">
      <c r="A454" s="6" t="s">
        <v>1358</v>
      </c>
      <c r="B454" s="6" t="s">
        <v>1359</v>
      </c>
      <c r="C454" s="6" t="s">
        <v>43</v>
      </c>
      <c r="D454" s="6" t="s">
        <v>1360</v>
      </c>
      <c r="E454" s="6" t="s">
        <v>135</v>
      </c>
      <c r="F454" s="6" t="s">
        <v>40</v>
      </c>
      <c r="G454" s="7">
        <v>0.07</v>
      </c>
      <c r="H454" s="6" t="s">
        <v>421</v>
      </c>
      <c r="I454" s="6" t="s">
        <v>20</v>
      </c>
      <c r="J454" s="6">
        <v>2000.0</v>
      </c>
      <c r="K454" s="10">
        <v>46054.0</v>
      </c>
      <c r="L454" s="6">
        <v>1.0</v>
      </c>
      <c r="M454" s="8">
        <f t="shared" si="1"/>
        <v>0.07</v>
      </c>
      <c r="P454" s="9"/>
    </row>
    <row r="455">
      <c r="A455" s="6" t="s">
        <v>1361</v>
      </c>
      <c r="B455" s="6" t="s">
        <v>1362</v>
      </c>
      <c r="C455" s="6" t="s">
        <v>23</v>
      </c>
      <c r="D455" s="6" t="s">
        <v>1363</v>
      </c>
      <c r="E455" s="6" t="s">
        <v>1364</v>
      </c>
      <c r="F455" s="6" t="s">
        <v>18</v>
      </c>
      <c r="G455" s="7">
        <v>0.08</v>
      </c>
      <c r="H455" s="6" t="s">
        <v>19</v>
      </c>
      <c r="I455" s="6" t="s">
        <v>20</v>
      </c>
      <c r="J455" s="6">
        <v>2023.0</v>
      </c>
      <c r="K455" s="10">
        <v>46083.0</v>
      </c>
      <c r="L455" s="6">
        <v>2.0</v>
      </c>
      <c r="M455" s="8">
        <f t="shared" si="1"/>
        <v>0.16</v>
      </c>
      <c r="P455" s="9"/>
    </row>
    <row r="456">
      <c r="A456" s="6" t="s">
        <v>1365</v>
      </c>
      <c r="B456" s="6" t="s">
        <v>1366</v>
      </c>
      <c r="C456" s="6" t="s">
        <v>37</v>
      </c>
      <c r="D456" s="6" t="s">
        <v>1367</v>
      </c>
      <c r="E456" s="6" t="s">
        <v>256</v>
      </c>
      <c r="F456" s="6" t="s">
        <v>87</v>
      </c>
      <c r="G456" s="7">
        <v>0.18</v>
      </c>
      <c r="H456" s="6" t="s">
        <v>113</v>
      </c>
      <c r="I456" s="6" t="s">
        <v>20</v>
      </c>
      <c r="J456" s="6">
        <v>2023.0</v>
      </c>
      <c r="K456" s="10">
        <v>46056.0</v>
      </c>
      <c r="L456" s="6">
        <v>1.0</v>
      </c>
      <c r="M456" s="8">
        <f t="shared" si="1"/>
        <v>0.18</v>
      </c>
      <c r="P456" s="9"/>
    </row>
    <row r="457">
      <c r="A457" s="6" t="s">
        <v>1368</v>
      </c>
      <c r="B457" s="6" t="s">
        <v>494</v>
      </c>
      <c r="C457" s="6" t="s">
        <v>43</v>
      </c>
      <c r="D457" s="6" t="s">
        <v>1369</v>
      </c>
      <c r="E457" s="6" t="s">
        <v>329</v>
      </c>
      <c r="F457" s="6" t="s">
        <v>112</v>
      </c>
      <c r="G457" s="7">
        <v>0.14</v>
      </c>
      <c r="H457" s="6" t="s">
        <v>297</v>
      </c>
      <c r="I457" s="6" t="s">
        <v>20</v>
      </c>
      <c r="J457" s="6">
        <v>2022.0</v>
      </c>
      <c r="L457" s="6">
        <v>1.0</v>
      </c>
      <c r="M457" s="8">
        <f t="shared" si="1"/>
        <v>0.14</v>
      </c>
      <c r="P457" s="9"/>
    </row>
    <row r="458">
      <c r="A458" s="6" t="s">
        <v>1370</v>
      </c>
      <c r="B458" s="6" t="s">
        <v>1371</v>
      </c>
      <c r="C458" s="6" t="s">
        <v>15</v>
      </c>
      <c r="D458" s="6" t="s">
        <v>1372</v>
      </c>
      <c r="E458" s="6" t="s">
        <v>1373</v>
      </c>
      <c r="F458" s="6" t="s">
        <v>159</v>
      </c>
      <c r="G458" s="7">
        <v>0.09</v>
      </c>
      <c r="H458" s="6" t="s">
        <v>1300</v>
      </c>
      <c r="I458" s="6" t="s">
        <v>20</v>
      </c>
      <c r="J458" s="6">
        <v>2021.0</v>
      </c>
      <c r="K458" s="10">
        <v>46085.0</v>
      </c>
      <c r="L458" s="6">
        <v>1.0</v>
      </c>
      <c r="M458" s="8">
        <f t="shared" si="1"/>
        <v>0.09</v>
      </c>
      <c r="P458" s="9"/>
    </row>
    <row r="459">
      <c r="A459" s="6" t="s">
        <v>1374</v>
      </c>
      <c r="B459" s="6" t="s">
        <v>1375</v>
      </c>
      <c r="C459" s="6" t="s">
        <v>37</v>
      </c>
      <c r="D459" s="6" t="s">
        <v>1376</v>
      </c>
      <c r="E459" s="6" t="s">
        <v>1377</v>
      </c>
      <c r="F459" s="6" t="s">
        <v>1118</v>
      </c>
      <c r="G459" s="7">
        <v>0.13</v>
      </c>
      <c r="H459" s="6" t="s">
        <v>431</v>
      </c>
      <c r="I459" s="6" t="s">
        <v>20</v>
      </c>
      <c r="J459" s="6">
        <v>2019.0</v>
      </c>
      <c r="L459" s="6">
        <v>4.0</v>
      </c>
      <c r="M459" s="8">
        <f t="shared" si="1"/>
        <v>0.52</v>
      </c>
      <c r="P459" s="9"/>
    </row>
    <row r="460">
      <c r="A460" s="6" t="s">
        <v>1374</v>
      </c>
      <c r="B460" s="6" t="s">
        <v>1375</v>
      </c>
      <c r="C460" s="6" t="s">
        <v>37</v>
      </c>
      <c r="D460" s="6" t="s">
        <v>1376</v>
      </c>
      <c r="E460" s="6" t="s">
        <v>1377</v>
      </c>
      <c r="F460" s="6" t="s">
        <v>1118</v>
      </c>
      <c r="G460" s="7">
        <v>0.09</v>
      </c>
      <c r="H460" s="6" t="s">
        <v>431</v>
      </c>
      <c r="I460" s="6" t="s">
        <v>20</v>
      </c>
      <c r="J460" s="6">
        <v>2019.0</v>
      </c>
      <c r="L460" s="6">
        <v>1.0</v>
      </c>
      <c r="M460" s="8">
        <f t="shared" si="1"/>
        <v>0.09</v>
      </c>
      <c r="N460" s="6" t="s">
        <v>374</v>
      </c>
      <c r="P460" s="9"/>
    </row>
    <row r="461">
      <c r="A461" s="6" t="s">
        <v>1378</v>
      </c>
      <c r="B461" s="6" t="s">
        <v>1379</v>
      </c>
      <c r="C461" s="6" t="s">
        <v>15</v>
      </c>
      <c r="D461" s="6" t="s">
        <v>1380</v>
      </c>
      <c r="E461" s="6" t="s">
        <v>1381</v>
      </c>
      <c r="F461" s="6" t="s">
        <v>1382</v>
      </c>
      <c r="G461" s="7">
        <v>0.08</v>
      </c>
      <c r="H461" s="6" t="s">
        <v>19</v>
      </c>
      <c r="I461" s="6" t="s">
        <v>20</v>
      </c>
      <c r="J461" s="6">
        <v>2023.0</v>
      </c>
      <c r="K461" s="10">
        <v>46084.0</v>
      </c>
      <c r="L461" s="6">
        <v>2.0</v>
      </c>
      <c r="M461" s="8">
        <f t="shared" si="1"/>
        <v>0.16</v>
      </c>
      <c r="P461" s="9"/>
    </row>
    <row r="462">
      <c r="A462" s="6" t="s">
        <v>1383</v>
      </c>
      <c r="B462" s="6" t="s">
        <v>1384</v>
      </c>
      <c r="C462" s="6" t="s">
        <v>30</v>
      </c>
      <c r="D462" s="6" t="s">
        <v>1385</v>
      </c>
      <c r="E462" s="6" t="s">
        <v>93</v>
      </c>
      <c r="F462" s="6" t="s">
        <v>77</v>
      </c>
      <c r="G462" s="7">
        <v>0.1</v>
      </c>
      <c r="H462" s="6" t="s">
        <v>83</v>
      </c>
      <c r="I462" s="6" t="s">
        <v>20</v>
      </c>
      <c r="J462" s="6">
        <v>1995.0</v>
      </c>
      <c r="K462" s="6" t="s">
        <v>301</v>
      </c>
      <c r="L462" s="6">
        <v>2.0</v>
      </c>
      <c r="M462" s="8">
        <f t="shared" si="1"/>
        <v>0.2</v>
      </c>
      <c r="P462" s="9"/>
    </row>
    <row r="463">
      <c r="A463" s="6" t="s">
        <v>1383</v>
      </c>
      <c r="B463" s="6" t="s">
        <v>1384</v>
      </c>
      <c r="C463" s="6" t="s">
        <v>30</v>
      </c>
      <c r="D463" s="6" t="s">
        <v>1385</v>
      </c>
      <c r="E463" s="6" t="s">
        <v>93</v>
      </c>
      <c r="F463" s="6" t="s">
        <v>77</v>
      </c>
      <c r="G463" s="7">
        <v>0.15</v>
      </c>
      <c r="H463" s="6" t="s">
        <v>1064</v>
      </c>
      <c r="I463" s="6" t="s">
        <v>20</v>
      </c>
      <c r="J463" s="6">
        <v>1995.0</v>
      </c>
      <c r="K463" s="6" t="s">
        <v>301</v>
      </c>
      <c r="L463" s="6">
        <v>1.0</v>
      </c>
      <c r="M463" s="8">
        <f t="shared" si="1"/>
        <v>0.15</v>
      </c>
      <c r="P463" s="9"/>
    </row>
    <row r="464">
      <c r="A464" s="6" t="s">
        <v>1386</v>
      </c>
      <c r="B464" s="6" t="s">
        <v>1384</v>
      </c>
      <c r="C464" s="6" t="s">
        <v>43</v>
      </c>
      <c r="D464" s="6" t="s">
        <v>1387</v>
      </c>
      <c r="E464" s="6" t="s">
        <v>117</v>
      </c>
      <c r="F464" s="6" t="s">
        <v>77</v>
      </c>
      <c r="G464" s="7">
        <v>0.1</v>
      </c>
      <c r="H464" s="6" t="s">
        <v>1388</v>
      </c>
      <c r="I464" s="6" t="s">
        <v>20</v>
      </c>
      <c r="J464" s="6">
        <v>1998.0</v>
      </c>
      <c r="K464" s="10">
        <v>46023.0</v>
      </c>
      <c r="L464" s="6">
        <v>1.0</v>
      </c>
      <c r="M464" s="8">
        <f t="shared" si="1"/>
        <v>0.1</v>
      </c>
      <c r="P464" s="9"/>
    </row>
    <row r="465">
      <c r="A465" s="6" t="s">
        <v>1389</v>
      </c>
      <c r="B465" s="6" t="s">
        <v>1390</v>
      </c>
      <c r="C465" s="6" t="s">
        <v>43</v>
      </c>
      <c r="D465" s="6" t="s">
        <v>1391</v>
      </c>
      <c r="E465" s="6" t="s">
        <v>176</v>
      </c>
      <c r="F465" s="6" t="s">
        <v>77</v>
      </c>
      <c r="G465" s="7">
        <v>0.06</v>
      </c>
      <c r="H465" s="6" t="s">
        <v>1392</v>
      </c>
      <c r="I465" s="6" t="s">
        <v>20</v>
      </c>
      <c r="J465" s="6">
        <v>2014.0</v>
      </c>
      <c r="K465" s="10">
        <v>46055.0</v>
      </c>
      <c r="L465" s="6">
        <v>1.0</v>
      </c>
      <c r="M465" s="8">
        <f t="shared" si="1"/>
        <v>0.06</v>
      </c>
      <c r="P465" s="9"/>
    </row>
    <row r="466">
      <c r="A466" s="6" t="s">
        <v>1393</v>
      </c>
      <c r="B466" s="6" t="s">
        <v>1394</v>
      </c>
      <c r="C466" s="6" t="s">
        <v>37</v>
      </c>
      <c r="D466" s="6" t="s">
        <v>1395</v>
      </c>
      <c r="E466" s="6" t="s">
        <v>248</v>
      </c>
      <c r="F466" s="6" t="s">
        <v>77</v>
      </c>
      <c r="G466" s="7">
        <v>0.05</v>
      </c>
      <c r="H466" s="6" t="s">
        <v>1396</v>
      </c>
      <c r="I466" s="6" t="s">
        <v>20</v>
      </c>
      <c r="J466" s="6">
        <v>2020.0</v>
      </c>
      <c r="K466" s="6" t="s">
        <v>100</v>
      </c>
      <c r="L466" s="6">
        <v>1.0</v>
      </c>
      <c r="M466" s="8">
        <f t="shared" si="1"/>
        <v>0.05</v>
      </c>
      <c r="P466" s="9"/>
    </row>
    <row r="467">
      <c r="A467" s="6" t="s">
        <v>1397</v>
      </c>
      <c r="B467" s="6" t="s">
        <v>1398</v>
      </c>
      <c r="C467" s="6" t="s">
        <v>43</v>
      </c>
      <c r="D467" s="6" t="s">
        <v>1399</v>
      </c>
      <c r="E467" s="6" t="s">
        <v>135</v>
      </c>
      <c r="F467" s="6" t="s">
        <v>40</v>
      </c>
      <c r="G467" s="7">
        <v>0.45</v>
      </c>
      <c r="H467" s="6" t="s">
        <v>746</v>
      </c>
      <c r="I467" s="6" t="s">
        <v>45</v>
      </c>
      <c r="J467" s="6">
        <v>2024.0</v>
      </c>
      <c r="L467" s="6">
        <v>4.0</v>
      </c>
      <c r="M467" s="8">
        <f t="shared" si="1"/>
        <v>1.8</v>
      </c>
      <c r="P467" s="9"/>
    </row>
    <row r="468">
      <c r="A468" s="6" t="s">
        <v>1400</v>
      </c>
      <c r="B468" s="6" t="s">
        <v>1401</v>
      </c>
      <c r="C468" s="6" t="s">
        <v>37</v>
      </c>
      <c r="D468" s="6" t="s">
        <v>1402</v>
      </c>
      <c r="E468" s="6" t="s">
        <v>57</v>
      </c>
      <c r="F468" s="6" t="s">
        <v>40</v>
      </c>
      <c r="G468" s="7">
        <v>0.06</v>
      </c>
      <c r="H468" s="6" t="s">
        <v>238</v>
      </c>
      <c r="I468" s="6" t="s">
        <v>20</v>
      </c>
      <c r="J468" s="6">
        <v>2024.0</v>
      </c>
      <c r="K468" s="10">
        <v>46113.0</v>
      </c>
      <c r="L468" s="6">
        <v>1.0</v>
      </c>
      <c r="M468" s="8">
        <f t="shared" si="1"/>
        <v>0.06</v>
      </c>
      <c r="P468" s="9"/>
    </row>
    <row r="469">
      <c r="A469" s="6" t="s">
        <v>1403</v>
      </c>
      <c r="B469" s="6" t="s">
        <v>1404</v>
      </c>
      <c r="C469" s="6" t="s">
        <v>37</v>
      </c>
      <c r="D469" s="6" t="s">
        <v>1405</v>
      </c>
      <c r="E469" s="6" t="s">
        <v>135</v>
      </c>
      <c r="F469" s="6" t="s">
        <v>40</v>
      </c>
      <c r="G469" s="7">
        <v>1.2</v>
      </c>
      <c r="H469" s="6" t="s">
        <v>238</v>
      </c>
      <c r="I469" s="6" t="s">
        <v>45</v>
      </c>
      <c r="J469" s="6">
        <v>2024.0</v>
      </c>
      <c r="L469" s="6">
        <v>1.0</v>
      </c>
      <c r="M469" s="8">
        <f t="shared" si="1"/>
        <v>1.2</v>
      </c>
      <c r="N469" s="6" t="s">
        <v>122</v>
      </c>
      <c r="P469" s="9"/>
    </row>
    <row r="470">
      <c r="A470" s="6" t="s">
        <v>1406</v>
      </c>
      <c r="B470" s="6" t="s">
        <v>1407</v>
      </c>
      <c r="C470" s="6" t="s">
        <v>37</v>
      </c>
      <c r="D470" s="6" t="s">
        <v>1408</v>
      </c>
      <c r="E470" s="6" t="s">
        <v>86</v>
      </c>
      <c r="F470" s="6" t="s">
        <v>87</v>
      </c>
      <c r="G470" s="7">
        <v>0.1</v>
      </c>
      <c r="H470" s="6" t="s">
        <v>136</v>
      </c>
      <c r="I470" s="6" t="s">
        <v>20</v>
      </c>
      <c r="J470" s="6">
        <v>2026.0</v>
      </c>
      <c r="K470" s="10">
        <v>46024.0</v>
      </c>
      <c r="L470" s="6">
        <v>2.0</v>
      </c>
      <c r="M470" s="8">
        <f t="shared" si="1"/>
        <v>0.2</v>
      </c>
      <c r="P470" s="9"/>
    </row>
    <row r="471">
      <c r="A471" s="6" t="s">
        <v>1409</v>
      </c>
      <c r="B471" s="6" t="s">
        <v>494</v>
      </c>
      <c r="C471" s="6" t="s">
        <v>43</v>
      </c>
      <c r="D471" s="6" t="s">
        <v>1410</v>
      </c>
      <c r="E471" s="6" t="s">
        <v>76</v>
      </c>
      <c r="F471" s="6" t="s">
        <v>77</v>
      </c>
      <c r="G471" s="7">
        <v>0.03</v>
      </c>
      <c r="H471" s="6" t="s">
        <v>249</v>
      </c>
      <c r="I471" s="6" t="s">
        <v>20</v>
      </c>
      <c r="J471" s="6">
        <v>2014.0</v>
      </c>
      <c r="L471" s="6">
        <v>3.0</v>
      </c>
      <c r="M471" s="8">
        <f t="shared" si="1"/>
        <v>0.09</v>
      </c>
      <c r="P471" s="9"/>
    </row>
    <row r="472">
      <c r="A472" s="6" t="s">
        <v>1411</v>
      </c>
      <c r="B472" s="6" t="s">
        <v>146</v>
      </c>
      <c r="C472" s="6" t="s">
        <v>37</v>
      </c>
      <c r="D472" s="6" t="s">
        <v>1412</v>
      </c>
      <c r="E472" s="6" t="s">
        <v>39</v>
      </c>
      <c r="F472" s="6" t="s">
        <v>40</v>
      </c>
      <c r="G472" s="7">
        <v>0.09</v>
      </c>
      <c r="H472" s="6" t="s">
        <v>531</v>
      </c>
      <c r="I472" s="6" t="s">
        <v>20</v>
      </c>
      <c r="J472" s="6">
        <v>2017.0</v>
      </c>
      <c r="L472" s="6">
        <v>1.0</v>
      </c>
      <c r="M472" s="8">
        <f t="shared" si="1"/>
        <v>0.09</v>
      </c>
      <c r="P472" s="9"/>
    </row>
    <row r="473">
      <c r="A473" s="6" t="s">
        <v>1413</v>
      </c>
      <c r="B473" s="6" t="s">
        <v>778</v>
      </c>
      <c r="C473" s="6" t="s">
        <v>15</v>
      </c>
      <c r="D473" s="6" t="s">
        <v>1414</v>
      </c>
      <c r="E473" s="6" t="s">
        <v>39</v>
      </c>
      <c r="F473" s="6" t="s">
        <v>40</v>
      </c>
      <c r="G473" s="7">
        <v>0.43</v>
      </c>
      <c r="H473" s="6" t="s">
        <v>313</v>
      </c>
      <c r="I473" s="6" t="s">
        <v>20</v>
      </c>
      <c r="J473" s="6">
        <v>1995.0</v>
      </c>
      <c r="L473" s="6">
        <v>1.0</v>
      </c>
      <c r="M473" s="8">
        <f t="shared" si="1"/>
        <v>0.43</v>
      </c>
      <c r="P473" s="9"/>
    </row>
    <row r="474">
      <c r="A474" s="6" t="s">
        <v>1413</v>
      </c>
      <c r="B474" s="6" t="s">
        <v>778</v>
      </c>
      <c r="C474" s="6" t="s">
        <v>15</v>
      </c>
      <c r="D474" s="6" t="s">
        <v>1414</v>
      </c>
      <c r="E474" s="6" t="s">
        <v>39</v>
      </c>
      <c r="F474" s="6" t="s">
        <v>40</v>
      </c>
      <c r="G474" s="7">
        <v>0.17</v>
      </c>
      <c r="H474" s="6" t="s">
        <v>313</v>
      </c>
      <c r="I474" s="6" t="s">
        <v>20</v>
      </c>
      <c r="J474" s="6">
        <v>1999.0</v>
      </c>
      <c r="L474" s="6">
        <v>1.0</v>
      </c>
      <c r="M474" s="8">
        <f t="shared" si="1"/>
        <v>0.17</v>
      </c>
      <c r="P474" s="9"/>
    </row>
    <row r="475">
      <c r="A475" s="6" t="s">
        <v>1415</v>
      </c>
      <c r="B475" s="6" t="s">
        <v>162</v>
      </c>
      <c r="C475" s="6" t="s">
        <v>30</v>
      </c>
      <c r="D475" s="6" t="s">
        <v>1416</v>
      </c>
      <c r="E475" s="6" t="s">
        <v>1417</v>
      </c>
      <c r="F475" s="6" t="s">
        <v>71</v>
      </c>
      <c r="G475" s="7">
        <v>0.21</v>
      </c>
      <c r="H475" s="6" t="s">
        <v>1418</v>
      </c>
      <c r="I475" s="6" t="s">
        <v>45</v>
      </c>
      <c r="J475" s="6">
        <v>2006.0</v>
      </c>
      <c r="L475" s="6">
        <v>4.0</v>
      </c>
      <c r="M475" s="8">
        <f t="shared" si="1"/>
        <v>0.84</v>
      </c>
      <c r="P475" s="9"/>
    </row>
    <row r="476">
      <c r="A476" s="6" t="s">
        <v>1419</v>
      </c>
      <c r="B476" s="6" t="s">
        <v>254</v>
      </c>
      <c r="C476" s="6" t="s">
        <v>43</v>
      </c>
      <c r="D476" s="6" t="s">
        <v>1420</v>
      </c>
      <c r="E476" s="6" t="s">
        <v>176</v>
      </c>
      <c r="F476" s="6" t="s">
        <v>77</v>
      </c>
      <c r="G476" s="7">
        <v>0.1</v>
      </c>
      <c r="H476" s="6" t="s">
        <v>206</v>
      </c>
      <c r="I476" s="6" t="s">
        <v>20</v>
      </c>
      <c r="J476" s="6">
        <v>1996.0</v>
      </c>
      <c r="L476" s="6">
        <v>1.0</v>
      </c>
      <c r="M476" s="8">
        <f t="shared" si="1"/>
        <v>0.1</v>
      </c>
      <c r="P476" s="9"/>
    </row>
    <row r="477">
      <c r="A477" s="6" t="s">
        <v>1421</v>
      </c>
      <c r="B477" s="6" t="s">
        <v>1422</v>
      </c>
      <c r="C477" s="6" t="s">
        <v>43</v>
      </c>
      <c r="D477" s="6" t="s">
        <v>1423</v>
      </c>
      <c r="E477" s="6" t="s">
        <v>1424</v>
      </c>
      <c r="F477" s="6" t="s">
        <v>519</v>
      </c>
      <c r="G477" s="7">
        <v>0.05</v>
      </c>
      <c r="H477" s="6" t="s">
        <v>34</v>
      </c>
      <c r="I477" s="6" t="s">
        <v>20</v>
      </c>
      <c r="J477" s="6">
        <v>2025.0</v>
      </c>
      <c r="K477" s="10">
        <v>46084.0</v>
      </c>
      <c r="L477" s="6">
        <v>1.0</v>
      </c>
      <c r="M477" s="8">
        <f t="shared" si="1"/>
        <v>0.05</v>
      </c>
      <c r="P477" s="9"/>
    </row>
    <row r="478">
      <c r="A478" s="6" t="s">
        <v>1425</v>
      </c>
      <c r="B478" s="6" t="s">
        <v>1426</v>
      </c>
      <c r="C478" s="6" t="s">
        <v>43</v>
      </c>
      <c r="E478" s="6" t="s">
        <v>891</v>
      </c>
      <c r="F478" s="6" t="s">
        <v>77</v>
      </c>
      <c r="G478" s="7">
        <v>0.05</v>
      </c>
      <c r="H478" s="6" t="s">
        <v>586</v>
      </c>
      <c r="I478" s="6" t="s">
        <v>20</v>
      </c>
      <c r="J478" s="6">
        <v>2012.0</v>
      </c>
      <c r="K478" s="10">
        <v>46175.0</v>
      </c>
      <c r="L478" s="6">
        <v>1.0</v>
      </c>
      <c r="M478" s="8">
        <f t="shared" si="1"/>
        <v>0.05</v>
      </c>
      <c r="P478" s="9"/>
    </row>
    <row r="479">
      <c r="A479" s="6" t="s">
        <v>1427</v>
      </c>
      <c r="B479" s="6" t="s">
        <v>1428</v>
      </c>
      <c r="C479" s="6" t="s">
        <v>43</v>
      </c>
      <c r="D479" s="6" t="s">
        <v>1429</v>
      </c>
      <c r="E479" s="6" t="s">
        <v>579</v>
      </c>
      <c r="F479" s="6" t="s">
        <v>112</v>
      </c>
      <c r="G479" s="7">
        <v>0.05</v>
      </c>
      <c r="H479" s="6" t="s">
        <v>475</v>
      </c>
      <c r="I479" s="6" t="s">
        <v>20</v>
      </c>
      <c r="J479" s="6">
        <v>2024.0</v>
      </c>
      <c r="K479" s="10">
        <v>46116.0</v>
      </c>
      <c r="L479" s="6">
        <v>1.0</v>
      </c>
      <c r="M479" s="8">
        <f t="shared" si="1"/>
        <v>0.05</v>
      </c>
      <c r="P479" s="9"/>
    </row>
    <row r="480">
      <c r="A480" s="6" t="s">
        <v>1430</v>
      </c>
      <c r="B480" s="6" t="s">
        <v>146</v>
      </c>
      <c r="C480" s="6" t="s">
        <v>37</v>
      </c>
      <c r="D480" s="6" t="s">
        <v>1431</v>
      </c>
      <c r="E480" s="6" t="s">
        <v>86</v>
      </c>
      <c r="F480" s="6" t="s">
        <v>87</v>
      </c>
      <c r="G480" s="7">
        <v>0.13</v>
      </c>
      <c r="H480" s="6" t="s">
        <v>431</v>
      </c>
      <c r="I480" s="6" t="s">
        <v>20</v>
      </c>
      <c r="J480" s="6">
        <v>2019.0</v>
      </c>
      <c r="L480" s="6">
        <v>1.0</v>
      </c>
      <c r="M480" s="8">
        <f t="shared" si="1"/>
        <v>0.13</v>
      </c>
      <c r="P480" s="9"/>
    </row>
    <row r="481">
      <c r="A481" s="6" t="s">
        <v>1432</v>
      </c>
      <c r="B481" s="6" t="s">
        <v>1433</v>
      </c>
      <c r="C481" s="6" t="s">
        <v>23</v>
      </c>
      <c r="D481" s="6" t="s">
        <v>1434</v>
      </c>
      <c r="E481" s="6" t="s">
        <v>17</v>
      </c>
      <c r="F481" s="6" t="s">
        <v>18</v>
      </c>
      <c r="G481" s="7">
        <v>0.14</v>
      </c>
      <c r="H481" s="6" t="s">
        <v>19</v>
      </c>
      <c r="I481" s="6" t="s">
        <v>20</v>
      </c>
      <c r="J481" s="6">
        <v>2023.0</v>
      </c>
      <c r="K481" s="10">
        <v>46084.0</v>
      </c>
      <c r="L481" s="6">
        <v>1.0</v>
      </c>
      <c r="M481" s="8">
        <f t="shared" si="1"/>
        <v>0.14</v>
      </c>
      <c r="P481" s="9"/>
    </row>
    <row r="482">
      <c r="A482" s="6" t="s">
        <v>1435</v>
      </c>
      <c r="B482" s="6" t="s">
        <v>102</v>
      </c>
      <c r="C482" s="6" t="s">
        <v>43</v>
      </c>
      <c r="D482" s="6" t="s">
        <v>1436</v>
      </c>
      <c r="E482" s="6" t="s">
        <v>135</v>
      </c>
      <c r="F482" s="6" t="s">
        <v>40</v>
      </c>
      <c r="G482" s="7">
        <v>0.1</v>
      </c>
      <c r="H482" s="6" t="s">
        <v>428</v>
      </c>
      <c r="I482" s="6" t="s">
        <v>20</v>
      </c>
      <c r="J482" s="6">
        <v>2022.0</v>
      </c>
      <c r="K482" s="10">
        <v>46024.0</v>
      </c>
      <c r="L482" s="6">
        <v>1.0</v>
      </c>
      <c r="M482" s="8">
        <f t="shared" si="1"/>
        <v>0.1</v>
      </c>
      <c r="P482" s="9"/>
    </row>
    <row r="483">
      <c r="A483" s="6" t="s">
        <v>1437</v>
      </c>
      <c r="B483" s="6" t="s">
        <v>1438</v>
      </c>
      <c r="C483" s="6" t="s">
        <v>37</v>
      </c>
      <c r="D483" s="6" t="s">
        <v>1439</v>
      </c>
      <c r="E483" s="6" t="s">
        <v>753</v>
      </c>
      <c r="F483" s="6" t="s">
        <v>87</v>
      </c>
      <c r="G483" s="7">
        <v>0.1</v>
      </c>
      <c r="H483" s="6" t="s">
        <v>324</v>
      </c>
      <c r="I483" s="6" t="s">
        <v>20</v>
      </c>
      <c r="J483" s="6">
        <v>1995.0</v>
      </c>
      <c r="K483" s="10">
        <v>46113.0</v>
      </c>
      <c r="L483" s="6">
        <v>1.0</v>
      </c>
      <c r="M483" s="8">
        <f t="shared" si="1"/>
        <v>0.1</v>
      </c>
      <c r="P483" s="9"/>
    </row>
    <row r="484">
      <c r="A484" s="6" t="s">
        <v>1437</v>
      </c>
      <c r="B484" s="6" t="s">
        <v>1438</v>
      </c>
      <c r="C484" s="6" t="s">
        <v>37</v>
      </c>
      <c r="D484" s="6" t="s">
        <v>1439</v>
      </c>
      <c r="E484" s="6" t="s">
        <v>753</v>
      </c>
      <c r="F484" s="6" t="s">
        <v>87</v>
      </c>
      <c r="G484" s="7">
        <v>0.2</v>
      </c>
      <c r="H484" s="6" t="s">
        <v>316</v>
      </c>
      <c r="I484" s="6" t="s">
        <v>20</v>
      </c>
      <c r="J484" s="6">
        <v>1995.0</v>
      </c>
      <c r="K484" s="10">
        <v>46113.0</v>
      </c>
      <c r="L484" s="6">
        <v>2.0</v>
      </c>
      <c r="M484" s="8">
        <f t="shared" si="1"/>
        <v>0.4</v>
      </c>
      <c r="P484" s="9"/>
    </row>
    <row r="485">
      <c r="A485" s="6" t="s">
        <v>1440</v>
      </c>
      <c r="B485" s="6" t="s">
        <v>74</v>
      </c>
      <c r="C485" s="6" t="s">
        <v>43</v>
      </c>
      <c r="D485" s="6" t="s">
        <v>1441</v>
      </c>
      <c r="E485" s="6" t="s">
        <v>57</v>
      </c>
      <c r="F485" s="6" t="s">
        <v>40</v>
      </c>
      <c r="G485" s="7">
        <v>0.15</v>
      </c>
      <c r="H485" s="6" t="s">
        <v>1442</v>
      </c>
      <c r="I485" s="6" t="s">
        <v>20</v>
      </c>
      <c r="J485" s="6">
        <v>2001.0</v>
      </c>
      <c r="L485" s="6">
        <v>4.0</v>
      </c>
      <c r="M485" s="8">
        <f t="shared" si="1"/>
        <v>0.6</v>
      </c>
      <c r="P485" s="9"/>
    </row>
    <row r="486">
      <c r="A486" s="6" t="s">
        <v>1443</v>
      </c>
      <c r="B486" s="6" t="s">
        <v>1444</v>
      </c>
      <c r="C486" s="6" t="s">
        <v>15</v>
      </c>
      <c r="D486" s="6" t="s">
        <v>1445</v>
      </c>
      <c r="E486" s="6" t="s">
        <v>980</v>
      </c>
      <c r="F486" s="6" t="s">
        <v>112</v>
      </c>
      <c r="G486" s="7">
        <v>0.2</v>
      </c>
      <c r="H486" s="6" t="s">
        <v>19</v>
      </c>
      <c r="I486" s="6" t="s">
        <v>20</v>
      </c>
      <c r="J486" s="6">
        <v>2023.0</v>
      </c>
      <c r="K486" s="10">
        <v>46084.0</v>
      </c>
      <c r="L486" s="6">
        <v>2.0</v>
      </c>
      <c r="M486" s="8">
        <f t="shared" si="1"/>
        <v>0.4</v>
      </c>
      <c r="P486" s="9"/>
    </row>
    <row r="487">
      <c r="A487" s="6" t="s">
        <v>1446</v>
      </c>
      <c r="B487" s="6" t="s">
        <v>74</v>
      </c>
      <c r="C487" s="6" t="s">
        <v>43</v>
      </c>
      <c r="D487" s="6" t="s">
        <v>1447</v>
      </c>
      <c r="E487" s="6" t="s">
        <v>1448</v>
      </c>
      <c r="F487" s="6" t="s">
        <v>40</v>
      </c>
      <c r="G487" s="7">
        <v>0.08</v>
      </c>
      <c r="H487" s="6" t="s">
        <v>283</v>
      </c>
      <c r="I487" s="6" t="s">
        <v>20</v>
      </c>
      <c r="J487" s="6">
        <v>2013.0</v>
      </c>
      <c r="L487" s="6">
        <v>3.0</v>
      </c>
      <c r="M487" s="8">
        <f t="shared" si="1"/>
        <v>0.24</v>
      </c>
      <c r="P487" s="9"/>
    </row>
    <row r="488">
      <c r="A488" s="6" t="s">
        <v>1449</v>
      </c>
      <c r="B488" s="6" t="s">
        <v>192</v>
      </c>
      <c r="C488" s="6" t="s">
        <v>37</v>
      </c>
      <c r="D488" s="6" t="s">
        <v>1450</v>
      </c>
      <c r="E488" s="6" t="s">
        <v>185</v>
      </c>
      <c r="F488" s="6" t="s">
        <v>26</v>
      </c>
      <c r="G488" s="7">
        <v>0.15</v>
      </c>
      <c r="H488" s="6" t="s">
        <v>324</v>
      </c>
      <c r="I488" s="6" t="s">
        <v>20</v>
      </c>
      <c r="J488" s="6">
        <v>1995.0</v>
      </c>
      <c r="L488" s="6">
        <v>1.0</v>
      </c>
      <c r="M488" s="8">
        <f t="shared" si="1"/>
        <v>0.15</v>
      </c>
      <c r="P488" s="9"/>
    </row>
    <row r="489">
      <c r="A489" s="6" t="s">
        <v>1449</v>
      </c>
      <c r="B489" s="6" t="s">
        <v>192</v>
      </c>
      <c r="C489" s="6" t="s">
        <v>37</v>
      </c>
      <c r="D489" s="6" t="s">
        <v>1450</v>
      </c>
      <c r="E489" s="6" t="s">
        <v>185</v>
      </c>
      <c r="F489" s="6" t="s">
        <v>26</v>
      </c>
      <c r="G489" s="7">
        <v>0.5</v>
      </c>
      <c r="H489" s="6" t="s">
        <v>316</v>
      </c>
      <c r="I489" s="6" t="s">
        <v>20</v>
      </c>
      <c r="J489" s="6">
        <v>1995.0</v>
      </c>
      <c r="L489" s="6">
        <v>1.0</v>
      </c>
      <c r="M489" s="8">
        <f t="shared" si="1"/>
        <v>0.5</v>
      </c>
      <c r="P489" s="9"/>
    </row>
    <row r="490">
      <c r="A490" s="6" t="s">
        <v>1451</v>
      </c>
      <c r="B490" s="6" t="s">
        <v>1452</v>
      </c>
      <c r="C490" s="6" t="s">
        <v>43</v>
      </c>
      <c r="D490" s="6" t="s">
        <v>1453</v>
      </c>
      <c r="E490" s="6" t="s">
        <v>176</v>
      </c>
      <c r="F490" s="6" t="s">
        <v>77</v>
      </c>
      <c r="G490" s="7">
        <v>0.1</v>
      </c>
      <c r="H490" s="6" t="s">
        <v>58</v>
      </c>
      <c r="I490" s="6" t="s">
        <v>20</v>
      </c>
      <c r="J490" s="6">
        <v>1995.0</v>
      </c>
      <c r="K490" s="6" t="s">
        <v>100</v>
      </c>
      <c r="L490" s="6">
        <v>1.0</v>
      </c>
      <c r="M490" s="8">
        <f t="shared" si="1"/>
        <v>0.1</v>
      </c>
      <c r="P490" s="9"/>
    </row>
    <row r="491">
      <c r="A491" s="6" t="s">
        <v>1454</v>
      </c>
      <c r="B491" s="6" t="s">
        <v>1455</v>
      </c>
      <c r="C491" s="6" t="s">
        <v>43</v>
      </c>
      <c r="E491" s="6" t="s">
        <v>825</v>
      </c>
      <c r="F491" s="6" t="s">
        <v>112</v>
      </c>
      <c r="G491" s="7">
        <v>0.03</v>
      </c>
      <c r="H491" s="6" t="s">
        <v>249</v>
      </c>
      <c r="I491" s="6" t="s">
        <v>20</v>
      </c>
      <c r="J491" s="6">
        <v>2014.0</v>
      </c>
      <c r="K491" s="10">
        <v>46056.0</v>
      </c>
      <c r="L491" s="6">
        <v>1.0</v>
      </c>
      <c r="M491" s="8">
        <f t="shared" si="1"/>
        <v>0.03</v>
      </c>
      <c r="P491" s="9"/>
    </row>
    <row r="492">
      <c r="A492" s="6" t="s">
        <v>1456</v>
      </c>
      <c r="B492" s="6" t="s">
        <v>1455</v>
      </c>
      <c r="C492" s="6" t="s">
        <v>43</v>
      </c>
      <c r="E492" s="6" t="s">
        <v>329</v>
      </c>
      <c r="F492" s="6" t="s">
        <v>112</v>
      </c>
      <c r="G492" s="7">
        <v>0.03</v>
      </c>
      <c r="H492" s="6" t="s">
        <v>78</v>
      </c>
      <c r="I492" s="6" t="s">
        <v>20</v>
      </c>
      <c r="J492" s="6">
        <v>2018.0</v>
      </c>
      <c r="K492" s="10">
        <v>46084.0</v>
      </c>
      <c r="L492" s="6">
        <v>3.0</v>
      </c>
      <c r="M492" s="8">
        <f t="shared" si="1"/>
        <v>0.09</v>
      </c>
      <c r="P492" s="9"/>
    </row>
    <row r="493">
      <c r="A493" s="6" t="s">
        <v>1456</v>
      </c>
      <c r="B493" s="6" t="s">
        <v>1455</v>
      </c>
      <c r="C493" s="6" t="s">
        <v>43</v>
      </c>
      <c r="E493" s="6" t="s">
        <v>329</v>
      </c>
      <c r="F493" s="6" t="s">
        <v>112</v>
      </c>
      <c r="G493" s="7">
        <v>0.03</v>
      </c>
      <c r="H493" s="6" t="s">
        <v>398</v>
      </c>
      <c r="I493" s="6" t="s">
        <v>20</v>
      </c>
      <c r="J493" s="6">
        <v>2019.0</v>
      </c>
      <c r="K493" s="10">
        <v>46084.0</v>
      </c>
      <c r="L493" s="6">
        <v>1.0</v>
      </c>
      <c r="M493" s="8">
        <f t="shared" si="1"/>
        <v>0.03</v>
      </c>
      <c r="P493" s="9"/>
    </row>
    <row r="494">
      <c r="A494" s="6" t="s">
        <v>1457</v>
      </c>
      <c r="B494" s="6" t="s">
        <v>1458</v>
      </c>
      <c r="C494" s="6" t="s">
        <v>37</v>
      </c>
      <c r="D494" s="6" t="s">
        <v>1459</v>
      </c>
      <c r="E494" s="6" t="s">
        <v>98</v>
      </c>
      <c r="F494" s="6" t="s">
        <v>18</v>
      </c>
      <c r="G494" s="7">
        <v>0.11</v>
      </c>
      <c r="H494" s="6" t="s">
        <v>88</v>
      </c>
      <c r="I494" s="6" t="s">
        <v>20</v>
      </c>
      <c r="J494" s="6">
        <v>2024.0</v>
      </c>
      <c r="K494" s="10">
        <v>46055.0</v>
      </c>
      <c r="L494" s="6">
        <v>1.0</v>
      </c>
      <c r="M494" s="8">
        <f t="shared" si="1"/>
        <v>0.11</v>
      </c>
      <c r="P494" s="9"/>
    </row>
    <row r="495">
      <c r="A495" s="6" t="s">
        <v>1460</v>
      </c>
      <c r="B495" s="6" t="s">
        <v>115</v>
      </c>
      <c r="C495" s="6" t="s">
        <v>23</v>
      </c>
      <c r="D495" s="6" t="s">
        <v>1461</v>
      </c>
      <c r="E495" s="6" t="s">
        <v>17</v>
      </c>
      <c r="F495" s="6" t="s">
        <v>18</v>
      </c>
      <c r="G495" s="7">
        <v>0.08</v>
      </c>
      <c r="H495" s="6" t="s">
        <v>19</v>
      </c>
      <c r="I495" s="6" t="s">
        <v>20</v>
      </c>
      <c r="J495" s="6">
        <v>2023.0</v>
      </c>
      <c r="L495" s="6">
        <v>1.0</v>
      </c>
      <c r="M495" s="8">
        <f t="shared" si="1"/>
        <v>0.08</v>
      </c>
      <c r="P495" s="9"/>
    </row>
    <row r="496">
      <c r="A496" s="6" t="s">
        <v>1462</v>
      </c>
      <c r="B496" s="6" t="s">
        <v>74</v>
      </c>
      <c r="C496" s="6" t="s">
        <v>37</v>
      </c>
      <c r="D496" s="6" t="s">
        <v>1463</v>
      </c>
      <c r="E496" s="6" t="s">
        <v>190</v>
      </c>
      <c r="F496" s="6" t="s">
        <v>18</v>
      </c>
      <c r="G496" s="7">
        <v>0.03</v>
      </c>
      <c r="H496" s="6" t="s">
        <v>506</v>
      </c>
      <c r="I496" s="6" t="s">
        <v>20</v>
      </c>
      <c r="J496" s="6">
        <v>2016.0</v>
      </c>
      <c r="L496" s="6">
        <v>1.0</v>
      </c>
      <c r="M496" s="8">
        <f t="shared" si="1"/>
        <v>0.03</v>
      </c>
      <c r="P496" s="9"/>
    </row>
    <row r="497">
      <c r="A497" s="6" t="s">
        <v>1464</v>
      </c>
      <c r="B497" s="6" t="s">
        <v>1465</v>
      </c>
      <c r="C497" s="6" t="s">
        <v>37</v>
      </c>
      <c r="D497" s="6" t="s">
        <v>1466</v>
      </c>
      <c r="E497" s="6" t="s">
        <v>237</v>
      </c>
      <c r="F497" s="6" t="s">
        <v>18</v>
      </c>
      <c r="G497" s="7">
        <v>0.1</v>
      </c>
      <c r="H497" s="6" t="s">
        <v>597</v>
      </c>
      <c r="I497" s="6" t="s">
        <v>20</v>
      </c>
      <c r="J497" s="6">
        <v>2024.0</v>
      </c>
      <c r="K497" s="10">
        <v>46147.0</v>
      </c>
      <c r="L497" s="6">
        <v>1.0</v>
      </c>
      <c r="M497" s="8">
        <f t="shared" si="1"/>
        <v>0.1</v>
      </c>
      <c r="P497" s="9"/>
    </row>
    <row r="498">
      <c r="A498" s="6" t="s">
        <v>1467</v>
      </c>
      <c r="B498" s="6" t="s">
        <v>1468</v>
      </c>
      <c r="C498" s="6" t="s">
        <v>43</v>
      </c>
      <c r="D498" s="6" t="s">
        <v>1469</v>
      </c>
      <c r="E498" s="6" t="s">
        <v>994</v>
      </c>
      <c r="F498" s="6" t="s">
        <v>26</v>
      </c>
      <c r="G498" s="7">
        <v>0.09</v>
      </c>
      <c r="H498" s="6" t="s">
        <v>1048</v>
      </c>
      <c r="I498" s="6" t="s">
        <v>20</v>
      </c>
      <c r="J498" s="6">
        <v>2008.0</v>
      </c>
      <c r="K498" s="10">
        <v>46056.0</v>
      </c>
      <c r="L498" s="6">
        <v>1.0</v>
      </c>
      <c r="M498" s="8">
        <f t="shared" si="1"/>
        <v>0.09</v>
      </c>
      <c r="P498" s="9"/>
    </row>
    <row r="499">
      <c r="A499" s="6" t="s">
        <v>1470</v>
      </c>
      <c r="B499" s="6" t="s">
        <v>1471</v>
      </c>
      <c r="C499" s="6" t="s">
        <v>43</v>
      </c>
      <c r="D499" s="6" t="s">
        <v>1472</v>
      </c>
      <c r="E499" s="6" t="s">
        <v>248</v>
      </c>
      <c r="F499" s="6" t="s">
        <v>77</v>
      </c>
      <c r="G499" s="7">
        <v>0.1</v>
      </c>
      <c r="H499" s="6" t="s">
        <v>651</v>
      </c>
      <c r="I499" s="6" t="s">
        <v>20</v>
      </c>
      <c r="J499" s="6">
        <v>2022.0</v>
      </c>
      <c r="K499" s="10">
        <v>46057.0</v>
      </c>
      <c r="L499" s="6">
        <v>1.0</v>
      </c>
      <c r="M499" s="8">
        <f t="shared" si="1"/>
        <v>0.1</v>
      </c>
      <c r="P499" s="9"/>
    </row>
    <row r="500">
      <c r="A500" s="6" t="s">
        <v>1473</v>
      </c>
      <c r="B500" s="6" t="s">
        <v>162</v>
      </c>
      <c r="C500" s="6" t="s">
        <v>43</v>
      </c>
      <c r="D500" s="6" t="s">
        <v>1474</v>
      </c>
      <c r="E500" s="6" t="s">
        <v>140</v>
      </c>
      <c r="F500" s="6" t="s">
        <v>87</v>
      </c>
      <c r="G500" s="7">
        <v>3.15</v>
      </c>
      <c r="H500" s="6" t="s">
        <v>488</v>
      </c>
      <c r="I500" s="6" t="s">
        <v>20</v>
      </c>
      <c r="J500" s="6">
        <v>2023.0</v>
      </c>
      <c r="L500" s="6">
        <v>3.0</v>
      </c>
      <c r="M500" s="8">
        <f t="shared" si="1"/>
        <v>9.45</v>
      </c>
      <c r="P500" s="9"/>
    </row>
    <row r="501">
      <c r="A501" s="6" t="s">
        <v>1473</v>
      </c>
      <c r="B501" s="6" t="s">
        <v>162</v>
      </c>
      <c r="C501" s="6" t="s">
        <v>43</v>
      </c>
      <c r="D501" s="6" t="s">
        <v>1474</v>
      </c>
      <c r="E501" s="6" t="s">
        <v>140</v>
      </c>
      <c r="F501" s="6" t="s">
        <v>87</v>
      </c>
      <c r="G501" s="7">
        <v>4.75</v>
      </c>
      <c r="H501" s="6" t="s">
        <v>1475</v>
      </c>
      <c r="I501" s="6" t="s">
        <v>20</v>
      </c>
      <c r="J501" s="6">
        <v>2020.0</v>
      </c>
      <c r="L501" s="6">
        <v>1.0</v>
      </c>
      <c r="M501" s="8">
        <f t="shared" si="1"/>
        <v>4.75</v>
      </c>
      <c r="P501" s="9"/>
    </row>
    <row r="502">
      <c r="A502" s="6" t="s">
        <v>1476</v>
      </c>
      <c r="B502" s="6" t="s">
        <v>1477</v>
      </c>
      <c r="C502" s="6" t="s">
        <v>309</v>
      </c>
      <c r="D502" s="6" t="s">
        <v>1478</v>
      </c>
      <c r="E502" s="6" t="s">
        <v>389</v>
      </c>
      <c r="F502" s="6" t="s">
        <v>87</v>
      </c>
      <c r="G502" s="7">
        <v>0.49</v>
      </c>
      <c r="H502" s="6" t="s">
        <v>471</v>
      </c>
      <c r="I502" s="6" t="s">
        <v>20</v>
      </c>
      <c r="J502" s="6">
        <v>2026.0</v>
      </c>
      <c r="K502" s="10">
        <v>46088.0</v>
      </c>
      <c r="L502" s="6">
        <v>1.0</v>
      </c>
      <c r="M502" s="8">
        <f t="shared" si="1"/>
        <v>0.49</v>
      </c>
      <c r="P502" s="9"/>
    </row>
    <row r="503">
      <c r="A503" s="6" t="s">
        <v>1479</v>
      </c>
      <c r="B503" s="6" t="s">
        <v>1152</v>
      </c>
      <c r="C503" s="6" t="s">
        <v>309</v>
      </c>
      <c r="D503" s="6" t="s">
        <v>1480</v>
      </c>
      <c r="E503" s="6" t="s">
        <v>248</v>
      </c>
      <c r="F503" s="6" t="s">
        <v>77</v>
      </c>
      <c r="G503" s="7">
        <v>0.7</v>
      </c>
      <c r="H503" s="6" t="s">
        <v>471</v>
      </c>
      <c r="I503" s="6" t="s">
        <v>20</v>
      </c>
      <c r="J503" s="6">
        <v>2026.0</v>
      </c>
      <c r="K503" s="10">
        <v>46147.0</v>
      </c>
      <c r="L503" s="6">
        <v>1.0</v>
      </c>
      <c r="M503" s="8">
        <f t="shared" si="1"/>
        <v>0.7</v>
      </c>
      <c r="P503" s="9"/>
    </row>
    <row r="504">
      <c r="A504" s="6" t="s">
        <v>1481</v>
      </c>
      <c r="B504" s="6" t="s">
        <v>1482</v>
      </c>
      <c r="C504" s="6" t="s">
        <v>43</v>
      </c>
      <c r="D504" s="6" t="s">
        <v>1483</v>
      </c>
      <c r="E504" s="6" t="s">
        <v>356</v>
      </c>
      <c r="F504" s="6" t="s">
        <v>87</v>
      </c>
      <c r="G504" s="7">
        <v>0.1</v>
      </c>
      <c r="H504" s="6" t="s">
        <v>58</v>
      </c>
      <c r="I504" s="6" t="s">
        <v>20</v>
      </c>
      <c r="J504" s="6">
        <v>1995.0</v>
      </c>
      <c r="K504" s="10">
        <v>46084.0</v>
      </c>
      <c r="L504" s="6">
        <v>1.0</v>
      </c>
      <c r="M504" s="8">
        <f t="shared" si="1"/>
        <v>0.1</v>
      </c>
      <c r="P504" s="9"/>
    </row>
    <row r="505">
      <c r="A505" s="6" t="s">
        <v>1484</v>
      </c>
      <c r="B505" s="6" t="s">
        <v>1002</v>
      </c>
      <c r="C505" s="6" t="s">
        <v>30</v>
      </c>
      <c r="D505" s="6" t="s">
        <v>1485</v>
      </c>
      <c r="E505" s="6" t="s">
        <v>1486</v>
      </c>
      <c r="F505" s="6" t="s">
        <v>87</v>
      </c>
      <c r="G505" s="7">
        <v>13.5</v>
      </c>
      <c r="H505" s="6" t="s">
        <v>1396</v>
      </c>
      <c r="I505" s="6" t="s">
        <v>20</v>
      </c>
      <c r="J505" s="6">
        <v>2020.0</v>
      </c>
      <c r="K505" s="10">
        <v>46179.0</v>
      </c>
      <c r="L505" s="6">
        <v>1.0</v>
      </c>
      <c r="M505" s="8">
        <f t="shared" si="1"/>
        <v>13.5</v>
      </c>
      <c r="N505" s="6" t="s">
        <v>122</v>
      </c>
      <c r="P505" s="9"/>
    </row>
    <row r="506">
      <c r="A506" s="6" t="s">
        <v>1487</v>
      </c>
      <c r="B506" s="6" t="s">
        <v>162</v>
      </c>
      <c r="C506" s="6" t="s">
        <v>1488</v>
      </c>
      <c r="D506" s="6" t="s">
        <v>1489</v>
      </c>
      <c r="E506" s="6" t="s">
        <v>825</v>
      </c>
      <c r="F506" s="6" t="s">
        <v>112</v>
      </c>
      <c r="G506" s="7">
        <v>0.78</v>
      </c>
      <c r="H506" s="6" t="s">
        <v>1490</v>
      </c>
      <c r="I506" s="6" t="s">
        <v>45</v>
      </c>
      <c r="J506" s="6">
        <v>2009.0</v>
      </c>
      <c r="L506" s="6">
        <v>1.0</v>
      </c>
      <c r="M506" s="8">
        <f t="shared" si="1"/>
        <v>0.78</v>
      </c>
      <c r="P506" s="9"/>
    </row>
    <row r="507">
      <c r="A507" s="6" t="s">
        <v>1491</v>
      </c>
      <c r="B507" s="6" t="s">
        <v>74</v>
      </c>
      <c r="C507" s="6" t="s">
        <v>37</v>
      </c>
      <c r="D507" s="6" t="s">
        <v>1492</v>
      </c>
      <c r="E507" s="6" t="s">
        <v>540</v>
      </c>
      <c r="F507" s="6" t="s">
        <v>40</v>
      </c>
      <c r="G507" s="7">
        <v>0.09</v>
      </c>
      <c r="H507" s="6" t="s">
        <v>1493</v>
      </c>
      <c r="I507" s="6" t="s">
        <v>20</v>
      </c>
      <c r="J507" s="6">
        <v>2015.0</v>
      </c>
      <c r="L507" s="6">
        <v>1.0</v>
      </c>
      <c r="M507" s="8">
        <f t="shared" si="1"/>
        <v>0.09</v>
      </c>
      <c r="P507" s="9"/>
    </row>
    <row r="508">
      <c r="A508" s="6" t="s">
        <v>1494</v>
      </c>
      <c r="B508" s="6" t="s">
        <v>494</v>
      </c>
      <c r="C508" s="6" t="s">
        <v>43</v>
      </c>
      <c r="D508" s="6" t="s">
        <v>1495</v>
      </c>
      <c r="E508" s="6" t="s">
        <v>98</v>
      </c>
      <c r="F508" s="6" t="s">
        <v>18</v>
      </c>
      <c r="G508" s="7">
        <v>0.05</v>
      </c>
      <c r="H508" s="6" t="s">
        <v>1148</v>
      </c>
      <c r="I508" s="6" t="s">
        <v>20</v>
      </c>
      <c r="J508" s="6">
        <v>2012.0</v>
      </c>
      <c r="L508" s="6">
        <v>1.0</v>
      </c>
      <c r="M508" s="8">
        <f t="shared" si="1"/>
        <v>0.05</v>
      </c>
      <c r="P508" s="9"/>
    </row>
    <row r="509">
      <c r="A509" s="6" t="s">
        <v>1496</v>
      </c>
      <c r="B509" s="6" t="s">
        <v>1115</v>
      </c>
      <c r="C509" s="6" t="s">
        <v>43</v>
      </c>
      <c r="D509" s="6" t="s">
        <v>1497</v>
      </c>
      <c r="E509" s="6" t="s">
        <v>1498</v>
      </c>
      <c r="F509" s="6" t="s">
        <v>1118</v>
      </c>
      <c r="G509" s="7">
        <v>0.11</v>
      </c>
      <c r="H509" s="6" t="s">
        <v>471</v>
      </c>
      <c r="I509" s="6" t="s">
        <v>20</v>
      </c>
      <c r="J509" s="6">
        <v>2026.0</v>
      </c>
      <c r="K509" s="10">
        <v>46117.0</v>
      </c>
      <c r="L509" s="6">
        <v>1.0</v>
      </c>
      <c r="M509" s="8">
        <f t="shared" si="1"/>
        <v>0.11</v>
      </c>
      <c r="P509" s="9"/>
    </row>
    <row r="510">
      <c r="A510" s="6" t="s">
        <v>1499</v>
      </c>
      <c r="B510" s="6" t="s">
        <v>854</v>
      </c>
      <c r="C510" s="6" t="s">
        <v>43</v>
      </c>
      <c r="D510" s="6" t="s">
        <v>1500</v>
      </c>
      <c r="E510" s="6" t="s">
        <v>554</v>
      </c>
      <c r="F510" s="6" t="s">
        <v>40</v>
      </c>
      <c r="G510" s="7">
        <v>0.05</v>
      </c>
      <c r="H510" s="6" t="s">
        <v>687</v>
      </c>
      <c r="I510" s="6" t="s">
        <v>20</v>
      </c>
      <c r="J510" s="6">
        <v>2011.0</v>
      </c>
      <c r="K510" s="10">
        <v>46083.0</v>
      </c>
      <c r="L510" s="6">
        <v>1.0</v>
      </c>
      <c r="M510" s="8">
        <f t="shared" si="1"/>
        <v>0.05</v>
      </c>
      <c r="P510" s="9"/>
    </row>
    <row r="511">
      <c r="A511" s="6" t="s">
        <v>1501</v>
      </c>
      <c r="B511" s="6" t="s">
        <v>162</v>
      </c>
      <c r="C511" s="6" t="s">
        <v>43</v>
      </c>
      <c r="D511" s="6" t="s">
        <v>1502</v>
      </c>
      <c r="E511" s="6" t="s">
        <v>125</v>
      </c>
      <c r="F511" s="6" t="s">
        <v>40</v>
      </c>
      <c r="G511" s="7">
        <v>0.08</v>
      </c>
      <c r="H511" s="6" t="s">
        <v>415</v>
      </c>
      <c r="I511" s="6" t="s">
        <v>20</v>
      </c>
      <c r="J511" s="6">
        <v>2016.0</v>
      </c>
      <c r="L511" s="6">
        <v>2.0</v>
      </c>
      <c r="M511" s="8">
        <f t="shared" si="1"/>
        <v>0.16</v>
      </c>
      <c r="P511" s="9"/>
    </row>
    <row r="512">
      <c r="A512" s="6" t="s">
        <v>1503</v>
      </c>
      <c r="B512" s="6" t="s">
        <v>219</v>
      </c>
      <c r="C512" s="6" t="s">
        <v>43</v>
      </c>
      <c r="D512" s="6" t="s">
        <v>1504</v>
      </c>
      <c r="E512" s="6" t="s">
        <v>25</v>
      </c>
      <c r="F512" s="6" t="s">
        <v>77</v>
      </c>
      <c r="G512" s="7">
        <v>0.75</v>
      </c>
      <c r="H512" s="6" t="s">
        <v>1505</v>
      </c>
      <c r="I512" s="6" t="s">
        <v>20</v>
      </c>
      <c r="J512" s="6">
        <v>2021.0</v>
      </c>
      <c r="L512" s="6">
        <v>1.0</v>
      </c>
      <c r="M512" s="8">
        <f t="shared" si="1"/>
        <v>0.75</v>
      </c>
      <c r="P512" s="9"/>
    </row>
    <row r="513">
      <c r="A513" s="6" t="s">
        <v>1506</v>
      </c>
      <c r="B513" s="6" t="s">
        <v>162</v>
      </c>
      <c r="C513" s="6" t="s">
        <v>37</v>
      </c>
      <c r="D513" s="6" t="s">
        <v>1507</v>
      </c>
      <c r="E513" s="6" t="s">
        <v>329</v>
      </c>
      <c r="F513" s="6" t="s">
        <v>112</v>
      </c>
      <c r="G513" s="7">
        <v>0.09</v>
      </c>
      <c r="H513" s="6" t="s">
        <v>336</v>
      </c>
      <c r="I513" s="6" t="s">
        <v>20</v>
      </c>
      <c r="J513" s="6">
        <v>2020.0</v>
      </c>
      <c r="L513" s="6">
        <v>1.0</v>
      </c>
      <c r="M513" s="8">
        <f t="shared" si="1"/>
        <v>0.09</v>
      </c>
      <c r="P513" s="9"/>
    </row>
    <row r="514">
      <c r="A514" s="6" t="s">
        <v>1508</v>
      </c>
      <c r="B514" s="6" t="s">
        <v>1509</v>
      </c>
      <c r="C514" s="6" t="s">
        <v>43</v>
      </c>
      <c r="D514" s="6" t="s">
        <v>1510</v>
      </c>
      <c r="E514" s="6" t="s">
        <v>179</v>
      </c>
      <c r="F514" s="6" t="s">
        <v>112</v>
      </c>
      <c r="G514" s="7">
        <v>0.03</v>
      </c>
      <c r="H514" s="6" t="s">
        <v>1511</v>
      </c>
      <c r="I514" s="6" t="s">
        <v>20</v>
      </c>
      <c r="J514" s="6">
        <v>2014.0</v>
      </c>
      <c r="K514" s="10">
        <v>46023.0</v>
      </c>
      <c r="L514" s="6">
        <v>1.0</v>
      </c>
      <c r="M514" s="8">
        <f t="shared" si="1"/>
        <v>0.03</v>
      </c>
      <c r="P514" s="9"/>
    </row>
    <row r="515">
      <c r="A515" s="6" t="s">
        <v>1512</v>
      </c>
      <c r="B515" s="6" t="s">
        <v>192</v>
      </c>
      <c r="C515" s="6" t="s">
        <v>37</v>
      </c>
      <c r="D515" s="6" t="s">
        <v>1513</v>
      </c>
      <c r="E515" s="6" t="s">
        <v>185</v>
      </c>
      <c r="F515" s="6" t="s">
        <v>26</v>
      </c>
      <c r="G515" s="7">
        <v>0.15</v>
      </c>
      <c r="H515" s="6" t="s">
        <v>259</v>
      </c>
      <c r="I515" s="6" t="s">
        <v>20</v>
      </c>
      <c r="J515" s="6">
        <v>1996.0</v>
      </c>
      <c r="L515" s="6">
        <v>1.0</v>
      </c>
      <c r="M515" s="8">
        <f t="shared" si="1"/>
        <v>0.15</v>
      </c>
      <c r="P515" s="9"/>
    </row>
    <row r="516">
      <c r="A516" s="6" t="s">
        <v>1514</v>
      </c>
      <c r="B516" s="6" t="s">
        <v>1471</v>
      </c>
      <c r="C516" s="6" t="s">
        <v>30</v>
      </c>
      <c r="D516" s="6" t="s">
        <v>1515</v>
      </c>
      <c r="E516" s="6" t="s">
        <v>1486</v>
      </c>
      <c r="F516" s="6" t="s">
        <v>87</v>
      </c>
      <c r="G516" s="7">
        <v>0.85</v>
      </c>
      <c r="H516" s="6" t="s">
        <v>180</v>
      </c>
      <c r="I516" s="6" t="s">
        <v>20</v>
      </c>
      <c r="J516" s="6">
        <v>2024.0</v>
      </c>
      <c r="K516" s="10">
        <v>46116.0</v>
      </c>
      <c r="L516" s="6">
        <v>1.0</v>
      </c>
      <c r="M516" s="8">
        <f t="shared" si="1"/>
        <v>0.85</v>
      </c>
      <c r="P516" s="9"/>
    </row>
    <row r="517">
      <c r="A517" s="6" t="s">
        <v>1516</v>
      </c>
      <c r="B517" s="6" t="s">
        <v>1517</v>
      </c>
      <c r="C517" s="6" t="s">
        <v>43</v>
      </c>
      <c r="D517" s="6" t="s">
        <v>1518</v>
      </c>
      <c r="E517" s="6" t="s">
        <v>125</v>
      </c>
      <c r="F517" s="6" t="s">
        <v>40</v>
      </c>
      <c r="G517" s="7">
        <v>0.06</v>
      </c>
      <c r="H517" s="6" t="s">
        <v>290</v>
      </c>
      <c r="I517" s="6" t="s">
        <v>20</v>
      </c>
      <c r="J517" s="6">
        <v>2019.0</v>
      </c>
      <c r="K517" s="10">
        <v>46023.0</v>
      </c>
      <c r="L517" s="6">
        <v>1.0</v>
      </c>
      <c r="M517" s="8">
        <f t="shared" si="1"/>
        <v>0.06</v>
      </c>
      <c r="P517" s="9"/>
    </row>
    <row r="518">
      <c r="A518" s="6" t="s">
        <v>1519</v>
      </c>
      <c r="B518" s="6" t="s">
        <v>1520</v>
      </c>
      <c r="C518" s="6" t="s">
        <v>43</v>
      </c>
      <c r="D518" s="6" t="s">
        <v>1521</v>
      </c>
      <c r="E518" s="6" t="s">
        <v>190</v>
      </c>
      <c r="F518" s="6" t="s">
        <v>18</v>
      </c>
      <c r="G518" s="7">
        <v>0.06</v>
      </c>
      <c r="H518" s="6" t="s">
        <v>148</v>
      </c>
      <c r="I518" s="6" t="s">
        <v>20</v>
      </c>
      <c r="J518" s="6">
        <v>2026.0</v>
      </c>
      <c r="L518" s="6">
        <v>1.0</v>
      </c>
      <c r="M518" s="8">
        <f t="shared" si="1"/>
        <v>0.06</v>
      </c>
      <c r="P518" s="9"/>
    </row>
    <row r="519">
      <c r="A519" s="6" t="s">
        <v>1522</v>
      </c>
      <c r="B519" s="6" t="s">
        <v>74</v>
      </c>
      <c r="C519" s="6" t="s">
        <v>37</v>
      </c>
      <c r="D519" s="6" t="s">
        <v>1523</v>
      </c>
      <c r="E519" s="6" t="s">
        <v>224</v>
      </c>
      <c r="F519" s="6" t="s">
        <v>18</v>
      </c>
      <c r="G519" s="7">
        <v>0.14</v>
      </c>
      <c r="H519" s="6" t="s">
        <v>1344</v>
      </c>
      <c r="I519" s="6" t="s">
        <v>20</v>
      </c>
      <c r="J519" s="6">
        <v>2018.0</v>
      </c>
      <c r="L519" s="6">
        <v>1.0</v>
      </c>
      <c r="M519" s="8">
        <f t="shared" si="1"/>
        <v>0.14</v>
      </c>
      <c r="P519" s="9"/>
    </row>
    <row r="520">
      <c r="A520" s="6" t="s">
        <v>1524</v>
      </c>
      <c r="B520" s="6" t="s">
        <v>1525</v>
      </c>
      <c r="C520" s="6" t="s">
        <v>43</v>
      </c>
      <c r="D520" s="6" t="s">
        <v>1526</v>
      </c>
      <c r="E520" s="6" t="s">
        <v>176</v>
      </c>
      <c r="F520" s="6" t="s">
        <v>77</v>
      </c>
      <c r="G520" s="7">
        <v>0.07</v>
      </c>
      <c r="H520" s="6" t="s">
        <v>1527</v>
      </c>
      <c r="I520" s="6" t="s">
        <v>20</v>
      </c>
      <c r="J520" s="6">
        <v>2006.0</v>
      </c>
      <c r="K520" s="10">
        <v>46023.0</v>
      </c>
      <c r="L520" s="6">
        <v>1.0</v>
      </c>
      <c r="M520" s="8">
        <f t="shared" si="1"/>
        <v>0.07</v>
      </c>
      <c r="P520" s="9"/>
    </row>
    <row r="521">
      <c r="A521" s="6" t="s">
        <v>1528</v>
      </c>
      <c r="B521" s="6" t="s">
        <v>1529</v>
      </c>
      <c r="C521" s="6" t="s">
        <v>30</v>
      </c>
      <c r="D521" s="6" t="s">
        <v>1530</v>
      </c>
      <c r="E521" s="6" t="s">
        <v>1147</v>
      </c>
      <c r="F521" s="6" t="s">
        <v>18</v>
      </c>
      <c r="G521" s="7">
        <v>1.19</v>
      </c>
      <c r="H521" s="6" t="s">
        <v>1531</v>
      </c>
      <c r="I521" s="6" t="s">
        <v>20</v>
      </c>
      <c r="J521" s="6">
        <v>2005.0</v>
      </c>
      <c r="K521" s="10">
        <v>46116.0</v>
      </c>
      <c r="L521" s="6">
        <v>1.0</v>
      </c>
      <c r="M521" s="8">
        <f t="shared" si="1"/>
        <v>1.19</v>
      </c>
      <c r="P521" s="9"/>
    </row>
    <row r="522">
      <c r="A522" s="6" t="s">
        <v>1532</v>
      </c>
      <c r="B522" s="6" t="s">
        <v>1533</v>
      </c>
      <c r="C522" s="6" t="s">
        <v>377</v>
      </c>
      <c r="D522" s="6" t="s">
        <v>1534</v>
      </c>
      <c r="E522" s="6" t="s">
        <v>1535</v>
      </c>
      <c r="F522" s="6" t="s">
        <v>1536</v>
      </c>
      <c r="G522" s="7">
        <v>0.1</v>
      </c>
      <c r="H522" s="6" t="s">
        <v>471</v>
      </c>
      <c r="I522" s="6" t="s">
        <v>20</v>
      </c>
      <c r="J522" s="6">
        <v>2026.0</v>
      </c>
      <c r="K522" s="10">
        <v>46115.0</v>
      </c>
      <c r="L522" s="6">
        <v>3.0</v>
      </c>
      <c r="M522" s="8">
        <f t="shared" si="1"/>
        <v>0.3</v>
      </c>
      <c r="P522" s="9"/>
    </row>
    <row r="523">
      <c r="A523" s="6" t="s">
        <v>1532</v>
      </c>
      <c r="B523" s="6" t="s">
        <v>1533</v>
      </c>
      <c r="C523" s="6" t="s">
        <v>43</v>
      </c>
      <c r="D523" s="6" t="s">
        <v>1537</v>
      </c>
      <c r="E523" s="6" t="s">
        <v>1535</v>
      </c>
      <c r="F523" s="6" t="s">
        <v>977</v>
      </c>
      <c r="G523" s="7">
        <v>0.1</v>
      </c>
      <c r="H523" s="6" t="s">
        <v>471</v>
      </c>
      <c r="I523" s="6" t="s">
        <v>20</v>
      </c>
      <c r="J523" s="6">
        <v>2026.0</v>
      </c>
      <c r="K523" s="10">
        <v>46115.0</v>
      </c>
      <c r="L523" s="6">
        <v>1.0</v>
      </c>
      <c r="M523" s="8">
        <f t="shared" si="1"/>
        <v>0.1</v>
      </c>
      <c r="P523" s="9"/>
    </row>
    <row r="524">
      <c r="A524" s="6" t="s">
        <v>1538</v>
      </c>
      <c r="B524" s="6" t="s">
        <v>115</v>
      </c>
      <c r="C524" s="6" t="s">
        <v>15</v>
      </c>
      <c r="D524" s="6" t="s">
        <v>1539</v>
      </c>
      <c r="E524" s="6" t="s">
        <v>1540</v>
      </c>
      <c r="F524" s="6" t="s">
        <v>87</v>
      </c>
      <c r="G524" s="7">
        <v>0.21</v>
      </c>
      <c r="H524" s="6" t="s">
        <v>153</v>
      </c>
      <c r="I524" s="6" t="s">
        <v>20</v>
      </c>
      <c r="J524" s="6">
        <v>2025.0</v>
      </c>
      <c r="L524" s="6">
        <v>1.0</v>
      </c>
      <c r="M524" s="8">
        <f t="shared" si="1"/>
        <v>0.21</v>
      </c>
      <c r="P524" s="9"/>
    </row>
    <row r="525">
      <c r="A525" s="6" t="s">
        <v>1541</v>
      </c>
      <c r="B525" s="6" t="s">
        <v>115</v>
      </c>
      <c r="C525" s="6" t="s">
        <v>23</v>
      </c>
      <c r="D525" s="6" t="s">
        <v>1542</v>
      </c>
      <c r="E525" s="6" t="s">
        <v>980</v>
      </c>
      <c r="F525" s="6" t="s">
        <v>112</v>
      </c>
      <c r="G525" s="7">
        <v>0.05</v>
      </c>
      <c r="H525" s="6" t="s">
        <v>153</v>
      </c>
      <c r="I525" s="6" t="s">
        <v>20</v>
      </c>
      <c r="J525" s="6">
        <v>2025.0</v>
      </c>
      <c r="L525" s="6">
        <v>8.0</v>
      </c>
      <c r="M525" s="8">
        <f t="shared" si="1"/>
        <v>0.4</v>
      </c>
      <c r="P525" s="9"/>
    </row>
    <row r="526">
      <c r="A526" s="6" t="s">
        <v>1543</v>
      </c>
      <c r="B526" s="6" t="s">
        <v>213</v>
      </c>
      <c r="C526" s="6" t="s">
        <v>15</v>
      </c>
      <c r="D526" s="6" t="s">
        <v>1544</v>
      </c>
      <c r="E526" s="6" t="s">
        <v>818</v>
      </c>
      <c r="F526" s="6" t="s">
        <v>112</v>
      </c>
      <c r="G526" s="7">
        <v>0.28</v>
      </c>
      <c r="H526" s="6" t="s">
        <v>153</v>
      </c>
      <c r="I526" s="6" t="s">
        <v>20</v>
      </c>
      <c r="J526" s="6">
        <v>2025.0</v>
      </c>
      <c r="L526" s="6">
        <v>1.0</v>
      </c>
      <c r="M526" s="8">
        <f t="shared" si="1"/>
        <v>0.28</v>
      </c>
      <c r="P526" s="9"/>
    </row>
    <row r="527">
      <c r="A527" s="6" t="s">
        <v>1545</v>
      </c>
      <c r="B527" s="6" t="s">
        <v>1533</v>
      </c>
      <c r="C527" s="6" t="s">
        <v>418</v>
      </c>
      <c r="D527" s="6" t="s">
        <v>1546</v>
      </c>
      <c r="E527" s="6" t="s">
        <v>329</v>
      </c>
      <c r="F527" s="6" t="s">
        <v>112</v>
      </c>
      <c r="G527" s="7">
        <v>0.48</v>
      </c>
      <c r="H527" s="6" t="s">
        <v>471</v>
      </c>
      <c r="I527" s="6" t="s">
        <v>20</v>
      </c>
      <c r="J527" s="6">
        <v>2026.0</v>
      </c>
      <c r="K527" s="10">
        <v>46054.0</v>
      </c>
      <c r="L527" s="6">
        <v>2.0</v>
      </c>
      <c r="M527" s="8">
        <f t="shared" si="1"/>
        <v>0.96</v>
      </c>
      <c r="P527" s="9"/>
    </row>
    <row r="528">
      <c r="A528" s="6" t="s">
        <v>1547</v>
      </c>
      <c r="B528" s="6" t="s">
        <v>1548</v>
      </c>
      <c r="C528" s="6" t="s">
        <v>156</v>
      </c>
      <c r="D528" s="6" t="s">
        <v>1549</v>
      </c>
      <c r="E528" s="6" t="s">
        <v>1550</v>
      </c>
      <c r="F528" s="6" t="s">
        <v>77</v>
      </c>
      <c r="G528" s="7">
        <v>0.32</v>
      </c>
      <c r="H528" s="6" t="s">
        <v>780</v>
      </c>
      <c r="I528" s="6" t="s">
        <v>20</v>
      </c>
      <c r="J528" s="6">
        <v>2025.0</v>
      </c>
      <c r="L528" s="6">
        <v>1.0</v>
      </c>
      <c r="M528" s="8">
        <f t="shared" si="1"/>
        <v>0.32</v>
      </c>
      <c r="P528" s="9"/>
    </row>
    <row r="529">
      <c r="A529" s="6" t="s">
        <v>1551</v>
      </c>
      <c r="B529" s="6" t="s">
        <v>462</v>
      </c>
      <c r="C529" s="6" t="s">
        <v>43</v>
      </c>
      <c r="D529" s="6" t="s">
        <v>1552</v>
      </c>
      <c r="E529" s="6" t="s">
        <v>117</v>
      </c>
      <c r="F529" s="6" t="s">
        <v>77</v>
      </c>
      <c r="G529" s="7">
        <v>0.74</v>
      </c>
      <c r="H529" s="6" t="s">
        <v>1553</v>
      </c>
      <c r="I529" s="6" t="s">
        <v>20</v>
      </c>
      <c r="J529" s="6">
        <v>1998.0</v>
      </c>
      <c r="L529" s="6">
        <v>1.0</v>
      </c>
      <c r="M529" s="8">
        <f t="shared" si="1"/>
        <v>0.74</v>
      </c>
      <c r="P529" s="9"/>
    </row>
    <row r="530">
      <c r="A530" s="6" t="s">
        <v>1554</v>
      </c>
      <c r="B530" s="6" t="s">
        <v>1555</v>
      </c>
      <c r="C530" s="6" t="s">
        <v>43</v>
      </c>
      <c r="D530" s="6" t="s">
        <v>1556</v>
      </c>
      <c r="E530" s="6" t="s">
        <v>176</v>
      </c>
      <c r="F530" s="6" t="s">
        <v>77</v>
      </c>
      <c r="G530" s="7">
        <v>0.09</v>
      </c>
      <c r="H530" s="6" t="s">
        <v>1148</v>
      </c>
      <c r="I530" s="6" t="s">
        <v>20</v>
      </c>
      <c r="J530" s="6">
        <v>2012.0</v>
      </c>
      <c r="K530" s="10">
        <v>46055.0</v>
      </c>
      <c r="L530" s="6">
        <v>2.0</v>
      </c>
      <c r="M530" s="8">
        <f t="shared" si="1"/>
        <v>0.18</v>
      </c>
      <c r="P530" s="9"/>
    </row>
    <row r="531">
      <c r="A531" s="6" t="s">
        <v>1557</v>
      </c>
      <c r="B531" s="6" t="s">
        <v>254</v>
      </c>
      <c r="C531" s="6" t="s">
        <v>30</v>
      </c>
      <c r="D531" s="6" t="s">
        <v>1558</v>
      </c>
      <c r="E531" s="6" t="s">
        <v>1559</v>
      </c>
      <c r="F531" s="6" t="s">
        <v>519</v>
      </c>
      <c r="G531" s="7">
        <v>2.4</v>
      </c>
      <c r="H531" s="6" t="s">
        <v>187</v>
      </c>
      <c r="I531" s="6" t="s">
        <v>20</v>
      </c>
      <c r="J531" s="6">
        <v>1995.0</v>
      </c>
      <c r="L531" s="6">
        <v>1.0</v>
      </c>
      <c r="M531" s="8">
        <f t="shared" si="1"/>
        <v>2.4</v>
      </c>
      <c r="N531" s="6" t="s">
        <v>122</v>
      </c>
      <c r="P531" s="9"/>
    </row>
    <row r="532">
      <c r="A532" s="6" t="s">
        <v>1560</v>
      </c>
      <c r="B532" s="6" t="s">
        <v>1561</v>
      </c>
      <c r="C532" s="6" t="s">
        <v>377</v>
      </c>
      <c r="D532" s="6" t="s">
        <v>1562</v>
      </c>
      <c r="E532" s="6" t="s">
        <v>25</v>
      </c>
      <c r="F532" s="6" t="s">
        <v>312</v>
      </c>
      <c r="G532" s="7">
        <v>0.05</v>
      </c>
      <c r="H532" s="6" t="s">
        <v>1563</v>
      </c>
      <c r="I532" s="6" t="s">
        <v>20</v>
      </c>
      <c r="J532" s="6">
        <v>2025.0</v>
      </c>
      <c r="K532" s="10">
        <v>46024.0</v>
      </c>
      <c r="L532" s="6">
        <v>1.0</v>
      </c>
      <c r="M532" s="8">
        <f t="shared" si="1"/>
        <v>0.05</v>
      </c>
      <c r="P532" s="9"/>
    </row>
    <row r="533">
      <c r="A533" s="6" t="s">
        <v>1564</v>
      </c>
      <c r="B533" s="6" t="s">
        <v>494</v>
      </c>
      <c r="C533" s="6" t="s">
        <v>43</v>
      </c>
      <c r="D533" s="6" t="s">
        <v>1565</v>
      </c>
      <c r="E533" s="6" t="s">
        <v>107</v>
      </c>
      <c r="F533" s="6" t="s">
        <v>18</v>
      </c>
      <c r="G533" s="7">
        <v>0.05</v>
      </c>
      <c r="H533" s="6" t="s">
        <v>586</v>
      </c>
      <c r="I533" s="6" t="s">
        <v>20</v>
      </c>
      <c r="J533" s="6">
        <v>2012.0</v>
      </c>
      <c r="L533" s="6">
        <v>1.0</v>
      </c>
      <c r="M533" s="8">
        <f t="shared" si="1"/>
        <v>0.05</v>
      </c>
      <c r="P533" s="9"/>
    </row>
    <row r="534">
      <c r="A534" s="6" t="s">
        <v>1566</v>
      </c>
      <c r="B534" s="6" t="s">
        <v>606</v>
      </c>
      <c r="C534" s="6" t="s">
        <v>23</v>
      </c>
      <c r="D534" s="6" t="s">
        <v>1567</v>
      </c>
      <c r="E534" s="6" t="s">
        <v>1568</v>
      </c>
      <c r="F534" s="6" t="s">
        <v>1335</v>
      </c>
      <c r="G534" s="7">
        <v>0.03</v>
      </c>
      <c r="H534" s="6" t="s">
        <v>342</v>
      </c>
      <c r="I534" s="6" t="s">
        <v>20</v>
      </c>
      <c r="J534" s="6">
        <v>2014.0</v>
      </c>
      <c r="L534" s="6">
        <v>5.0</v>
      </c>
      <c r="M534" s="8">
        <f t="shared" si="1"/>
        <v>0.15</v>
      </c>
      <c r="P534" s="9"/>
    </row>
    <row r="535">
      <c r="A535" s="6" t="s">
        <v>1569</v>
      </c>
      <c r="B535" s="6" t="s">
        <v>1570</v>
      </c>
      <c r="C535" s="6" t="s">
        <v>204</v>
      </c>
      <c r="D535" s="6" t="s">
        <v>1571</v>
      </c>
      <c r="E535" s="6" t="s">
        <v>356</v>
      </c>
      <c r="F535" s="6" t="s">
        <v>87</v>
      </c>
      <c r="G535" s="7">
        <v>0.03</v>
      </c>
      <c r="H535" s="6" t="s">
        <v>290</v>
      </c>
      <c r="I535" s="6" t="s">
        <v>20</v>
      </c>
      <c r="J535" s="6">
        <v>2019.0</v>
      </c>
      <c r="K535" s="10">
        <v>46116.0</v>
      </c>
      <c r="L535" s="6">
        <v>1.0</v>
      </c>
      <c r="M535" s="8">
        <f t="shared" si="1"/>
        <v>0.03</v>
      </c>
      <c r="P535" s="9"/>
    </row>
    <row r="536">
      <c r="A536" s="6" t="s">
        <v>1572</v>
      </c>
      <c r="B536" s="6" t="s">
        <v>1573</v>
      </c>
      <c r="C536" s="6" t="s">
        <v>23</v>
      </c>
      <c r="D536" s="6" t="s">
        <v>1574</v>
      </c>
      <c r="E536" s="6" t="s">
        <v>1575</v>
      </c>
      <c r="F536" s="6" t="s">
        <v>1335</v>
      </c>
      <c r="G536" s="7">
        <v>0.03</v>
      </c>
      <c r="H536" s="6" t="s">
        <v>342</v>
      </c>
      <c r="I536" s="6" t="s">
        <v>20</v>
      </c>
      <c r="J536" s="6">
        <v>2014.0</v>
      </c>
      <c r="K536" s="10">
        <v>46117.0</v>
      </c>
      <c r="L536" s="6">
        <v>2.0</v>
      </c>
      <c r="M536" s="8">
        <f t="shared" si="1"/>
        <v>0.06</v>
      </c>
      <c r="P536" s="9"/>
    </row>
    <row r="537">
      <c r="A537" s="6" t="s">
        <v>1576</v>
      </c>
      <c r="B537" s="6" t="s">
        <v>1577</v>
      </c>
      <c r="C537" s="6" t="s">
        <v>37</v>
      </c>
      <c r="D537" s="6" t="s">
        <v>1578</v>
      </c>
      <c r="F537" s="6" t="s">
        <v>1118</v>
      </c>
      <c r="G537" s="7">
        <v>0.19</v>
      </c>
      <c r="H537" s="6" t="s">
        <v>407</v>
      </c>
      <c r="I537" s="6" t="s">
        <v>20</v>
      </c>
      <c r="J537" s="6">
        <v>2016.0</v>
      </c>
      <c r="L537" s="6">
        <v>1.0</v>
      </c>
      <c r="M537" s="8">
        <f t="shared" si="1"/>
        <v>0.19</v>
      </c>
      <c r="N537" s="6" t="s">
        <v>374</v>
      </c>
      <c r="P537" s="9"/>
    </row>
    <row r="538">
      <c r="A538" s="6" t="s">
        <v>1579</v>
      </c>
      <c r="B538" s="6" t="s">
        <v>1580</v>
      </c>
      <c r="C538" s="6" t="s">
        <v>15</v>
      </c>
      <c r="D538" s="6" t="s">
        <v>1581</v>
      </c>
      <c r="E538" s="6" t="s">
        <v>1568</v>
      </c>
      <c r="F538" s="6" t="s">
        <v>87</v>
      </c>
      <c r="G538" s="7">
        <v>0.05</v>
      </c>
      <c r="H538" s="6" t="s">
        <v>342</v>
      </c>
      <c r="I538" s="6" t="s">
        <v>20</v>
      </c>
      <c r="J538" s="6">
        <v>2014.0</v>
      </c>
      <c r="K538" s="10">
        <v>46085.0</v>
      </c>
      <c r="L538" s="6">
        <v>1.0</v>
      </c>
      <c r="M538" s="8">
        <f t="shared" si="1"/>
        <v>0.05</v>
      </c>
      <c r="P538" s="9"/>
    </row>
    <row r="539">
      <c r="A539" s="6" t="s">
        <v>1582</v>
      </c>
      <c r="B539" s="6" t="s">
        <v>52</v>
      </c>
      <c r="C539" s="6" t="s">
        <v>418</v>
      </c>
      <c r="D539" s="6" t="s">
        <v>1583</v>
      </c>
      <c r="E539" s="6" t="s">
        <v>1137</v>
      </c>
      <c r="F539" s="6" t="s">
        <v>312</v>
      </c>
      <c r="G539" s="7">
        <v>0.45</v>
      </c>
      <c r="H539" s="6" t="s">
        <v>1584</v>
      </c>
      <c r="I539" s="6" t="s">
        <v>20</v>
      </c>
      <c r="J539" s="6">
        <v>1997.0</v>
      </c>
      <c r="L539" s="6">
        <v>1.0</v>
      </c>
      <c r="M539" s="8">
        <f t="shared" si="1"/>
        <v>0.45</v>
      </c>
      <c r="P539" s="9"/>
    </row>
    <row r="540">
      <c r="A540" s="6" t="s">
        <v>1585</v>
      </c>
      <c r="B540" s="6" t="s">
        <v>1586</v>
      </c>
      <c r="C540" s="6" t="s">
        <v>43</v>
      </c>
      <c r="D540" s="6" t="s">
        <v>1587</v>
      </c>
      <c r="E540" s="6" t="s">
        <v>1588</v>
      </c>
      <c r="F540" s="6" t="s">
        <v>87</v>
      </c>
      <c r="G540" s="7">
        <v>0.06</v>
      </c>
      <c r="H540" s="6" t="s">
        <v>674</v>
      </c>
      <c r="I540" s="6" t="s">
        <v>20</v>
      </c>
      <c r="J540" s="6">
        <v>2021.0</v>
      </c>
      <c r="K540" s="10">
        <v>46180.0</v>
      </c>
      <c r="L540" s="6">
        <v>1.0</v>
      </c>
      <c r="M540" s="8">
        <f t="shared" si="1"/>
        <v>0.06</v>
      </c>
      <c r="P540" s="9"/>
    </row>
    <row r="541">
      <c r="A541" s="6" t="s">
        <v>1589</v>
      </c>
      <c r="B541" s="6" t="s">
        <v>1590</v>
      </c>
      <c r="C541" s="6" t="s">
        <v>37</v>
      </c>
      <c r="D541" s="6" t="s">
        <v>1591</v>
      </c>
      <c r="E541" s="6" t="s">
        <v>1592</v>
      </c>
      <c r="F541" s="6" t="s">
        <v>636</v>
      </c>
      <c r="G541" s="7">
        <v>0.04</v>
      </c>
      <c r="H541" s="6" t="s">
        <v>787</v>
      </c>
      <c r="I541" s="6" t="s">
        <v>20</v>
      </c>
      <c r="J541" s="6">
        <v>2023.0</v>
      </c>
      <c r="K541" s="10">
        <v>46147.0</v>
      </c>
      <c r="L541" s="6">
        <v>1.0</v>
      </c>
      <c r="M541" s="8">
        <f t="shared" si="1"/>
        <v>0.04</v>
      </c>
      <c r="P541" s="9"/>
    </row>
    <row r="542">
      <c r="A542" s="6" t="s">
        <v>1593</v>
      </c>
      <c r="B542" s="6" t="s">
        <v>115</v>
      </c>
      <c r="C542" s="6" t="s">
        <v>15</v>
      </c>
      <c r="D542" s="6" t="s">
        <v>1594</v>
      </c>
      <c r="E542" s="6" t="s">
        <v>1550</v>
      </c>
      <c r="F542" s="6" t="s">
        <v>77</v>
      </c>
      <c r="G542" s="7">
        <v>0.25</v>
      </c>
      <c r="H542" s="6" t="s">
        <v>153</v>
      </c>
      <c r="I542" s="6" t="s">
        <v>20</v>
      </c>
      <c r="J542" s="6">
        <v>2025.0</v>
      </c>
      <c r="L542" s="6">
        <v>3.0</v>
      </c>
      <c r="M542" s="8">
        <f t="shared" si="1"/>
        <v>0.75</v>
      </c>
      <c r="P542" s="9"/>
    </row>
    <row r="543">
      <c r="A543" s="6" t="s">
        <v>1595</v>
      </c>
      <c r="B543" s="6" t="s">
        <v>552</v>
      </c>
      <c r="C543" s="6" t="s">
        <v>204</v>
      </c>
      <c r="D543" s="6" t="s">
        <v>1596</v>
      </c>
      <c r="E543" s="6" t="s">
        <v>135</v>
      </c>
      <c r="F543" s="6" t="s">
        <v>40</v>
      </c>
      <c r="G543" s="7">
        <v>0.25</v>
      </c>
      <c r="H543" s="6" t="s">
        <v>324</v>
      </c>
      <c r="I543" s="6" t="s">
        <v>20</v>
      </c>
      <c r="J543" s="6">
        <v>1995.0</v>
      </c>
      <c r="L543" s="6">
        <v>1.0</v>
      </c>
      <c r="M543" s="8">
        <f t="shared" si="1"/>
        <v>0.25</v>
      </c>
      <c r="P543" s="9"/>
    </row>
    <row r="544">
      <c r="A544" s="6" t="s">
        <v>1597</v>
      </c>
      <c r="B544" s="6" t="s">
        <v>146</v>
      </c>
      <c r="C544" s="6" t="s">
        <v>43</v>
      </c>
      <c r="D544" s="6" t="s">
        <v>1598</v>
      </c>
      <c r="E544" s="6" t="s">
        <v>135</v>
      </c>
      <c r="F544" s="6" t="s">
        <v>40</v>
      </c>
      <c r="G544" s="7">
        <v>0.51</v>
      </c>
      <c r="H544" s="6" t="s">
        <v>313</v>
      </c>
      <c r="I544" s="6" t="s">
        <v>20</v>
      </c>
      <c r="J544" s="6">
        <v>1995.0</v>
      </c>
      <c r="L544" s="6">
        <v>1.0</v>
      </c>
      <c r="M544" s="8">
        <f t="shared" si="1"/>
        <v>0.51</v>
      </c>
      <c r="P544" s="9"/>
    </row>
    <row r="545">
      <c r="A545" s="6" t="s">
        <v>1599</v>
      </c>
      <c r="B545" s="6" t="s">
        <v>552</v>
      </c>
      <c r="C545" s="6" t="s">
        <v>204</v>
      </c>
      <c r="D545" s="6" t="s">
        <v>1600</v>
      </c>
      <c r="E545" s="6" t="s">
        <v>135</v>
      </c>
      <c r="F545" s="6" t="s">
        <v>40</v>
      </c>
      <c r="G545" s="7">
        <v>0.02</v>
      </c>
      <c r="H545" s="6" t="s">
        <v>631</v>
      </c>
      <c r="I545" s="6" t="s">
        <v>20</v>
      </c>
      <c r="J545" s="6">
        <v>1995.0</v>
      </c>
      <c r="L545" s="6">
        <v>4.0</v>
      </c>
      <c r="M545" s="8">
        <f t="shared" si="1"/>
        <v>0.08</v>
      </c>
      <c r="P545" s="9"/>
    </row>
    <row r="546">
      <c r="A546" s="6" t="s">
        <v>1599</v>
      </c>
      <c r="B546" s="6" t="s">
        <v>552</v>
      </c>
      <c r="C546" s="6" t="s">
        <v>204</v>
      </c>
      <c r="D546" s="6" t="s">
        <v>1600</v>
      </c>
      <c r="E546" s="6" t="s">
        <v>135</v>
      </c>
      <c r="F546" s="6" t="s">
        <v>40</v>
      </c>
      <c r="G546" s="7">
        <v>0.1</v>
      </c>
      <c r="H546" s="6" t="s">
        <v>324</v>
      </c>
      <c r="I546" s="6" t="s">
        <v>20</v>
      </c>
      <c r="J546" s="6">
        <v>1995.0</v>
      </c>
      <c r="L546" s="6">
        <v>1.0</v>
      </c>
      <c r="M546" s="8">
        <f t="shared" si="1"/>
        <v>0.1</v>
      </c>
      <c r="P546" s="9"/>
    </row>
    <row r="547">
      <c r="A547" s="6" t="s">
        <v>1601</v>
      </c>
      <c r="B547" s="6" t="s">
        <v>440</v>
      </c>
      <c r="C547" s="6" t="s">
        <v>377</v>
      </c>
      <c r="D547" s="6" t="s">
        <v>1600</v>
      </c>
      <c r="E547" s="6" t="s">
        <v>135</v>
      </c>
      <c r="F547" s="6" t="s">
        <v>40</v>
      </c>
      <c r="G547" s="7">
        <v>0.1</v>
      </c>
      <c r="H547" s="6" t="s">
        <v>1602</v>
      </c>
      <c r="I547" s="6" t="s">
        <v>20</v>
      </c>
      <c r="J547" s="6">
        <v>1995.0</v>
      </c>
      <c r="L547" s="6">
        <v>1.0</v>
      </c>
      <c r="M547" s="8">
        <f t="shared" si="1"/>
        <v>0.1</v>
      </c>
      <c r="P547" s="9"/>
    </row>
    <row r="548">
      <c r="A548" s="6" t="s">
        <v>1603</v>
      </c>
      <c r="B548" s="6" t="s">
        <v>440</v>
      </c>
      <c r="C548" s="6" t="s">
        <v>377</v>
      </c>
      <c r="D548" s="6" t="s">
        <v>1604</v>
      </c>
      <c r="E548" s="6" t="s">
        <v>135</v>
      </c>
      <c r="F548" s="6" t="s">
        <v>697</v>
      </c>
      <c r="G548" s="7">
        <v>0.2</v>
      </c>
      <c r="H548" s="6" t="s">
        <v>313</v>
      </c>
      <c r="I548" s="6" t="s">
        <v>20</v>
      </c>
      <c r="J548" s="6">
        <v>1995.0</v>
      </c>
      <c r="L548" s="6">
        <v>3.0</v>
      </c>
      <c r="M548" s="8">
        <f t="shared" si="1"/>
        <v>0.6</v>
      </c>
      <c r="P548" s="9"/>
    </row>
    <row r="549">
      <c r="A549" s="6" t="s">
        <v>1605</v>
      </c>
      <c r="B549" s="6" t="s">
        <v>440</v>
      </c>
      <c r="C549" s="6" t="s">
        <v>377</v>
      </c>
      <c r="D549" s="6" t="s">
        <v>1606</v>
      </c>
      <c r="E549" s="6" t="s">
        <v>135</v>
      </c>
      <c r="F549" s="6" t="s">
        <v>697</v>
      </c>
      <c r="G549" s="7">
        <v>0.24</v>
      </c>
      <c r="H549" s="6" t="s">
        <v>313</v>
      </c>
      <c r="I549" s="6" t="s">
        <v>20</v>
      </c>
      <c r="J549" s="6">
        <v>1995.0</v>
      </c>
      <c r="L549" s="6">
        <v>4.0</v>
      </c>
      <c r="M549" s="8">
        <f t="shared" si="1"/>
        <v>0.96</v>
      </c>
      <c r="P549" s="9"/>
    </row>
    <row r="550">
      <c r="A550" s="6" t="s">
        <v>1607</v>
      </c>
      <c r="B550" s="6" t="s">
        <v>146</v>
      </c>
      <c r="C550" s="6" t="s">
        <v>43</v>
      </c>
      <c r="D550" s="6" t="s">
        <v>1608</v>
      </c>
      <c r="E550" s="6" t="s">
        <v>135</v>
      </c>
      <c r="F550" s="6" t="s">
        <v>40</v>
      </c>
      <c r="G550" s="7">
        <v>0.45</v>
      </c>
      <c r="H550" s="6" t="s">
        <v>313</v>
      </c>
      <c r="I550" s="6" t="s">
        <v>20</v>
      </c>
      <c r="J550" s="6">
        <v>1995.0</v>
      </c>
      <c r="L550" s="6">
        <v>1.0</v>
      </c>
      <c r="M550" s="8">
        <f t="shared" si="1"/>
        <v>0.45</v>
      </c>
      <c r="P550" s="9"/>
    </row>
    <row r="551">
      <c r="A551" s="6" t="s">
        <v>1609</v>
      </c>
      <c r="B551" s="6" t="s">
        <v>1610</v>
      </c>
      <c r="C551" s="6" t="s">
        <v>204</v>
      </c>
      <c r="D551" s="6" t="s">
        <v>1611</v>
      </c>
      <c r="E551" s="6" t="s">
        <v>135</v>
      </c>
      <c r="F551" s="6" t="s">
        <v>40</v>
      </c>
      <c r="G551" s="7">
        <v>0.2</v>
      </c>
      <c r="H551" s="6" t="s">
        <v>324</v>
      </c>
      <c r="I551" s="6" t="s">
        <v>20</v>
      </c>
      <c r="J551" s="6">
        <v>1994.0</v>
      </c>
      <c r="L551" s="6">
        <v>1.0</v>
      </c>
      <c r="M551" s="8">
        <f t="shared" si="1"/>
        <v>0.2</v>
      </c>
      <c r="P551" s="9"/>
    </row>
    <row r="552">
      <c r="A552" s="6" t="s">
        <v>1609</v>
      </c>
      <c r="B552" s="6" t="s">
        <v>1610</v>
      </c>
      <c r="C552" s="6" t="s">
        <v>204</v>
      </c>
      <c r="D552" s="6" t="s">
        <v>1611</v>
      </c>
      <c r="E552" s="6" t="s">
        <v>135</v>
      </c>
      <c r="F552" s="6" t="s">
        <v>40</v>
      </c>
      <c r="G552" s="7">
        <v>1.0</v>
      </c>
      <c r="H552" s="6" t="s">
        <v>316</v>
      </c>
      <c r="I552" s="6" t="s">
        <v>20</v>
      </c>
      <c r="J552" s="6">
        <v>1994.0</v>
      </c>
      <c r="L552" s="6">
        <v>8.0</v>
      </c>
      <c r="M552" s="8">
        <f t="shared" si="1"/>
        <v>8</v>
      </c>
      <c r="P552" s="9"/>
    </row>
    <row r="553">
      <c r="A553" s="6" t="s">
        <v>1612</v>
      </c>
      <c r="B553" s="6" t="s">
        <v>552</v>
      </c>
      <c r="C553" s="6" t="s">
        <v>204</v>
      </c>
      <c r="D553" s="6" t="s">
        <v>1613</v>
      </c>
      <c r="E553" s="6" t="s">
        <v>135</v>
      </c>
      <c r="F553" s="6" t="s">
        <v>40</v>
      </c>
      <c r="G553" s="7">
        <v>0.1</v>
      </c>
      <c r="H553" s="6" t="s">
        <v>324</v>
      </c>
      <c r="I553" s="6" t="s">
        <v>20</v>
      </c>
      <c r="J553" s="6">
        <v>1995.0</v>
      </c>
      <c r="L553" s="6">
        <v>1.0</v>
      </c>
      <c r="M553" s="8">
        <f t="shared" si="1"/>
        <v>0.1</v>
      </c>
      <c r="P553" s="9"/>
    </row>
    <row r="554">
      <c r="A554" s="6" t="s">
        <v>1612</v>
      </c>
      <c r="B554" s="6" t="s">
        <v>552</v>
      </c>
      <c r="C554" s="6" t="s">
        <v>204</v>
      </c>
      <c r="D554" s="6" t="s">
        <v>1613</v>
      </c>
      <c r="E554" s="6" t="s">
        <v>135</v>
      </c>
      <c r="F554" s="6" t="s">
        <v>40</v>
      </c>
      <c r="G554" s="7">
        <v>0.49</v>
      </c>
      <c r="H554" s="6" t="s">
        <v>316</v>
      </c>
      <c r="I554" s="6" t="s">
        <v>20</v>
      </c>
      <c r="J554" s="6">
        <v>1995.0</v>
      </c>
      <c r="L554" s="6">
        <v>7.0</v>
      </c>
      <c r="M554" s="8">
        <f t="shared" si="1"/>
        <v>3.43</v>
      </c>
      <c r="P554" s="9"/>
    </row>
    <row r="555">
      <c r="A555" s="6" t="s">
        <v>1614</v>
      </c>
      <c r="B555" s="6" t="s">
        <v>552</v>
      </c>
      <c r="C555" s="6" t="s">
        <v>204</v>
      </c>
      <c r="D555" s="6" t="s">
        <v>1615</v>
      </c>
      <c r="E555" s="6" t="s">
        <v>135</v>
      </c>
      <c r="F555" s="6" t="s">
        <v>40</v>
      </c>
      <c r="G555" s="7">
        <v>0.15</v>
      </c>
      <c r="H555" s="6" t="s">
        <v>324</v>
      </c>
      <c r="I555" s="6" t="s">
        <v>20</v>
      </c>
      <c r="J555" s="6">
        <v>1995.0</v>
      </c>
      <c r="L555" s="6">
        <v>3.0</v>
      </c>
      <c r="M555" s="8">
        <f t="shared" si="1"/>
        <v>0.45</v>
      </c>
      <c r="P555" s="9"/>
    </row>
    <row r="556">
      <c r="A556" s="6" t="s">
        <v>1614</v>
      </c>
      <c r="B556" s="6" t="s">
        <v>552</v>
      </c>
      <c r="C556" s="6" t="s">
        <v>204</v>
      </c>
      <c r="D556" s="6" t="s">
        <v>1615</v>
      </c>
      <c r="E556" s="6" t="s">
        <v>135</v>
      </c>
      <c r="F556" s="6" t="s">
        <v>40</v>
      </c>
      <c r="G556" s="7">
        <v>0.36</v>
      </c>
      <c r="H556" s="6" t="s">
        <v>316</v>
      </c>
      <c r="I556" s="6" t="s">
        <v>20</v>
      </c>
      <c r="J556" s="6">
        <v>1995.0</v>
      </c>
      <c r="L556" s="6">
        <v>2.0</v>
      </c>
      <c r="M556" s="8">
        <f t="shared" si="1"/>
        <v>0.72</v>
      </c>
      <c r="P556" s="9"/>
    </row>
    <row r="557">
      <c r="A557" s="6" t="s">
        <v>1614</v>
      </c>
      <c r="B557" s="6" t="s">
        <v>552</v>
      </c>
      <c r="C557" s="6" t="s">
        <v>204</v>
      </c>
      <c r="D557" s="6" t="s">
        <v>1615</v>
      </c>
      <c r="E557" s="6" t="s">
        <v>135</v>
      </c>
      <c r="F557" s="6" t="s">
        <v>40</v>
      </c>
      <c r="G557" s="7">
        <v>0.3</v>
      </c>
      <c r="H557" s="6" t="s">
        <v>187</v>
      </c>
      <c r="I557" s="6" t="s">
        <v>20</v>
      </c>
      <c r="J557" s="6">
        <v>1995.0</v>
      </c>
      <c r="L557" s="6">
        <v>3.0</v>
      </c>
      <c r="M557" s="8">
        <f t="shared" si="1"/>
        <v>0.9</v>
      </c>
      <c r="P557" s="9"/>
    </row>
    <row r="558">
      <c r="A558" s="6" t="s">
        <v>1614</v>
      </c>
      <c r="B558" s="6" t="s">
        <v>552</v>
      </c>
      <c r="C558" s="6" t="s">
        <v>204</v>
      </c>
      <c r="D558" s="6" t="s">
        <v>1615</v>
      </c>
      <c r="E558" s="6" t="s">
        <v>135</v>
      </c>
      <c r="F558" s="6" t="s">
        <v>40</v>
      </c>
      <c r="G558" s="7">
        <v>0.3</v>
      </c>
      <c r="H558" s="6" t="s">
        <v>453</v>
      </c>
      <c r="I558" s="6" t="s">
        <v>20</v>
      </c>
      <c r="J558" s="6">
        <v>1994.0</v>
      </c>
      <c r="L558" s="6">
        <v>1.0</v>
      </c>
      <c r="M558" s="8">
        <f t="shared" si="1"/>
        <v>0.3</v>
      </c>
      <c r="P558" s="9"/>
    </row>
    <row r="559">
      <c r="A559" s="6" t="s">
        <v>1616</v>
      </c>
      <c r="B559" s="6" t="s">
        <v>778</v>
      </c>
      <c r="C559" s="6" t="s">
        <v>23</v>
      </c>
      <c r="D559" s="6" t="s">
        <v>1617</v>
      </c>
      <c r="E559" s="6" t="s">
        <v>135</v>
      </c>
      <c r="F559" s="6" t="s">
        <v>40</v>
      </c>
      <c r="G559" s="7">
        <v>0.2</v>
      </c>
      <c r="H559" s="6" t="s">
        <v>313</v>
      </c>
      <c r="I559" s="6" t="s">
        <v>20</v>
      </c>
      <c r="J559" s="6">
        <v>1995.0</v>
      </c>
      <c r="L559" s="6">
        <v>3.0</v>
      </c>
      <c r="M559" s="8">
        <f t="shared" si="1"/>
        <v>0.6</v>
      </c>
      <c r="P559" s="9"/>
    </row>
    <row r="560">
      <c r="A560" s="6" t="s">
        <v>1618</v>
      </c>
      <c r="B560" s="6" t="s">
        <v>1619</v>
      </c>
      <c r="C560" s="6" t="s">
        <v>23</v>
      </c>
      <c r="D560" s="6" t="s">
        <v>1620</v>
      </c>
      <c r="E560" s="6" t="s">
        <v>125</v>
      </c>
      <c r="F560" s="6" t="s">
        <v>40</v>
      </c>
      <c r="G560" s="7">
        <v>0.05</v>
      </c>
      <c r="H560" s="6" t="s">
        <v>1621</v>
      </c>
      <c r="I560" s="6" t="s">
        <v>20</v>
      </c>
      <c r="J560" s="6">
        <v>2025.0</v>
      </c>
      <c r="K560" s="10">
        <v>46023.0</v>
      </c>
      <c r="L560" s="6">
        <v>7.0</v>
      </c>
      <c r="M560" s="8">
        <f t="shared" si="1"/>
        <v>0.35</v>
      </c>
      <c r="P560" s="9"/>
    </row>
    <row r="561">
      <c r="A561" s="6" t="s">
        <v>1618</v>
      </c>
      <c r="B561" s="6" t="s">
        <v>1619</v>
      </c>
      <c r="C561" s="6" t="s">
        <v>23</v>
      </c>
      <c r="D561" s="6" t="s">
        <v>1620</v>
      </c>
      <c r="E561" s="6" t="s">
        <v>125</v>
      </c>
      <c r="F561" s="6" t="s">
        <v>40</v>
      </c>
      <c r="G561" s="7">
        <v>0.3</v>
      </c>
      <c r="H561" s="6" t="s">
        <v>1621</v>
      </c>
      <c r="I561" s="6" t="s">
        <v>20</v>
      </c>
      <c r="J561" s="6">
        <v>2025.0</v>
      </c>
      <c r="K561" s="10">
        <v>46023.0</v>
      </c>
      <c r="L561" s="6">
        <v>2.0</v>
      </c>
      <c r="M561" s="8">
        <f t="shared" si="1"/>
        <v>0.6</v>
      </c>
      <c r="P561" s="9"/>
    </row>
    <row r="562">
      <c r="A562" s="6" t="s">
        <v>1622</v>
      </c>
      <c r="B562" s="6" t="s">
        <v>1623</v>
      </c>
      <c r="C562" s="6" t="s">
        <v>15</v>
      </c>
      <c r="D562" s="6" t="s">
        <v>1624</v>
      </c>
      <c r="E562" s="6" t="s">
        <v>980</v>
      </c>
      <c r="F562" s="6" t="s">
        <v>112</v>
      </c>
      <c r="G562" s="7">
        <v>0.64</v>
      </c>
      <c r="H562" s="6" t="s">
        <v>27</v>
      </c>
      <c r="I562" s="6" t="s">
        <v>20</v>
      </c>
      <c r="J562" s="6">
        <v>2026.0</v>
      </c>
      <c r="L562" s="6">
        <v>2.0</v>
      </c>
      <c r="M562" s="8">
        <f t="shared" si="1"/>
        <v>1.28</v>
      </c>
      <c r="P562" s="9"/>
    </row>
    <row r="563">
      <c r="A563" s="6" t="s">
        <v>1625</v>
      </c>
      <c r="B563" s="6" t="s">
        <v>1626</v>
      </c>
      <c r="C563" s="6" t="s">
        <v>37</v>
      </c>
      <c r="D563" s="6" t="s">
        <v>1627</v>
      </c>
      <c r="E563" s="6" t="s">
        <v>256</v>
      </c>
      <c r="F563" s="6" t="s">
        <v>87</v>
      </c>
      <c r="G563" s="7">
        <v>0.04</v>
      </c>
      <c r="H563" s="6" t="s">
        <v>431</v>
      </c>
      <c r="I563" s="6" t="s">
        <v>20</v>
      </c>
      <c r="J563" s="6">
        <v>2019.0</v>
      </c>
      <c r="K563" s="10">
        <v>46023.0</v>
      </c>
      <c r="L563" s="6">
        <v>1.0</v>
      </c>
      <c r="M563" s="8">
        <f t="shared" si="1"/>
        <v>0.04</v>
      </c>
      <c r="P563" s="9"/>
    </row>
    <row r="564">
      <c r="A564" s="6" t="s">
        <v>1628</v>
      </c>
      <c r="B564" s="6" t="s">
        <v>462</v>
      </c>
      <c r="C564" s="6" t="s">
        <v>15</v>
      </c>
      <c r="D564" s="6" t="s">
        <v>1629</v>
      </c>
      <c r="E564" s="6" t="s">
        <v>1630</v>
      </c>
      <c r="F564" s="6" t="s">
        <v>112</v>
      </c>
      <c r="G564" s="7">
        <v>0.76</v>
      </c>
      <c r="H564" s="6" t="s">
        <v>1631</v>
      </c>
      <c r="I564" s="6" t="s">
        <v>45</v>
      </c>
      <c r="J564" s="6">
        <v>2025.0</v>
      </c>
      <c r="L564" s="6">
        <v>2.0</v>
      </c>
      <c r="M564" s="8">
        <f t="shared" si="1"/>
        <v>1.52</v>
      </c>
      <c r="P564" s="9"/>
    </row>
    <row r="565">
      <c r="A565" s="6" t="s">
        <v>1632</v>
      </c>
      <c r="B565" s="6" t="s">
        <v>74</v>
      </c>
      <c r="C565" s="6" t="s">
        <v>37</v>
      </c>
      <c r="D565" s="6" t="s">
        <v>1633</v>
      </c>
      <c r="E565" s="6" t="s">
        <v>1634</v>
      </c>
      <c r="F565" s="6" t="s">
        <v>87</v>
      </c>
      <c r="G565" s="7">
        <v>0.08</v>
      </c>
      <c r="H565" s="6" t="s">
        <v>336</v>
      </c>
      <c r="I565" s="6" t="s">
        <v>20</v>
      </c>
      <c r="J565" s="6">
        <v>2020.0</v>
      </c>
      <c r="L565" s="6">
        <v>1.0</v>
      </c>
      <c r="M565" s="8">
        <f t="shared" si="1"/>
        <v>0.08</v>
      </c>
      <c r="P565" s="9"/>
    </row>
    <row r="566">
      <c r="A566" s="6" t="s">
        <v>1635</v>
      </c>
      <c r="B566" s="6" t="s">
        <v>494</v>
      </c>
      <c r="C566" s="6" t="s">
        <v>43</v>
      </c>
      <c r="D566" s="6" t="s">
        <v>1636</v>
      </c>
      <c r="E566" s="6" t="s">
        <v>117</v>
      </c>
      <c r="F566" s="6" t="s">
        <v>77</v>
      </c>
      <c r="G566" s="7">
        <v>0.2</v>
      </c>
      <c r="H566" s="6" t="s">
        <v>297</v>
      </c>
      <c r="I566" s="6" t="s">
        <v>20</v>
      </c>
      <c r="J566" s="6">
        <v>2022.0</v>
      </c>
      <c r="L566" s="6">
        <v>1.0</v>
      </c>
      <c r="M566" s="8">
        <f t="shared" si="1"/>
        <v>0.2</v>
      </c>
      <c r="P566" s="9"/>
    </row>
    <row r="567">
      <c r="A567" s="6" t="s">
        <v>1637</v>
      </c>
      <c r="B567" s="6" t="s">
        <v>1638</v>
      </c>
      <c r="C567" s="6" t="s">
        <v>43</v>
      </c>
      <c r="D567" s="6" t="s">
        <v>1639</v>
      </c>
      <c r="E567" s="6" t="s">
        <v>994</v>
      </c>
      <c r="F567" s="6" t="s">
        <v>26</v>
      </c>
      <c r="G567" s="7">
        <v>0.05</v>
      </c>
      <c r="H567" s="6" t="s">
        <v>324</v>
      </c>
      <c r="I567" s="6" t="s">
        <v>20</v>
      </c>
      <c r="J567" s="6">
        <v>1995.0</v>
      </c>
      <c r="K567" s="10">
        <v>46025.0</v>
      </c>
      <c r="L567" s="6">
        <v>3.0</v>
      </c>
      <c r="M567" s="8">
        <f t="shared" si="1"/>
        <v>0.15</v>
      </c>
      <c r="P567" s="9"/>
    </row>
    <row r="568">
      <c r="A568" s="6" t="s">
        <v>1637</v>
      </c>
      <c r="B568" s="6" t="s">
        <v>1638</v>
      </c>
      <c r="C568" s="6" t="s">
        <v>43</v>
      </c>
      <c r="D568" s="6" t="s">
        <v>1639</v>
      </c>
      <c r="E568" s="6" t="s">
        <v>994</v>
      </c>
      <c r="F568" s="6" t="s">
        <v>26</v>
      </c>
      <c r="G568" s="7">
        <v>0.1</v>
      </c>
      <c r="H568" s="6" t="s">
        <v>316</v>
      </c>
      <c r="I568" s="6" t="s">
        <v>20</v>
      </c>
      <c r="J568" s="6">
        <v>1995.0</v>
      </c>
      <c r="K568" s="10">
        <v>46025.0</v>
      </c>
      <c r="L568" s="6">
        <v>4.0</v>
      </c>
      <c r="M568" s="8">
        <f t="shared" si="1"/>
        <v>0.4</v>
      </c>
      <c r="P568" s="9"/>
    </row>
    <row r="569">
      <c r="A569" s="6" t="s">
        <v>1640</v>
      </c>
      <c r="B569" s="6" t="s">
        <v>219</v>
      </c>
      <c r="C569" s="6" t="s">
        <v>37</v>
      </c>
      <c r="D569" s="6" t="s">
        <v>1641</v>
      </c>
      <c r="E569" s="6" t="s">
        <v>135</v>
      </c>
      <c r="F569" s="6" t="s">
        <v>40</v>
      </c>
      <c r="G569" s="7">
        <v>0.1</v>
      </c>
      <c r="H569" s="6" t="s">
        <v>582</v>
      </c>
      <c r="I569" s="6" t="s">
        <v>20</v>
      </c>
      <c r="J569" s="6">
        <v>2023.0</v>
      </c>
      <c r="L569" s="6">
        <v>1.0</v>
      </c>
      <c r="M569" s="8">
        <f t="shared" si="1"/>
        <v>0.1</v>
      </c>
      <c r="P569" s="9"/>
    </row>
    <row r="570">
      <c r="A570" s="6" t="s">
        <v>1642</v>
      </c>
      <c r="B570" s="6" t="s">
        <v>162</v>
      </c>
      <c r="C570" s="6" t="s">
        <v>43</v>
      </c>
      <c r="D570" s="6" t="s">
        <v>1643</v>
      </c>
      <c r="E570" s="6" t="s">
        <v>98</v>
      </c>
      <c r="F570" s="6" t="s">
        <v>18</v>
      </c>
      <c r="G570" s="7">
        <v>0.06</v>
      </c>
      <c r="H570" s="6" t="s">
        <v>431</v>
      </c>
      <c r="I570" s="6" t="s">
        <v>20</v>
      </c>
      <c r="J570" s="6">
        <v>2019.0</v>
      </c>
      <c r="L570" s="6">
        <v>3.0</v>
      </c>
      <c r="M570" s="8">
        <f t="shared" si="1"/>
        <v>0.18</v>
      </c>
      <c r="P570" s="9"/>
    </row>
    <row r="571">
      <c r="A571" s="6" t="s">
        <v>1644</v>
      </c>
      <c r="B571" s="6" t="s">
        <v>74</v>
      </c>
      <c r="C571" s="6" t="s">
        <v>43</v>
      </c>
      <c r="D571" s="6" t="s">
        <v>1645</v>
      </c>
      <c r="E571" s="6" t="s">
        <v>329</v>
      </c>
      <c r="F571" s="6" t="s">
        <v>112</v>
      </c>
      <c r="G571" s="7">
        <v>0.05</v>
      </c>
      <c r="H571" s="6" t="s">
        <v>1148</v>
      </c>
      <c r="I571" s="6" t="s">
        <v>20</v>
      </c>
      <c r="J571" s="6">
        <v>2012.0</v>
      </c>
      <c r="L571" s="6">
        <v>1.0</v>
      </c>
      <c r="M571" s="8">
        <f t="shared" si="1"/>
        <v>0.05</v>
      </c>
      <c r="P571" s="9"/>
    </row>
    <row r="572">
      <c r="A572" s="6" t="s">
        <v>1646</v>
      </c>
      <c r="B572" s="6" t="s">
        <v>1647</v>
      </c>
      <c r="C572" s="6" t="s">
        <v>23</v>
      </c>
      <c r="D572" s="6" t="s">
        <v>1648</v>
      </c>
      <c r="E572" s="6" t="s">
        <v>1649</v>
      </c>
      <c r="F572" s="6" t="s">
        <v>18</v>
      </c>
      <c r="G572" s="7">
        <v>0.03</v>
      </c>
      <c r="H572" s="6" t="s">
        <v>342</v>
      </c>
      <c r="I572" s="6" t="s">
        <v>20</v>
      </c>
      <c r="J572" s="6">
        <v>2014.0</v>
      </c>
      <c r="K572" s="10">
        <v>46056.0</v>
      </c>
      <c r="L572" s="6">
        <v>4.0</v>
      </c>
      <c r="M572" s="8">
        <f t="shared" si="1"/>
        <v>0.12</v>
      </c>
      <c r="P572" s="9"/>
    </row>
    <row r="573">
      <c r="A573" s="6" t="s">
        <v>1650</v>
      </c>
      <c r="B573" s="6" t="s">
        <v>1651</v>
      </c>
      <c r="C573" s="6" t="s">
        <v>37</v>
      </c>
      <c r="D573" s="6" t="s">
        <v>1652</v>
      </c>
      <c r="E573" s="6" t="s">
        <v>329</v>
      </c>
      <c r="F573" s="6" t="s">
        <v>112</v>
      </c>
      <c r="G573" s="7">
        <v>0.06</v>
      </c>
      <c r="H573" s="6" t="s">
        <v>651</v>
      </c>
      <c r="I573" s="6" t="s">
        <v>20</v>
      </c>
      <c r="J573" s="6">
        <v>2022.0</v>
      </c>
      <c r="L573" s="6">
        <v>1.0</v>
      </c>
      <c r="M573" s="8">
        <f t="shared" si="1"/>
        <v>0.06</v>
      </c>
      <c r="P573" s="9"/>
    </row>
    <row r="574">
      <c r="A574" s="6" t="s">
        <v>1650</v>
      </c>
      <c r="B574" s="6" t="s">
        <v>1651</v>
      </c>
      <c r="C574" s="6" t="s">
        <v>37</v>
      </c>
      <c r="D574" s="6" t="s">
        <v>1652</v>
      </c>
      <c r="E574" s="6" t="s">
        <v>329</v>
      </c>
      <c r="F574" s="6" t="s">
        <v>112</v>
      </c>
      <c r="G574" s="7">
        <v>0.68</v>
      </c>
      <c r="H574" s="6" t="s">
        <v>1653</v>
      </c>
      <c r="I574" s="6" t="s">
        <v>45</v>
      </c>
      <c r="J574" s="6">
        <v>2022.0</v>
      </c>
      <c r="L574" s="6">
        <v>1.0</v>
      </c>
      <c r="M574" s="8">
        <f t="shared" si="1"/>
        <v>0.68</v>
      </c>
      <c r="P574" s="9"/>
    </row>
    <row r="575">
      <c r="A575" s="6" t="s">
        <v>1654</v>
      </c>
      <c r="B575" s="6" t="s">
        <v>1655</v>
      </c>
      <c r="C575" s="6" t="s">
        <v>30</v>
      </c>
      <c r="D575" s="6" t="s">
        <v>1656</v>
      </c>
      <c r="E575" s="6" t="s">
        <v>526</v>
      </c>
      <c r="F575" s="6" t="s">
        <v>26</v>
      </c>
      <c r="G575" s="7">
        <v>0.5</v>
      </c>
      <c r="H575" s="6" t="s">
        <v>324</v>
      </c>
      <c r="I575" s="6" t="s">
        <v>20</v>
      </c>
      <c r="J575" s="6">
        <v>1995.0</v>
      </c>
      <c r="K575" s="6" t="s">
        <v>445</v>
      </c>
      <c r="L575" s="6">
        <v>1.0</v>
      </c>
      <c r="M575" s="8">
        <f t="shared" si="1"/>
        <v>0.5</v>
      </c>
      <c r="P575" s="9"/>
    </row>
    <row r="576">
      <c r="A576" s="6" t="s">
        <v>1654</v>
      </c>
      <c r="B576" s="6" t="s">
        <v>1655</v>
      </c>
      <c r="C576" s="6" t="s">
        <v>30</v>
      </c>
      <c r="D576" s="6" t="s">
        <v>1656</v>
      </c>
      <c r="E576" s="6" t="s">
        <v>526</v>
      </c>
      <c r="F576" s="6" t="s">
        <v>26</v>
      </c>
      <c r="G576" s="7">
        <v>1.5</v>
      </c>
      <c r="H576" s="6" t="s">
        <v>453</v>
      </c>
      <c r="I576" s="6" t="s">
        <v>20</v>
      </c>
      <c r="J576" s="6">
        <v>1994.0</v>
      </c>
      <c r="K576" s="6" t="s">
        <v>445</v>
      </c>
      <c r="L576" s="6">
        <v>1.0</v>
      </c>
      <c r="M576" s="8">
        <f t="shared" si="1"/>
        <v>1.5</v>
      </c>
      <c r="N576" s="6" t="s">
        <v>122</v>
      </c>
      <c r="P576" s="9"/>
    </row>
    <row r="577">
      <c r="A577" s="6" t="s">
        <v>1657</v>
      </c>
      <c r="B577" s="6" t="s">
        <v>1658</v>
      </c>
      <c r="C577" s="6" t="s">
        <v>43</v>
      </c>
      <c r="D577" s="6" t="s">
        <v>1659</v>
      </c>
      <c r="E577" s="6" t="s">
        <v>994</v>
      </c>
      <c r="F577" s="6" t="s">
        <v>26</v>
      </c>
      <c r="G577" s="7">
        <v>0.1</v>
      </c>
      <c r="H577" s="6" t="s">
        <v>58</v>
      </c>
      <c r="I577" s="6" t="s">
        <v>20</v>
      </c>
      <c r="J577" s="6">
        <v>1995.0</v>
      </c>
      <c r="K577" s="10">
        <v>46055.0</v>
      </c>
      <c r="L577" s="6">
        <v>2.0</v>
      </c>
      <c r="M577" s="8">
        <f t="shared" si="1"/>
        <v>0.2</v>
      </c>
      <c r="P577" s="9"/>
    </row>
    <row r="578">
      <c r="A578" s="6" t="s">
        <v>1660</v>
      </c>
      <c r="B578" s="6" t="s">
        <v>1661</v>
      </c>
      <c r="C578" s="6" t="s">
        <v>37</v>
      </c>
      <c r="D578" s="6" t="s">
        <v>1662</v>
      </c>
      <c r="E578" s="6" t="s">
        <v>681</v>
      </c>
      <c r="F578" s="6" t="s">
        <v>26</v>
      </c>
      <c r="G578" s="7">
        <v>0.15</v>
      </c>
      <c r="H578" s="6" t="s">
        <v>428</v>
      </c>
      <c r="I578" s="6" t="s">
        <v>20</v>
      </c>
      <c r="J578" s="6">
        <v>2022.0</v>
      </c>
      <c r="K578" s="6" t="s">
        <v>527</v>
      </c>
      <c r="L578" s="6">
        <v>1.0</v>
      </c>
      <c r="M578" s="8">
        <f t="shared" si="1"/>
        <v>0.15</v>
      </c>
      <c r="P578" s="9"/>
    </row>
    <row r="579">
      <c r="A579" s="6" t="s">
        <v>1663</v>
      </c>
      <c r="B579" s="6" t="s">
        <v>606</v>
      </c>
      <c r="C579" s="6" t="s">
        <v>15</v>
      </c>
      <c r="D579" s="6" t="s">
        <v>1664</v>
      </c>
      <c r="E579" s="6" t="s">
        <v>980</v>
      </c>
      <c r="F579" s="6" t="s">
        <v>112</v>
      </c>
      <c r="G579" s="7">
        <v>0.09</v>
      </c>
      <c r="H579" s="6" t="s">
        <v>780</v>
      </c>
      <c r="I579" s="6" t="s">
        <v>20</v>
      </c>
      <c r="J579" s="6">
        <v>2025.0</v>
      </c>
      <c r="L579" s="6">
        <v>1.0</v>
      </c>
      <c r="M579" s="8">
        <f t="shared" si="1"/>
        <v>0.09</v>
      </c>
      <c r="P579" s="9"/>
    </row>
    <row r="580">
      <c r="A580" s="6" t="s">
        <v>1665</v>
      </c>
      <c r="B580" s="6" t="s">
        <v>1666</v>
      </c>
      <c r="C580" s="6" t="s">
        <v>23</v>
      </c>
      <c r="D580" s="6" t="s">
        <v>1667</v>
      </c>
      <c r="E580" s="6" t="s">
        <v>1668</v>
      </c>
      <c r="F580" s="6" t="s">
        <v>40</v>
      </c>
      <c r="G580" s="7">
        <v>0.09</v>
      </c>
      <c r="H580" s="6" t="s">
        <v>153</v>
      </c>
      <c r="I580" s="6" t="s">
        <v>20</v>
      </c>
      <c r="J580" s="6">
        <v>2025.0</v>
      </c>
      <c r="K580" s="10">
        <v>46083.0</v>
      </c>
      <c r="L580" s="6">
        <v>8.0</v>
      </c>
      <c r="M580" s="8">
        <f t="shared" si="1"/>
        <v>0.72</v>
      </c>
      <c r="P580" s="9"/>
    </row>
    <row r="581">
      <c r="A581" s="6" t="s">
        <v>1669</v>
      </c>
      <c r="B581" s="6" t="s">
        <v>603</v>
      </c>
      <c r="C581" s="6" t="s">
        <v>43</v>
      </c>
      <c r="D581" s="6" t="s">
        <v>1670</v>
      </c>
      <c r="E581" s="6" t="s">
        <v>39</v>
      </c>
      <c r="F581" s="6" t="s">
        <v>40</v>
      </c>
      <c r="G581" s="7">
        <v>0.03</v>
      </c>
      <c r="H581" s="6" t="s">
        <v>1584</v>
      </c>
      <c r="I581" s="6" t="s">
        <v>20</v>
      </c>
      <c r="J581" s="6">
        <v>1997.0</v>
      </c>
      <c r="K581" s="10">
        <v>46055.0</v>
      </c>
      <c r="L581" s="6">
        <v>1.0</v>
      </c>
      <c r="M581" s="8">
        <f t="shared" si="1"/>
        <v>0.03</v>
      </c>
      <c r="P581" s="9"/>
    </row>
    <row r="582">
      <c r="A582" s="6" t="s">
        <v>1671</v>
      </c>
      <c r="B582" s="6" t="s">
        <v>1672</v>
      </c>
      <c r="C582" s="6" t="s">
        <v>43</v>
      </c>
      <c r="D582" s="6" t="s">
        <v>1673</v>
      </c>
      <c r="E582" s="6" t="s">
        <v>98</v>
      </c>
      <c r="F582" s="6" t="s">
        <v>18</v>
      </c>
      <c r="G582" s="7">
        <v>0.1</v>
      </c>
      <c r="H582" s="6" t="s">
        <v>398</v>
      </c>
      <c r="I582" s="6" t="s">
        <v>20</v>
      </c>
      <c r="J582" s="6">
        <v>2019.0</v>
      </c>
      <c r="K582" s="10">
        <v>46024.0</v>
      </c>
      <c r="L582" s="6">
        <v>2.0</v>
      </c>
      <c r="M582" s="8">
        <f t="shared" si="1"/>
        <v>0.2</v>
      </c>
      <c r="P582" s="9"/>
    </row>
    <row r="583">
      <c r="A583" s="6" t="s">
        <v>1674</v>
      </c>
      <c r="B583" s="6" t="s">
        <v>74</v>
      </c>
      <c r="C583" s="6" t="s">
        <v>43</v>
      </c>
      <c r="D583" s="6" t="s">
        <v>1675</v>
      </c>
      <c r="E583" s="6" t="s">
        <v>125</v>
      </c>
      <c r="F583" s="6" t="s">
        <v>40</v>
      </c>
      <c r="G583" s="7">
        <v>0.05</v>
      </c>
      <c r="H583" s="6" t="s">
        <v>444</v>
      </c>
      <c r="I583" s="6" t="s">
        <v>20</v>
      </c>
      <c r="J583" s="6">
        <v>2012.0</v>
      </c>
      <c r="L583" s="6">
        <v>1.0</v>
      </c>
      <c r="M583" s="8">
        <f t="shared" si="1"/>
        <v>0.05</v>
      </c>
      <c r="P583" s="9"/>
    </row>
    <row r="584">
      <c r="A584" s="6" t="s">
        <v>1676</v>
      </c>
      <c r="B584" s="6" t="s">
        <v>1677</v>
      </c>
      <c r="C584" s="6" t="s">
        <v>37</v>
      </c>
      <c r="D584" s="6" t="s">
        <v>1678</v>
      </c>
      <c r="E584" s="6" t="s">
        <v>1679</v>
      </c>
      <c r="F584" s="6" t="s">
        <v>1000</v>
      </c>
      <c r="G584" s="7">
        <v>0.12</v>
      </c>
      <c r="H584" s="6" t="s">
        <v>228</v>
      </c>
      <c r="I584" s="6" t="s">
        <v>20</v>
      </c>
      <c r="J584" s="6">
        <v>2025.0</v>
      </c>
      <c r="K584" s="10">
        <v>46083.0</v>
      </c>
      <c r="L584" s="6">
        <v>1.0</v>
      </c>
      <c r="M584" s="8">
        <f t="shared" si="1"/>
        <v>0.12</v>
      </c>
      <c r="P584" s="9"/>
    </row>
    <row r="585">
      <c r="A585" s="6" t="s">
        <v>1680</v>
      </c>
      <c r="B585" s="6" t="s">
        <v>119</v>
      </c>
      <c r="C585" s="6" t="s">
        <v>204</v>
      </c>
      <c r="D585" s="6" t="s">
        <v>1681</v>
      </c>
      <c r="E585" s="6" t="s">
        <v>117</v>
      </c>
      <c r="F585" s="6" t="s">
        <v>77</v>
      </c>
      <c r="G585" s="7">
        <v>0.08</v>
      </c>
      <c r="H585" s="6" t="s">
        <v>1682</v>
      </c>
      <c r="I585" s="6" t="s">
        <v>20</v>
      </c>
      <c r="J585" s="6">
        <v>2012.0</v>
      </c>
      <c r="L585" s="6">
        <v>3.0</v>
      </c>
      <c r="M585" s="8">
        <f t="shared" si="1"/>
        <v>0.24</v>
      </c>
      <c r="P585" s="9"/>
    </row>
    <row r="586">
      <c r="A586" s="6" t="s">
        <v>1680</v>
      </c>
      <c r="B586" s="6" t="s">
        <v>119</v>
      </c>
      <c r="C586" s="6" t="s">
        <v>204</v>
      </c>
      <c r="D586" s="6" t="s">
        <v>1681</v>
      </c>
      <c r="E586" s="6" t="s">
        <v>117</v>
      </c>
      <c r="F586" s="6" t="s">
        <v>77</v>
      </c>
      <c r="G586" s="7">
        <v>0.1</v>
      </c>
      <c r="H586" s="6" t="s">
        <v>1683</v>
      </c>
      <c r="I586" s="6" t="s">
        <v>20</v>
      </c>
      <c r="J586" s="6">
        <v>2013.0</v>
      </c>
      <c r="L586" s="6">
        <v>1.0</v>
      </c>
      <c r="M586" s="8">
        <f t="shared" si="1"/>
        <v>0.1</v>
      </c>
      <c r="P586" s="9"/>
    </row>
    <row r="587">
      <c r="A587" s="6" t="s">
        <v>1680</v>
      </c>
      <c r="B587" s="6" t="s">
        <v>119</v>
      </c>
      <c r="C587" s="6" t="s">
        <v>204</v>
      </c>
      <c r="D587" s="6" t="s">
        <v>1681</v>
      </c>
      <c r="E587" s="6" t="s">
        <v>117</v>
      </c>
      <c r="F587" s="6" t="s">
        <v>77</v>
      </c>
      <c r="G587" s="7">
        <v>0.09</v>
      </c>
      <c r="H587" s="6" t="s">
        <v>398</v>
      </c>
      <c r="I587" s="6" t="s">
        <v>20</v>
      </c>
      <c r="J587" s="6">
        <v>2019.0</v>
      </c>
      <c r="L587" s="6">
        <v>1.0</v>
      </c>
      <c r="M587" s="8">
        <f t="shared" si="1"/>
        <v>0.09</v>
      </c>
      <c r="P587" s="9"/>
    </row>
    <row r="588">
      <c r="A588" s="6" t="s">
        <v>1684</v>
      </c>
      <c r="B588" s="6" t="s">
        <v>1685</v>
      </c>
      <c r="C588" s="6" t="s">
        <v>204</v>
      </c>
      <c r="D588" s="6" t="s">
        <v>1686</v>
      </c>
      <c r="E588" s="6" t="s">
        <v>39</v>
      </c>
      <c r="F588" s="6" t="s">
        <v>40</v>
      </c>
      <c r="G588" s="7">
        <v>0.59</v>
      </c>
      <c r="H588" s="6" t="s">
        <v>1687</v>
      </c>
      <c r="I588" s="6" t="s">
        <v>20</v>
      </c>
      <c r="J588" s="6">
        <v>2001.0</v>
      </c>
      <c r="K588" s="10">
        <v>46114.0</v>
      </c>
      <c r="L588" s="6">
        <v>2.0</v>
      </c>
      <c r="M588" s="8">
        <f t="shared" si="1"/>
        <v>1.18</v>
      </c>
      <c r="P588" s="9"/>
    </row>
    <row r="589">
      <c r="A589" s="6" t="s">
        <v>1688</v>
      </c>
      <c r="B589" s="6" t="s">
        <v>102</v>
      </c>
      <c r="C589" s="6" t="s">
        <v>37</v>
      </c>
      <c r="D589" s="6" t="s">
        <v>1689</v>
      </c>
      <c r="E589" s="6" t="s">
        <v>39</v>
      </c>
      <c r="F589" s="6" t="s">
        <v>40</v>
      </c>
      <c r="G589" s="7">
        <v>0.04</v>
      </c>
      <c r="H589" s="6" t="s">
        <v>99</v>
      </c>
      <c r="I589" s="6" t="s">
        <v>20</v>
      </c>
      <c r="J589" s="6">
        <v>2022.0</v>
      </c>
      <c r="K589" s="10">
        <v>46055.0</v>
      </c>
      <c r="L589" s="6">
        <v>1.0</v>
      </c>
      <c r="M589" s="8">
        <f t="shared" si="1"/>
        <v>0.04</v>
      </c>
      <c r="P589" s="9"/>
    </row>
    <row r="590">
      <c r="A590" s="6" t="s">
        <v>1690</v>
      </c>
      <c r="B590" s="6" t="s">
        <v>1691</v>
      </c>
      <c r="C590" s="6" t="s">
        <v>23</v>
      </c>
      <c r="D590" s="6" t="s">
        <v>1692</v>
      </c>
      <c r="E590" s="6" t="s">
        <v>152</v>
      </c>
      <c r="F590" s="6" t="s">
        <v>40</v>
      </c>
      <c r="G590" s="7">
        <v>0.05</v>
      </c>
      <c r="H590" s="6" t="s">
        <v>153</v>
      </c>
      <c r="I590" s="6" t="s">
        <v>20</v>
      </c>
      <c r="J590" s="6">
        <v>2025.0</v>
      </c>
      <c r="K590" s="10">
        <v>46055.0</v>
      </c>
      <c r="L590" s="6">
        <v>6.0</v>
      </c>
      <c r="M590" s="8">
        <f t="shared" si="1"/>
        <v>0.3</v>
      </c>
      <c r="P590" s="9"/>
    </row>
    <row r="591">
      <c r="A591" s="6" t="s">
        <v>1693</v>
      </c>
      <c r="B591" s="6" t="s">
        <v>1694</v>
      </c>
      <c r="C591" s="6" t="s">
        <v>43</v>
      </c>
      <c r="D591" s="6" t="s">
        <v>1695</v>
      </c>
      <c r="E591" s="6" t="s">
        <v>190</v>
      </c>
      <c r="F591" s="6" t="s">
        <v>18</v>
      </c>
      <c r="G591" s="7">
        <v>0.09</v>
      </c>
      <c r="H591" s="6" t="s">
        <v>582</v>
      </c>
      <c r="I591" s="6" t="s">
        <v>20</v>
      </c>
      <c r="J591" s="6">
        <v>2023.0</v>
      </c>
      <c r="K591" s="10">
        <v>46054.0</v>
      </c>
      <c r="L591" s="6">
        <v>4.0</v>
      </c>
      <c r="M591" s="8">
        <f t="shared" si="1"/>
        <v>0.36</v>
      </c>
      <c r="P591" s="9"/>
    </row>
    <row r="592">
      <c r="A592" s="6" t="s">
        <v>1696</v>
      </c>
      <c r="B592" s="6" t="s">
        <v>1697</v>
      </c>
      <c r="C592" s="6" t="s">
        <v>15</v>
      </c>
      <c r="D592" s="6" t="s">
        <v>1698</v>
      </c>
      <c r="E592" s="6" t="s">
        <v>1699</v>
      </c>
      <c r="F592" s="6" t="s">
        <v>112</v>
      </c>
      <c r="G592" s="7">
        <v>0.19</v>
      </c>
      <c r="H592" s="6" t="s">
        <v>153</v>
      </c>
      <c r="I592" s="6" t="s">
        <v>20</v>
      </c>
      <c r="J592" s="6">
        <v>2025.0</v>
      </c>
      <c r="K592" s="10">
        <v>46210.0</v>
      </c>
      <c r="L592" s="6">
        <v>1.0</v>
      </c>
      <c r="M592" s="8">
        <f t="shared" si="1"/>
        <v>0.19</v>
      </c>
      <c r="P592" s="9"/>
    </row>
    <row r="593">
      <c r="A593" s="6" t="s">
        <v>1700</v>
      </c>
      <c r="B593" s="6" t="s">
        <v>396</v>
      </c>
      <c r="C593" s="6" t="s">
        <v>43</v>
      </c>
      <c r="D593" s="6" t="s">
        <v>1701</v>
      </c>
      <c r="E593" s="6" t="s">
        <v>1702</v>
      </c>
      <c r="F593" s="6" t="s">
        <v>112</v>
      </c>
      <c r="G593" s="7">
        <v>0.05</v>
      </c>
      <c r="H593" s="6" t="s">
        <v>363</v>
      </c>
      <c r="I593" s="6" t="s">
        <v>20</v>
      </c>
      <c r="J593" s="6">
        <v>2024.0</v>
      </c>
      <c r="L593" s="6">
        <v>1.0</v>
      </c>
      <c r="M593" s="8">
        <f t="shared" si="1"/>
        <v>0.05</v>
      </c>
      <c r="P593" s="9"/>
    </row>
    <row r="594">
      <c r="A594" s="6" t="s">
        <v>1703</v>
      </c>
      <c r="B594" s="6" t="s">
        <v>361</v>
      </c>
      <c r="C594" s="6" t="s">
        <v>43</v>
      </c>
      <c r="D594" s="6" t="s">
        <v>1704</v>
      </c>
      <c r="E594" s="6" t="s">
        <v>1702</v>
      </c>
      <c r="F594" s="6" t="s">
        <v>112</v>
      </c>
      <c r="G594" s="7">
        <v>0.05</v>
      </c>
      <c r="H594" s="6" t="s">
        <v>1076</v>
      </c>
      <c r="I594" s="6" t="s">
        <v>20</v>
      </c>
      <c r="J594" s="6">
        <v>2018.0</v>
      </c>
      <c r="K594" s="10">
        <v>46179.0</v>
      </c>
      <c r="L594" s="6">
        <v>4.0</v>
      </c>
      <c r="M594" s="8">
        <f t="shared" si="1"/>
        <v>0.2</v>
      </c>
      <c r="P594" s="9"/>
    </row>
    <row r="595">
      <c r="A595" s="6" t="s">
        <v>1703</v>
      </c>
      <c r="B595" s="6" t="s">
        <v>361</v>
      </c>
      <c r="C595" s="6" t="s">
        <v>43</v>
      </c>
      <c r="D595" s="6" t="s">
        <v>1705</v>
      </c>
      <c r="E595" s="6" t="s">
        <v>1702</v>
      </c>
      <c r="F595" s="6" t="s">
        <v>112</v>
      </c>
      <c r="G595" s="7">
        <v>0.05</v>
      </c>
      <c r="H595" s="6" t="s">
        <v>1076</v>
      </c>
      <c r="I595" s="6" t="s">
        <v>20</v>
      </c>
      <c r="J595" s="6">
        <v>2018.0</v>
      </c>
      <c r="K595" s="10">
        <v>46179.0</v>
      </c>
      <c r="L595" s="6">
        <v>1.0</v>
      </c>
      <c r="M595" s="8">
        <f t="shared" si="1"/>
        <v>0.05</v>
      </c>
      <c r="P595" s="9"/>
    </row>
    <row r="596">
      <c r="A596" s="6" t="s">
        <v>1706</v>
      </c>
      <c r="B596" s="6" t="s">
        <v>1394</v>
      </c>
      <c r="C596" s="6" t="s">
        <v>43</v>
      </c>
      <c r="E596" s="6" t="s">
        <v>448</v>
      </c>
      <c r="F596" s="6" t="s">
        <v>112</v>
      </c>
      <c r="G596" s="7">
        <v>0.03</v>
      </c>
      <c r="H596" s="6" t="s">
        <v>531</v>
      </c>
      <c r="I596" s="6" t="s">
        <v>20</v>
      </c>
      <c r="J596" s="6">
        <v>2017.0</v>
      </c>
      <c r="K596" s="10">
        <v>46147.0</v>
      </c>
      <c r="L596" s="6">
        <v>3.0</v>
      </c>
      <c r="M596" s="8">
        <f t="shared" si="1"/>
        <v>0.09</v>
      </c>
      <c r="P596" s="9"/>
    </row>
    <row r="597">
      <c r="A597" s="6" t="s">
        <v>1707</v>
      </c>
      <c r="B597" s="6" t="s">
        <v>292</v>
      </c>
      <c r="C597" s="6" t="s">
        <v>183</v>
      </c>
      <c r="D597" s="6" t="s">
        <v>1708</v>
      </c>
      <c r="E597" s="6" t="s">
        <v>1709</v>
      </c>
      <c r="F597" s="6" t="s">
        <v>1710</v>
      </c>
      <c r="G597" s="7">
        <v>0.09</v>
      </c>
      <c r="H597" s="6" t="s">
        <v>431</v>
      </c>
      <c r="I597" s="6" t="s">
        <v>20</v>
      </c>
      <c r="J597" s="6">
        <v>2019.0</v>
      </c>
      <c r="L597" s="6">
        <v>1.0</v>
      </c>
      <c r="M597" s="8">
        <f t="shared" si="1"/>
        <v>0.09</v>
      </c>
      <c r="P597" s="9"/>
    </row>
    <row r="598">
      <c r="A598" s="6" t="s">
        <v>1711</v>
      </c>
      <c r="B598" s="6" t="s">
        <v>953</v>
      </c>
      <c r="C598" s="6" t="s">
        <v>43</v>
      </c>
      <c r="D598" s="6" t="s">
        <v>1712</v>
      </c>
      <c r="E598" s="6" t="s">
        <v>1713</v>
      </c>
      <c r="F598" s="6" t="s">
        <v>26</v>
      </c>
      <c r="G598" s="7">
        <v>0.09</v>
      </c>
      <c r="H598" s="6" t="s">
        <v>297</v>
      </c>
      <c r="I598" s="6" t="s">
        <v>20</v>
      </c>
      <c r="J598" s="6">
        <v>2022.0</v>
      </c>
      <c r="K598" s="10">
        <v>46210.0</v>
      </c>
      <c r="L598" s="6">
        <v>1.0</v>
      </c>
      <c r="M598" s="8">
        <f t="shared" si="1"/>
        <v>0.09</v>
      </c>
      <c r="P598" s="9"/>
    </row>
    <row r="599">
      <c r="A599" s="6" t="s">
        <v>1714</v>
      </c>
      <c r="B599" s="6" t="s">
        <v>524</v>
      </c>
      <c r="C599" s="6" t="s">
        <v>30</v>
      </c>
      <c r="D599" s="6" t="s">
        <v>1715</v>
      </c>
      <c r="E599" s="6" t="s">
        <v>1716</v>
      </c>
      <c r="F599" s="6" t="s">
        <v>26</v>
      </c>
      <c r="G599" s="7">
        <v>6.75</v>
      </c>
      <c r="H599" s="6" t="s">
        <v>316</v>
      </c>
      <c r="I599" s="6" t="s">
        <v>20</v>
      </c>
      <c r="J599" s="6">
        <v>1995.0</v>
      </c>
      <c r="K599" s="10">
        <v>46274.0</v>
      </c>
      <c r="L599" s="6">
        <v>1.0</v>
      </c>
      <c r="M599" s="8">
        <f t="shared" si="1"/>
        <v>6.75</v>
      </c>
      <c r="N599" s="6" t="s">
        <v>122</v>
      </c>
      <c r="P599" s="9"/>
    </row>
    <row r="600">
      <c r="A600" s="6" t="s">
        <v>1717</v>
      </c>
      <c r="B600" s="6" t="s">
        <v>1718</v>
      </c>
      <c r="C600" s="6" t="s">
        <v>15</v>
      </c>
      <c r="D600" s="6" t="s">
        <v>1719</v>
      </c>
      <c r="E600" s="6" t="s">
        <v>57</v>
      </c>
      <c r="F600" s="6" t="s">
        <v>40</v>
      </c>
      <c r="G600" s="7">
        <v>0.24</v>
      </c>
      <c r="H600" s="6" t="s">
        <v>194</v>
      </c>
      <c r="I600" s="6" t="s">
        <v>20</v>
      </c>
      <c r="J600" s="6">
        <v>1994.0</v>
      </c>
      <c r="K600" s="6" t="s">
        <v>233</v>
      </c>
      <c r="L600" s="6">
        <v>4.0</v>
      </c>
      <c r="M600" s="8">
        <f t="shared" si="1"/>
        <v>0.96</v>
      </c>
      <c r="P600" s="9"/>
    </row>
    <row r="601">
      <c r="A601" s="6" t="s">
        <v>1720</v>
      </c>
      <c r="B601" s="6" t="s">
        <v>1721</v>
      </c>
      <c r="C601" s="6" t="s">
        <v>43</v>
      </c>
      <c r="D601" s="6" t="s">
        <v>1722</v>
      </c>
      <c r="E601" s="6" t="s">
        <v>39</v>
      </c>
      <c r="F601" s="6" t="s">
        <v>40</v>
      </c>
      <c r="G601" s="7">
        <v>0.06</v>
      </c>
      <c r="H601" s="6" t="s">
        <v>428</v>
      </c>
      <c r="I601" s="6" t="s">
        <v>20</v>
      </c>
      <c r="J601" s="6">
        <v>2022.0</v>
      </c>
      <c r="K601" s="10">
        <v>46083.0</v>
      </c>
      <c r="L601" s="6">
        <v>1.0</v>
      </c>
      <c r="M601" s="8">
        <f t="shared" si="1"/>
        <v>0.06</v>
      </c>
      <c r="P601" s="9"/>
    </row>
    <row r="602">
      <c r="A602" s="6" t="s">
        <v>1723</v>
      </c>
      <c r="B602" s="6" t="s">
        <v>494</v>
      </c>
      <c r="C602" s="6" t="s">
        <v>37</v>
      </c>
      <c r="D602" s="6" t="s">
        <v>1724</v>
      </c>
      <c r="E602" s="6" t="s">
        <v>190</v>
      </c>
      <c r="F602" s="6" t="s">
        <v>18</v>
      </c>
      <c r="G602" s="7">
        <v>2.9</v>
      </c>
      <c r="H602" s="6" t="s">
        <v>99</v>
      </c>
      <c r="I602" s="6" t="s">
        <v>20</v>
      </c>
      <c r="J602" s="6">
        <v>2022.0</v>
      </c>
      <c r="L602" s="6">
        <v>1.0</v>
      </c>
      <c r="M602" s="8">
        <f t="shared" si="1"/>
        <v>2.9</v>
      </c>
      <c r="N602" s="6" t="s">
        <v>122</v>
      </c>
      <c r="P602" s="9"/>
    </row>
    <row r="603">
      <c r="A603" s="6" t="s">
        <v>1725</v>
      </c>
      <c r="B603" s="6" t="s">
        <v>115</v>
      </c>
      <c r="C603" s="6" t="s">
        <v>23</v>
      </c>
      <c r="D603" s="6" t="s">
        <v>1726</v>
      </c>
      <c r="E603" s="6" t="s">
        <v>1364</v>
      </c>
      <c r="F603" s="6" t="s">
        <v>18</v>
      </c>
      <c r="G603" s="7">
        <v>0.1</v>
      </c>
      <c r="H603" s="6" t="s">
        <v>153</v>
      </c>
      <c r="I603" s="6" t="s">
        <v>20</v>
      </c>
      <c r="J603" s="6">
        <v>2025.0</v>
      </c>
      <c r="L603" s="6">
        <v>7.0</v>
      </c>
      <c r="M603" s="8">
        <f t="shared" si="1"/>
        <v>0.7</v>
      </c>
      <c r="P603" s="9"/>
    </row>
    <row r="604">
      <c r="A604" s="6" t="s">
        <v>1727</v>
      </c>
      <c r="B604" s="6" t="s">
        <v>1728</v>
      </c>
      <c r="C604" s="6" t="s">
        <v>23</v>
      </c>
      <c r="D604" s="6" t="s">
        <v>1729</v>
      </c>
      <c r="E604" s="6" t="s">
        <v>263</v>
      </c>
      <c r="F604" s="6" t="s">
        <v>77</v>
      </c>
      <c r="G604" s="7">
        <v>0.05</v>
      </c>
      <c r="H604" s="6" t="s">
        <v>780</v>
      </c>
      <c r="I604" s="6" t="s">
        <v>20</v>
      </c>
      <c r="J604" s="6">
        <v>2025.0</v>
      </c>
      <c r="K604" s="10">
        <v>46083.0</v>
      </c>
      <c r="L604" s="6">
        <v>1.0</v>
      </c>
      <c r="M604" s="8">
        <f t="shared" si="1"/>
        <v>0.05</v>
      </c>
      <c r="P604" s="9"/>
    </row>
    <row r="605">
      <c r="A605" s="6" t="s">
        <v>1730</v>
      </c>
      <c r="B605" s="6" t="s">
        <v>1731</v>
      </c>
      <c r="C605" s="6" t="s">
        <v>23</v>
      </c>
      <c r="D605" s="6" t="s">
        <v>1732</v>
      </c>
      <c r="E605" s="6" t="s">
        <v>172</v>
      </c>
      <c r="F605" s="6" t="s">
        <v>1731</v>
      </c>
      <c r="G605" s="7">
        <v>0.15</v>
      </c>
      <c r="H605" s="6" t="s">
        <v>780</v>
      </c>
      <c r="I605" s="6" t="s">
        <v>20</v>
      </c>
      <c r="J605" s="6">
        <v>2025.0</v>
      </c>
      <c r="L605" s="6">
        <v>1.0</v>
      </c>
      <c r="M605" s="8">
        <f t="shared" si="1"/>
        <v>0.15</v>
      </c>
      <c r="P605" s="9"/>
    </row>
    <row r="606">
      <c r="A606" s="6" t="s">
        <v>1733</v>
      </c>
      <c r="B606" s="6" t="s">
        <v>219</v>
      </c>
      <c r="C606" s="6" t="s">
        <v>43</v>
      </c>
      <c r="D606" s="6" t="s">
        <v>1734</v>
      </c>
      <c r="E606" s="6" t="s">
        <v>185</v>
      </c>
      <c r="F606" s="6" t="s">
        <v>26</v>
      </c>
      <c r="G606" s="7">
        <v>0.5</v>
      </c>
      <c r="H606" s="6" t="s">
        <v>1735</v>
      </c>
      <c r="I606" s="6" t="s">
        <v>20</v>
      </c>
      <c r="J606" s="6">
        <v>2019.0</v>
      </c>
      <c r="L606" s="6">
        <v>1.0</v>
      </c>
      <c r="M606" s="8">
        <f t="shared" si="1"/>
        <v>0.5</v>
      </c>
      <c r="N606" s="6" t="s">
        <v>374</v>
      </c>
      <c r="P606" s="9"/>
    </row>
    <row r="607">
      <c r="A607" s="6" t="s">
        <v>1733</v>
      </c>
      <c r="B607" s="6" t="s">
        <v>219</v>
      </c>
      <c r="C607" s="6" t="s">
        <v>43</v>
      </c>
      <c r="D607" s="6" t="s">
        <v>1734</v>
      </c>
      <c r="E607" s="6" t="s">
        <v>185</v>
      </c>
      <c r="F607" s="6" t="s">
        <v>26</v>
      </c>
      <c r="G607" s="7">
        <v>0.49</v>
      </c>
      <c r="H607" s="6" t="s">
        <v>113</v>
      </c>
      <c r="I607" s="6" t="s">
        <v>20</v>
      </c>
      <c r="J607" s="6">
        <v>2023.0</v>
      </c>
      <c r="L607" s="6">
        <v>1.0</v>
      </c>
      <c r="M607" s="8">
        <f t="shared" si="1"/>
        <v>0.49</v>
      </c>
      <c r="P607" s="9"/>
    </row>
    <row r="608">
      <c r="A608" s="6" t="s">
        <v>1736</v>
      </c>
      <c r="B608" s="6" t="s">
        <v>74</v>
      </c>
      <c r="C608" s="6" t="s">
        <v>30</v>
      </c>
      <c r="D608" s="6" t="s">
        <v>1737</v>
      </c>
      <c r="E608" s="6" t="s">
        <v>237</v>
      </c>
      <c r="F608" s="6" t="s">
        <v>18</v>
      </c>
      <c r="G608" s="7">
        <v>0.25</v>
      </c>
      <c r="H608" s="6" t="s">
        <v>290</v>
      </c>
      <c r="I608" s="6" t="s">
        <v>20</v>
      </c>
      <c r="J608" s="6">
        <v>2019.0</v>
      </c>
      <c r="L608" s="6">
        <v>2.0</v>
      </c>
      <c r="M608" s="8">
        <f t="shared" si="1"/>
        <v>0.5</v>
      </c>
      <c r="P608" s="9"/>
    </row>
    <row r="609">
      <c r="A609" s="6" t="s">
        <v>1738</v>
      </c>
      <c r="B609" s="6" t="s">
        <v>440</v>
      </c>
      <c r="C609" s="6" t="s">
        <v>418</v>
      </c>
      <c r="D609" s="6" t="s">
        <v>1739</v>
      </c>
      <c r="E609" s="6" t="s">
        <v>57</v>
      </c>
      <c r="F609" s="6" t="s">
        <v>697</v>
      </c>
      <c r="G609" s="7">
        <v>3.9</v>
      </c>
      <c r="H609" s="6" t="s">
        <v>764</v>
      </c>
      <c r="I609" s="6" t="s">
        <v>20</v>
      </c>
      <c r="J609" s="6">
        <v>1999.0</v>
      </c>
      <c r="L609" s="6">
        <v>1.0</v>
      </c>
      <c r="M609" s="8">
        <f t="shared" si="1"/>
        <v>3.9</v>
      </c>
      <c r="P609" s="9"/>
    </row>
    <row r="610">
      <c r="A610" s="6" t="s">
        <v>1740</v>
      </c>
      <c r="B610" s="6" t="s">
        <v>115</v>
      </c>
      <c r="C610" s="6" t="s">
        <v>23</v>
      </c>
      <c r="D610" s="6" t="s">
        <v>1741</v>
      </c>
      <c r="E610" s="6" t="s">
        <v>179</v>
      </c>
      <c r="F610" s="6" t="s">
        <v>112</v>
      </c>
      <c r="G610" s="7">
        <v>0.1</v>
      </c>
      <c r="H610" s="6" t="s">
        <v>153</v>
      </c>
      <c r="I610" s="6" t="s">
        <v>20</v>
      </c>
      <c r="J610" s="6">
        <v>2025.0</v>
      </c>
      <c r="L610" s="6">
        <v>4.0</v>
      </c>
      <c r="M610" s="8">
        <f t="shared" si="1"/>
        <v>0.4</v>
      </c>
      <c r="P610" s="9"/>
    </row>
    <row r="611">
      <c r="A611" s="6" t="s">
        <v>1740</v>
      </c>
      <c r="B611" s="6" t="s">
        <v>115</v>
      </c>
      <c r="C611" s="6" t="s">
        <v>23</v>
      </c>
      <c r="D611" s="6" t="s">
        <v>1741</v>
      </c>
      <c r="E611" s="6" t="s">
        <v>179</v>
      </c>
      <c r="F611" s="6" t="s">
        <v>112</v>
      </c>
      <c r="G611" s="7">
        <v>0.24</v>
      </c>
      <c r="H611" s="6" t="s">
        <v>153</v>
      </c>
      <c r="I611" s="6" t="s">
        <v>45</v>
      </c>
      <c r="J611" s="6">
        <v>2025.0</v>
      </c>
      <c r="L611" s="6">
        <v>1.0</v>
      </c>
      <c r="M611" s="8">
        <f t="shared" si="1"/>
        <v>0.24</v>
      </c>
      <c r="P611" s="9"/>
    </row>
    <row r="612">
      <c r="A612" s="6" t="s">
        <v>1742</v>
      </c>
      <c r="B612" s="6" t="s">
        <v>115</v>
      </c>
      <c r="C612" s="6" t="s">
        <v>15</v>
      </c>
      <c r="D612" s="6" t="s">
        <v>1743</v>
      </c>
      <c r="E612" s="6" t="s">
        <v>1568</v>
      </c>
      <c r="F612" s="6" t="s">
        <v>1335</v>
      </c>
      <c r="G612" s="7">
        <v>0.03</v>
      </c>
      <c r="H612" s="6" t="s">
        <v>342</v>
      </c>
      <c r="I612" s="6" t="s">
        <v>20</v>
      </c>
      <c r="J612" s="6">
        <v>2014.0</v>
      </c>
      <c r="L612" s="6">
        <v>2.0</v>
      </c>
      <c r="M612" s="8">
        <f t="shared" si="1"/>
        <v>0.06</v>
      </c>
      <c r="P612" s="9"/>
    </row>
    <row r="613">
      <c r="A613" s="6" t="s">
        <v>1744</v>
      </c>
      <c r="B613" s="6" t="s">
        <v>1694</v>
      </c>
      <c r="C613" s="6" t="s">
        <v>43</v>
      </c>
      <c r="D613" s="6" t="s">
        <v>1745</v>
      </c>
      <c r="E613" s="6" t="s">
        <v>185</v>
      </c>
      <c r="F613" s="6" t="s">
        <v>26</v>
      </c>
      <c r="G613" s="7">
        <v>0.05</v>
      </c>
      <c r="H613" s="6" t="s">
        <v>582</v>
      </c>
      <c r="I613" s="6" t="s">
        <v>20</v>
      </c>
      <c r="J613" s="6">
        <v>2023.0</v>
      </c>
      <c r="K613" s="10">
        <v>46024.0</v>
      </c>
      <c r="L613" s="6">
        <v>1.0</v>
      </c>
      <c r="M613" s="8">
        <f t="shared" si="1"/>
        <v>0.05</v>
      </c>
      <c r="P613" s="9"/>
    </row>
    <row r="614">
      <c r="A614" s="6" t="s">
        <v>1746</v>
      </c>
      <c r="B614" s="6" t="s">
        <v>1747</v>
      </c>
      <c r="C614" s="6" t="s">
        <v>43</v>
      </c>
      <c r="D614" s="6" t="s">
        <v>1748</v>
      </c>
      <c r="E614" s="6" t="s">
        <v>135</v>
      </c>
      <c r="F614" s="6" t="s">
        <v>40</v>
      </c>
      <c r="G614" s="7">
        <v>0.11</v>
      </c>
      <c r="H614" s="6" t="s">
        <v>34</v>
      </c>
      <c r="I614" s="6" t="s">
        <v>20</v>
      </c>
      <c r="J614" s="6">
        <v>2025.0</v>
      </c>
      <c r="K614" s="10">
        <v>46055.0</v>
      </c>
      <c r="L614" s="6">
        <v>1.0</v>
      </c>
      <c r="M614" s="8">
        <f t="shared" si="1"/>
        <v>0.11</v>
      </c>
      <c r="P614" s="9"/>
    </row>
    <row r="615">
      <c r="A615" s="6" t="s">
        <v>1746</v>
      </c>
      <c r="B615" s="6" t="s">
        <v>1747</v>
      </c>
      <c r="C615" s="6" t="s">
        <v>43</v>
      </c>
      <c r="D615" s="6" t="s">
        <v>1748</v>
      </c>
      <c r="E615" s="6" t="s">
        <v>135</v>
      </c>
      <c r="F615" s="6" t="s">
        <v>40</v>
      </c>
      <c r="G615" s="7">
        <v>0.11</v>
      </c>
      <c r="H615" s="6" t="s">
        <v>34</v>
      </c>
      <c r="I615" s="6" t="s">
        <v>20</v>
      </c>
      <c r="J615" s="6">
        <v>2025.0</v>
      </c>
      <c r="K615" s="10">
        <v>46055.0</v>
      </c>
      <c r="L615" s="6">
        <v>1.0</v>
      </c>
      <c r="M615" s="8">
        <f t="shared" si="1"/>
        <v>0.11</v>
      </c>
      <c r="P615" s="9"/>
    </row>
    <row r="616">
      <c r="A616" s="6" t="s">
        <v>1749</v>
      </c>
      <c r="B616" s="6" t="s">
        <v>1750</v>
      </c>
      <c r="C616" s="6" t="s">
        <v>43</v>
      </c>
      <c r="D616" s="6" t="s">
        <v>1751</v>
      </c>
      <c r="E616" s="6" t="s">
        <v>1752</v>
      </c>
      <c r="F616" s="6" t="s">
        <v>40</v>
      </c>
      <c r="G616" s="7">
        <v>0.08</v>
      </c>
      <c r="H616" s="6" t="s">
        <v>597</v>
      </c>
      <c r="I616" s="6" t="s">
        <v>20</v>
      </c>
      <c r="J616" s="6">
        <v>2024.0</v>
      </c>
      <c r="K616" s="10">
        <v>46084.0</v>
      </c>
      <c r="L616" s="6">
        <v>6.0</v>
      </c>
      <c r="M616" s="8">
        <f t="shared" si="1"/>
        <v>0.48</v>
      </c>
      <c r="P616" s="9"/>
    </row>
    <row r="617">
      <c r="A617" s="6" t="s">
        <v>1753</v>
      </c>
      <c r="B617" s="6" t="s">
        <v>1754</v>
      </c>
      <c r="C617" s="6" t="s">
        <v>15</v>
      </c>
      <c r="D617" s="6" t="s">
        <v>1755</v>
      </c>
      <c r="E617" s="6" t="s">
        <v>152</v>
      </c>
      <c r="F617" s="6" t="s">
        <v>40</v>
      </c>
      <c r="G617" s="7">
        <v>0.24</v>
      </c>
      <c r="H617" s="6" t="s">
        <v>19</v>
      </c>
      <c r="I617" s="6" t="s">
        <v>20</v>
      </c>
      <c r="J617" s="6">
        <v>2023.0</v>
      </c>
      <c r="K617" s="10">
        <v>46055.0</v>
      </c>
      <c r="L617" s="6">
        <v>1.0</v>
      </c>
      <c r="M617" s="8">
        <f t="shared" si="1"/>
        <v>0.24</v>
      </c>
      <c r="P617" s="9"/>
    </row>
    <row r="618">
      <c r="A618" s="6" t="s">
        <v>1756</v>
      </c>
      <c r="B618" s="6" t="s">
        <v>74</v>
      </c>
      <c r="C618" s="6" t="s">
        <v>37</v>
      </c>
      <c r="D618" s="6" t="s">
        <v>1757</v>
      </c>
      <c r="E618" s="6" t="s">
        <v>98</v>
      </c>
      <c r="F618" s="6" t="s">
        <v>18</v>
      </c>
      <c r="G618" s="7">
        <v>0.35</v>
      </c>
      <c r="H618" s="6" t="s">
        <v>582</v>
      </c>
      <c r="I618" s="6" t="s">
        <v>20</v>
      </c>
      <c r="J618" s="6">
        <v>2023.0</v>
      </c>
      <c r="L618" s="6">
        <v>1.0</v>
      </c>
      <c r="M618" s="8">
        <f t="shared" si="1"/>
        <v>0.35</v>
      </c>
      <c r="P618" s="9"/>
    </row>
    <row r="619">
      <c r="A619" s="6" t="s">
        <v>1758</v>
      </c>
      <c r="B619" s="6" t="s">
        <v>1759</v>
      </c>
      <c r="C619" s="6" t="s">
        <v>37</v>
      </c>
      <c r="D619" s="6" t="s">
        <v>1760</v>
      </c>
      <c r="E619" s="6" t="s">
        <v>1243</v>
      </c>
      <c r="F619" s="6" t="s">
        <v>1244</v>
      </c>
      <c r="G619" s="7">
        <v>0.1</v>
      </c>
      <c r="H619" s="6" t="s">
        <v>160</v>
      </c>
      <c r="I619" s="6" t="s">
        <v>20</v>
      </c>
      <c r="J619" s="6">
        <v>2024.0</v>
      </c>
      <c r="K619" s="10">
        <v>46113.0</v>
      </c>
      <c r="L619" s="6">
        <v>1.0</v>
      </c>
      <c r="M619" s="8">
        <f t="shared" si="1"/>
        <v>0.1</v>
      </c>
      <c r="P619" s="9"/>
    </row>
    <row r="620">
      <c r="A620" s="6" t="s">
        <v>1758</v>
      </c>
      <c r="B620" s="6" t="s">
        <v>1759</v>
      </c>
      <c r="C620" s="6" t="s">
        <v>37</v>
      </c>
      <c r="D620" s="6" t="s">
        <v>1760</v>
      </c>
      <c r="E620" s="6" t="s">
        <v>1243</v>
      </c>
      <c r="F620" s="6" t="s">
        <v>1244</v>
      </c>
      <c r="G620" s="7">
        <v>0.25</v>
      </c>
      <c r="H620" s="6" t="s">
        <v>160</v>
      </c>
      <c r="I620" s="6" t="s">
        <v>45</v>
      </c>
      <c r="J620" s="6">
        <v>2024.0</v>
      </c>
      <c r="K620" s="10">
        <v>46113.0</v>
      </c>
      <c r="L620" s="6">
        <v>1.0</v>
      </c>
      <c r="M620" s="8">
        <f t="shared" si="1"/>
        <v>0.25</v>
      </c>
      <c r="P620" s="9"/>
    </row>
    <row r="621">
      <c r="A621" s="6" t="s">
        <v>1761</v>
      </c>
      <c r="B621" s="6" t="s">
        <v>1762</v>
      </c>
      <c r="C621" s="6" t="s">
        <v>30</v>
      </c>
      <c r="D621" s="6" t="s">
        <v>1763</v>
      </c>
      <c r="E621" s="6" t="s">
        <v>1764</v>
      </c>
      <c r="F621" s="6" t="s">
        <v>536</v>
      </c>
      <c r="G621" s="7">
        <v>0.59</v>
      </c>
      <c r="H621" s="6" t="s">
        <v>1765</v>
      </c>
      <c r="I621" s="6" t="s">
        <v>20</v>
      </c>
      <c r="J621" s="6">
        <v>2024.0</v>
      </c>
      <c r="L621" s="6">
        <v>1.0</v>
      </c>
      <c r="M621" s="8">
        <f t="shared" si="1"/>
        <v>0.59</v>
      </c>
      <c r="P621" s="9"/>
    </row>
    <row r="622">
      <c r="A622" s="6" t="s">
        <v>1766</v>
      </c>
      <c r="B622" s="6" t="s">
        <v>1375</v>
      </c>
      <c r="C622" s="6" t="s">
        <v>37</v>
      </c>
      <c r="D622" s="6" t="s">
        <v>1767</v>
      </c>
      <c r="E622" s="6" t="s">
        <v>1768</v>
      </c>
      <c r="F622" s="6" t="s">
        <v>71</v>
      </c>
      <c r="G622" s="7">
        <v>0.1</v>
      </c>
      <c r="H622" s="6" t="s">
        <v>431</v>
      </c>
      <c r="I622" s="6" t="s">
        <v>20</v>
      </c>
      <c r="J622" s="6">
        <v>2019.0</v>
      </c>
      <c r="L622" s="6">
        <v>1.0</v>
      </c>
      <c r="M622" s="8">
        <f t="shared" si="1"/>
        <v>0.1</v>
      </c>
      <c r="P622" s="9"/>
    </row>
    <row r="623">
      <c r="A623" s="6" t="s">
        <v>1766</v>
      </c>
      <c r="B623" s="6" t="s">
        <v>1375</v>
      </c>
      <c r="C623" s="6" t="s">
        <v>37</v>
      </c>
      <c r="D623" s="6" t="s">
        <v>1767</v>
      </c>
      <c r="E623" s="6" t="s">
        <v>1768</v>
      </c>
      <c r="F623" s="6" t="s">
        <v>71</v>
      </c>
      <c r="G623" s="7">
        <v>0.1</v>
      </c>
      <c r="H623" s="6" t="s">
        <v>431</v>
      </c>
      <c r="I623" s="6" t="s">
        <v>20</v>
      </c>
      <c r="J623" s="6">
        <v>2019.0</v>
      </c>
      <c r="L623" s="6">
        <v>1.0</v>
      </c>
      <c r="M623" s="8">
        <f t="shared" si="1"/>
        <v>0.1</v>
      </c>
      <c r="N623" s="6" t="s">
        <v>374</v>
      </c>
      <c r="P623" s="9"/>
    </row>
    <row r="624">
      <c r="A624" s="6" t="s">
        <v>1769</v>
      </c>
      <c r="B624" s="6" t="s">
        <v>192</v>
      </c>
      <c r="C624" s="6" t="s">
        <v>37</v>
      </c>
      <c r="D624" s="6" t="s">
        <v>1770</v>
      </c>
      <c r="E624" s="6" t="s">
        <v>994</v>
      </c>
      <c r="F624" s="6" t="s">
        <v>26</v>
      </c>
      <c r="G624" s="7">
        <v>0.17</v>
      </c>
      <c r="H624" s="6" t="s">
        <v>324</v>
      </c>
      <c r="I624" s="6" t="s">
        <v>20</v>
      </c>
      <c r="J624" s="6">
        <v>1995.0</v>
      </c>
      <c r="L624" s="6">
        <v>1.0</v>
      </c>
      <c r="M624" s="8">
        <f t="shared" si="1"/>
        <v>0.17</v>
      </c>
      <c r="P624" s="9"/>
    </row>
    <row r="625">
      <c r="A625" s="6" t="s">
        <v>1771</v>
      </c>
      <c r="B625" s="6" t="s">
        <v>74</v>
      </c>
      <c r="C625" s="6" t="s">
        <v>30</v>
      </c>
      <c r="D625" s="6" t="s">
        <v>1772</v>
      </c>
      <c r="E625" s="6" t="s">
        <v>190</v>
      </c>
      <c r="F625" s="6" t="s">
        <v>18</v>
      </c>
      <c r="G625" s="7">
        <v>4.0</v>
      </c>
      <c r="H625" s="6" t="s">
        <v>1773</v>
      </c>
      <c r="I625" s="6" t="s">
        <v>20</v>
      </c>
      <c r="J625" s="6">
        <v>2024.0</v>
      </c>
      <c r="L625" s="6">
        <v>4.0</v>
      </c>
      <c r="M625" s="8">
        <f t="shared" si="1"/>
        <v>16</v>
      </c>
      <c r="P625" s="9"/>
    </row>
    <row r="626">
      <c r="A626" s="6" t="s">
        <v>1774</v>
      </c>
      <c r="B626" s="6" t="s">
        <v>219</v>
      </c>
      <c r="C626" s="6" t="s">
        <v>43</v>
      </c>
      <c r="D626" s="6" t="s">
        <v>1775</v>
      </c>
      <c r="E626" s="6" t="s">
        <v>185</v>
      </c>
      <c r="F626" s="6" t="s">
        <v>26</v>
      </c>
      <c r="G626" s="7">
        <v>0.03</v>
      </c>
      <c r="H626" s="6" t="s">
        <v>1776</v>
      </c>
      <c r="I626" s="6" t="s">
        <v>20</v>
      </c>
      <c r="J626" s="6">
        <v>2017.0</v>
      </c>
      <c r="L626" s="6">
        <v>1.0</v>
      </c>
      <c r="M626" s="8">
        <f t="shared" si="1"/>
        <v>0.03</v>
      </c>
      <c r="N626" s="6" t="s">
        <v>374</v>
      </c>
      <c r="P626" s="9"/>
    </row>
    <row r="627">
      <c r="A627" s="6" t="s">
        <v>1777</v>
      </c>
      <c r="B627" s="6" t="s">
        <v>138</v>
      </c>
      <c r="C627" s="6" t="s">
        <v>37</v>
      </c>
      <c r="D627" s="6" t="s">
        <v>1778</v>
      </c>
      <c r="E627" s="6" t="s">
        <v>1027</v>
      </c>
      <c r="F627" s="6" t="s">
        <v>77</v>
      </c>
      <c r="G627" s="7">
        <v>0.21</v>
      </c>
      <c r="H627" s="6" t="s">
        <v>746</v>
      </c>
      <c r="I627" s="6" t="s">
        <v>20</v>
      </c>
      <c r="J627" s="6">
        <v>2024.0</v>
      </c>
      <c r="L627" s="6">
        <v>1.0</v>
      </c>
      <c r="M627" s="8">
        <f t="shared" si="1"/>
        <v>0.21</v>
      </c>
      <c r="P627" s="9"/>
    </row>
    <row r="628">
      <c r="A628" s="6" t="s">
        <v>1779</v>
      </c>
      <c r="B628" s="6" t="s">
        <v>162</v>
      </c>
      <c r="C628" s="6" t="s">
        <v>30</v>
      </c>
      <c r="D628" s="6" t="s">
        <v>1780</v>
      </c>
      <c r="E628" s="6" t="s">
        <v>1147</v>
      </c>
      <c r="F628" s="6" t="s">
        <v>18</v>
      </c>
      <c r="G628" s="7">
        <v>1.99</v>
      </c>
      <c r="H628" s="6" t="s">
        <v>1781</v>
      </c>
      <c r="I628" s="6" t="s">
        <v>45</v>
      </c>
      <c r="J628" s="6">
        <v>2021.0</v>
      </c>
      <c r="L628" s="6">
        <v>1.0</v>
      </c>
      <c r="M628" s="8">
        <f t="shared" si="1"/>
        <v>1.99</v>
      </c>
      <c r="P628" s="9"/>
    </row>
    <row r="629">
      <c r="A629" s="6" t="s">
        <v>1782</v>
      </c>
      <c r="B629" s="6" t="s">
        <v>1548</v>
      </c>
      <c r="C629" s="6" t="s">
        <v>23</v>
      </c>
      <c r="D629" s="6" t="s">
        <v>1783</v>
      </c>
      <c r="E629" s="6" t="s">
        <v>1364</v>
      </c>
      <c r="F629" s="6" t="s">
        <v>18</v>
      </c>
      <c r="G629" s="7">
        <v>0.2</v>
      </c>
      <c r="H629" s="6" t="s">
        <v>1784</v>
      </c>
      <c r="I629" s="6" t="s">
        <v>20</v>
      </c>
      <c r="J629" s="6">
        <v>2026.0</v>
      </c>
      <c r="L629" s="6">
        <v>4.0</v>
      </c>
      <c r="M629" s="8">
        <f t="shared" si="1"/>
        <v>0.8</v>
      </c>
      <c r="P629" s="9"/>
    </row>
    <row r="630">
      <c r="A630" s="6" t="s">
        <v>1785</v>
      </c>
      <c r="B630" s="6" t="s">
        <v>162</v>
      </c>
      <c r="C630" s="6" t="s">
        <v>43</v>
      </c>
      <c r="D630" s="6" t="s">
        <v>1786</v>
      </c>
      <c r="E630" s="6" t="s">
        <v>107</v>
      </c>
      <c r="F630" s="6" t="s">
        <v>18</v>
      </c>
      <c r="G630" s="7">
        <v>0.2</v>
      </c>
      <c r="H630" s="6" t="s">
        <v>290</v>
      </c>
      <c r="I630" s="6" t="s">
        <v>20</v>
      </c>
      <c r="J630" s="6">
        <v>2019.0</v>
      </c>
      <c r="L630" s="6">
        <v>1.0</v>
      </c>
      <c r="M630" s="8">
        <f t="shared" si="1"/>
        <v>0.2</v>
      </c>
      <c r="P630" s="9"/>
    </row>
    <row r="631">
      <c r="A631" s="6" t="s">
        <v>1787</v>
      </c>
      <c r="B631" s="6" t="s">
        <v>552</v>
      </c>
      <c r="C631" s="6" t="s">
        <v>61</v>
      </c>
      <c r="D631" s="6" t="s">
        <v>1788</v>
      </c>
      <c r="E631" s="6" t="s">
        <v>282</v>
      </c>
      <c r="F631" s="6" t="s">
        <v>40</v>
      </c>
      <c r="G631" s="7">
        <v>0.1</v>
      </c>
      <c r="H631" s="6" t="s">
        <v>324</v>
      </c>
      <c r="I631" s="6" t="s">
        <v>20</v>
      </c>
      <c r="J631" s="6">
        <v>1995.0</v>
      </c>
      <c r="L631" s="6">
        <v>1.0</v>
      </c>
      <c r="M631" s="8">
        <f t="shared" si="1"/>
        <v>0.1</v>
      </c>
      <c r="P631" s="9"/>
    </row>
    <row r="632">
      <c r="A632" s="6" t="s">
        <v>1789</v>
      </c>
      <c r="B632" s="6" t="s">
        <v>440</v>
      </c>
      <c r="C632" s="6" t="s">
        <v>15</v>
      </c>
      <c r="D632" s="6" t="s">
        <v>1790</v>
      </c>
      <c r="E632" s="6" t="s">
        <v>282</v>
      </c>
      <c r="F632" s="6" t="s">
        <v>40</v>
      </c>
      <c r="G632" s="7">
        <v>0.5</v>
      </c>
      <c r="H632" s="6" t="s">
        <v>934</v>
      </c>
      <c r="I632" s="6" t="s">
        <v>20</v>
      </c>
      <c r="J632" s="6">
        <v>1993.0</v>
      </c>
      <c r="L632" s="6">
        <v>1.0</v>
      </c>
      <c r="M632" s="8">
        <f t="shared" si="1"/>
        <v>0.5</v>
      </c>
      <c r="P632" s="9"/>
    </row>
    <row r="633">
      <c r="A633" s="6" t="s">
        <v>1791</v>
      </c>
      <c r="B633" s="6" t="s">
        <v>219</v>
      </c>
      <c r="C633" s="6" t="s">
        <v>43</v>
      </c>
      <c r="D633" s="6" t="s">
        <v>1792</v>
      </c>
      <c r="E633" s="6" t="s">
        <v>25</v>
      </c>
      <c r="F633" s="6" t="s">
        <v>26</v>
      </c>
      <c r="G633" s="7">
        <v>1.0</v>
      </c>
      <c r="H633" s="6" t="s">
        <v>89</v>
      </c>
      <c r="I633" s="6" t="s">
        <v>20</v>
      </c>
      <c r="J633" s="6">
        <v>2021.0</v>
      </c>
      <c r="L633" s="6">
        <v>1.0</v>
      </c>
      <c r="M633" s="8">
        <f t="shared" si="1"/>
        <v>1</v>
      </c>
      <c r="P633" s="9"/>
    </row>
    <row r="634">
      <c r="A634" s="6" t="s">
        <v>1793</v>
      </c>
      <c r="B634" s="6" t="s">
        <v>1794</v>
      </c>
      <c r="C634" s="6" t="s">
        <v>204</v>
      </c>
      <c r="D634" s="6" t="s">
        <v>1795</v>
      </c>
      <c r="E634" s="6" t="s">
        <v>57</v>
      </c>
      <c r="F634" s="6" t="s">
        <v>40</v>
      </c>
      <c r="G634" s="7">
        <v>0.01</v>
      </c>
      <c r="H634" s="6" t="s">
        <v>187</v>
      </c>
      <c r="I634" s="6" t="s">
        <v>20</v>
      </c>
      <c r="J634" s="6">
        <v>1995.0</v>
      </c>
      <c r="L634" s="6">
        <v>2.0</v>
      </c>
      <c r="M634" s="8">
        <f t="shared" si="1"/>
        <v>0.02</v>
      </c>
      <c r="P634" s="9"/>
    </row>
    <row r="635">
      <c r="A635" s="6" t="s">
        <v>1796</v>
      </c>
      <c r="B635" s="6" t="s">
        <v>462</v>
      </c>
      <c r="C635" s="6" t="s">
        <v>37</v>
      </c>
      <c r="D635" s="6" t="s">
        <v>1797</v>
      </c>
      <c r="E635" s="6" t="s">
        <v>179</v>
      </c>
      <c r="F635" s="6" t="s">
        <v>112</v>
      </c>
      <c r="G635" s="7">
        <v>0.05</v>
      </c>
      <c r="H635" s="6" t="s">
        <v>475</v>
      </c>
      <c r="I635" s="6" t="s">
        <v>20</v>
      </c>
      <c r="J635" s="6">
        <v>2024.0</v>
      </c>
      <c r="L635" s="6">
        <v>1.0</v>
      </c>
      <c r="M635" s="8">
        <f t="shared" si="1"/>
        <v>0.05</v>
      </c>
      <c r="P635" s="9"/>
    </row>
    <row r="636">
      <c r="A636" s="6" t="s">
        <v>1798</v>
      </c>
      <c r="B636" s="6" t="s">
        <v>192</v>
      </c>
      <c r="C636" s="6" t="s">
        <v>30</v>
      </c>
      <c r="D636" s="6" t="s">
        <v>1799</v>
      </c>
      <c r="E636" s="6" t="s">
        <v>185</v>
      </c>
      <c r="F636" s="6" t="s">
        <v>26</v>
      </c>
      <c r="G636" s="7">
        <v>1.75</v>
      </c>
      <c r="H636" s="6" t="s">
        <v>316</v>
      </c>
      <c r="I636" s="6" t="s">
        <v>20</v>
      </c>
      <c r="J636" s="6">
        <v>1995.0</v>
      </c>
      <c r="L636" s="6">
        <v>2.0</v>
      </c>
      <c r="M636" s="8">
        <f t="shared" si="1"/>
        <v>3.5</v>
      </c>
      <c r="N636" s="6" t="s">
        <v>122</v>
      </c>
      <c r="P636" s="9"/>
    </row>
    <row r="637">
      <c r="A637" s="6" t="s">
        <v>1800</v>
      </c>
      <c r="B637" s="6" t="s">
        <v>657</v>
      </c>
      <c r="C637" s="6" t="s">
        <v>15</v>
      </c>
      <c r="D637" s="6" t="s">
        <v>1801</v>
      </c>
      <c r="E637" s="6" t="s">
        <v>140</v>
      </c>
      <c r="F637" s="6" t="s">
        <v>87</v>
      </c>
      <c r="G637" s="7">
        <v>0.14</v>
      </c>
      <c r="H637" s="6" t="s">
        <v>153</v>
      </c>
      <c r="I637" s="6" t="s">
        <v>20</v>
      </c>
      <c r="J637" s="6">
        <v>2025.0</v>
      </c>
      <c r="L637" s="6">
        <v>1.0</v>
      </c>
      <c r="M637" s="8">
        <f t="shared" si="1"/>
        <v>0.14</v>
      </c>
      <c r="P637" s="9"/>
    </row>
    <row r="638">
      <c r="A638" s="6" t="s">
        <v>1802</v>
      </c>
      <c r="B638" s="6" t="s">
        <v>1803</v>
      </c>
      <c r="C638" s="6" t="s">
        <v>43</v>
      </c>
      <c r="D638" s="6" t="s">
        <v>1804</v>
      </c>
      <c r="E638" s="6" t="s">
        <v>107</v>
      </c>
      <c r="F638" s="6" t="s">
        <v>18</v>
      </c>
      <c r="G638" s="7">
        <v>0.12</v>
      </c>
      <c r="H638" s="6" t="s">
        <v>410</v>
      </c>
      <c r="I638" s="6" t="s">
        <v>20</v>
      </c>
      <c r="J638" s="6">
        <v>2021.0</v>
      </c>
      <c r="K638" s="10">
        <v>46024.0</v>
      </c>
      <c r="L638" s="6">
        <v>1.0</v>
      </c>
      <c r="M638" s="8">
        <f t="shared" si="1"/>
        <v>0.12</v>
      </c>
      <c r="N638" s="6" t="s">
        <v>374</v>
      </c>
      <c r="P638" s="9"/>
    </row>
    <row r="639">
      <c r="A639" s="6" t="s">
        <v>1805</v>
      </c>
      <c r="B639" s="6" t="s">
        <v>1806</v>
      </c>
      <c r="C639" s="6" t="s">
        <v>23</v>
      </c>
      <c r="D639" s="6" t="s">
        <v>1807</v>
      </c>
      <c r="E639" s="6" t="s">
        <v>852</v>
      </c>
      <c r="F639" s="6" t="s">
        <v>18</v>
      </c>
      <c r="G639" s="7">
        <v>0.06</v>
      </c>
      <c r="H639" s="6" t="s">
        <v>130</v>
      </c>
      <c r="I639" s="6" t="s">
        <v>20</v>
      </c>
      <c r="J639" s="6">
        <v>2014.0</v>
      </c>
      <c r="K639" s="10">
        <v>46024.0</v>
      </c>
      <c r="L639" s="6">
        <v>1.0</v>
      </c>
      <c r="M639" s="8">
        <f t="shared" si="1"/>
        <v>0.06</v>
      </c>
      <c r="P639" s="9"/>
    </row>
    <row r="640">
      <c r="A640" s="6" t="s">
        <v>1808</v>
      </c>
      <c r="B640" s="6" t="s">
        <v>462</v>
      </c>
      <c r="C640" s="6" t="s">
        <v>23</v>
      </c>
      <c r="D640" s="6" t="s">
        <v>1809</v>
      </c>
      <c r="E640" s="6" t="s">
        <v>1810</v>
      </c>
      <c r="F640" s="6" t="s">
        <v>1811</v>
      </c>
      <c r="G640" s="7">
        <v>0.9</v>
      </c>
      <c r="H640" s="6" t="s">
        <v>278</v>
      </c>
      <c r="I640" s="6" t="s">
        <v>45</v>
      </c>
      <c r="J640" s="6">
        <v>2025.0</v>
      </c>
      <c r="L640" s="6">
        <v>1.0</v>
      </c>
      <c r="M640" s="8">
        <f t="shared" si="1"/>
        <v>0.9</v>
      </c>
      <c r="P640" s="9"/>
    </row>
    <row r="641">
      <c r="A641" s="6" t="s">
        <v>1808</v>
      </c>
      <c r="B641" s="6" t="s">
        <v>462</v>
      </c>
      <c r="C641" s="6" t="s">
        <v>23</v>
      </c>
      <c r="D641" s="6" t="s">
        <v>1809</v>
      </c>
      <c r="E641" s="6" t="s">
        <v>1810</v>
      </c>
      <c r="F641" s="6" t="s">
        <v>1811</v>
      </c>
      <c r="G641" s="7">
        <v>0.2</v>
      </c>
      <c r="H641" s="6" t="s">
        <v>278</v>
      </c>
      <c r="I641" s="6" t="s">
        <v>20</v>
      </c>
      <c r="J641" s="6">
        <v>2025.0</v>
      </c>
      <c r="L641" s="6">
        <v>14.0</v>
      </c>
      <c r="M641" s="8">
        <f t="shared" si="1"/>
        <v>2.8</v>
      </c>
      <c r="P641" s="9"/>
    </row>
    <row r="642">
      <c r="A642" s="6" t="s">
        <v>1812</v>
      </c>
      <c r="B642" s="6" t="s">
        <v>1813</v>
      </c>
      <c r="C642" s="6" t="s">
        <v>37</v>
      </c>
      <c r="D642" s="6" t="s">
        <v>1814</v>
      </c>
      <c r="E642" s="6" t="s">
        <v>248</v>
      </c>
      <c r="F642" s="6" t="s">
        <v>77</v>
      </c>
      <c r="G642" s="7">
        <v>0.24</v>
      </c>
      <c r="H642" s="6" t="s">
        <v>113</v>
      </c>
      <c r="I642" s="6" t="s">
        <v>20</v>
      </c>
      <c r="J642" s="6">
        <v>2023.0</v>
      </c>
      <c r="K642" s="10">
        <v>46057.0</v>
      </c>
      <c r="L642" s="6">
        <v>1.0</v>
      </c>
      <c r="M642" s="8">
        <f t="shared" si="1"/>
        <v>0.24</v>
      </c>
      <c r="P642" s="9"/>
    </row>
    <row r="643">
      <c r="A643" s="6" t="s">
        <v>1812</v>
      </c>
      <c r="B643" s="6" t="s">
        <v>1813</v>
      </c>
      <c r="C643" s="6" t="s">
        <v>37</v>
      </c>
      <c r="D643" s="6" t="s">
        <v>1814</v>
      </c>
      <c r="E643" s="6" t="s">
        <v>248</v>
      </c>
      <c r="F643" s="6" t="s">
        <v>77</v>
      </c>
      <c r="G643" s="7">
        <v>0.25</v>
      </c>
      <c r="H643" s="6" t="s">
        <v>1505</v>
      </c>
      <c r="I643" s="6" t="s">
        <v>20</v>
      </c>
      <c r="J643" s="6">
        <v>2021.0</v>
      </c>
      <c r="K643" s="10">
        <v>46057.0</v>
      </c>
      <c r="L643" s="6">
        <v>1.0</v>
      </c>
      <c r="M643" s="8">
        <f t="shared" si="1"/>
        <v>0.25</v>
      </c>
      <c r="P643" s="9"/>
    </row>
    <row r="644">
      <c r="A644" s="6" t="s">
        <v>1815</v>
      </c>
      <c r="B644" s="6" t="s">
        <v>1816</v>
      </c>
      <c r="C644" s="6" t="s">
        <v>43</v>
      </c>
      <c r="D644" s="6" t="s">
        <v>1817</v>
      </c>
      <c r="E644" s="6" t="s">
        <v>76</v>
      </c>
      <c r="F644" s="6" t="s">
        <v>77</v>
      </c>
      <c r="G644" s="7">
        <v>0.05</v>
      </c>
      <c r="H644" s="6" t="s">
        <v>34</v>
      </c>
      <c r="I644" s="6" t="s">
        <v>20</v>
      </c>
      <c r="J644" s="6">
        <v>2025.0</v>
      </c>
      <c r="K644" s="10">
        <v>46023.0</v>
      </c>
      <c r="L644" s="6">
        <v>2.0</v>
      </c>
      <c r="M644" s="8">
        <f t="shared" si="1"/>
        <v>0.1</v>
      </c>
      <c r="P644" s="9"/>
    </row>
    <row r="645">
      <c r="A645" s="6" t="s">
        <v>1818</v>
      </c>
      <c r="B645" s="6" t="s">
        <v>80</v>
      </c>
      <c r="C645" s="6" t="s">
        <v>30</v>
      </c>
      <c r="D645" s="6" t="s">
        <v>1819</v>
      </c>
      <c r="E645" s="6" t="s">
        <v>1820</v>
      </c>
      <c r="F645" s="6" t="s">
        <v>77</v>
      </c>
      <c r="G645" s="7">
        <v>5.0</v>
      </c>
      <c r="H645" s="6" t="s">
        <v>1064</v>
      </c>
      <c r="I645" s="6" t="s">
        <v>20</v>
      </c>
      <c r="J645" s="6">
        <v>1995.0</v>
      </c>
      <c r="K645" s="10">
        <v>46210.0</v>
      </c>
      <c r="L645" s="6">
        <v>1.0</v>
      </c>
      <c r="M645" s="8">
        <f t="shared" si="1"/>
        <v>5</v>
      </c>
      <c r="P645" s="9"/>
    </row>
    <row r="646">
      <c r="A646" s="6" t="s">
        <v>1821</v>
      </c>
      <c r="B646" s="6" t="s">
        <v>1822</v>
      </c>
      <c r="C646" s="6" t="s">
        <v>156</v>
      </c>
      <c r="D646" s="6" t="s">
        <v>1823</v>
      </c>
      <c r="E646" s="6" t="s">
        <v>158</v>
      </c>
      <c r="F646" s="6" t="s">
        <v>665</v>
      </c>
      <c r="G646" s="7">
        <v>1.8</v>
      </c>
      <c r="H646" s="6" t="s">
        <v>780</v>
      </c>
      <c r="I646" s="6" t="s">
        <v>20</v>
      </c>
      <c r="J646" s="6">
        <v>2025.0</v>
      </c>
      <c r="K646" s="6" t="s">
        <v>1824</v>
      </c>
      <c r="L646" s="6">
        <v>1.0</v>
      </c>
      <c r="M646" s="8">
        <f t="shared" si="1"/>
        <v>1.8</v>
      </c>
      <c r="P646" s="9"/>
    </row>
    <row r="647">
      <c r="A647" s="6" t="s">
        <v>1825</v>
      </c>
      <c r="B647" s="6" t="s">
        <v>606</v>
      </c>
      <c r="C647" s="6" t="s">
        <v>23</v>
      </c>
      <c r="D647" s="6" t="s">
        <v>1826</v>
      </c>
      <c r="E647" s="6" t="s">
        <v>492</v>
      </c>
      <c r="F647" s="6" t="s">
        <v>18</v>
      </c>
      <c r="G647" s="7">
        <v>0.03</v>
      </c>
      <c r="H647" s="6" t="s">
        <v>342</v>
      </c>
      <c r="I647" s="6" t="s">
        <v>20</v>
      </c>
      <c r="J647" s="6">
        <v>2014.0</v>
      </c>
      <c r="L647" s="6">
        <v>2.0</v>
      </c>
      <c r="M647" s="8">
        <f t="shared" si="1"/>
        <v>0.06</v>
      </c>
      <c r="P647" s="9"/>
    </row>
    <row r="648">
      <c r="A648" s="6" t="s">
        <v>1827</v>
      </c>
      <c r="B648" s="6" t="s">
        <v>133</v>
      </c>
      <c r="C648" s="6" t="s">
        <v>30</v>
      </c>
      <c r="D648" s="6" t="s">
        <v>1828</v>
      </c>
      <c r="E648" s="6" t="s">
        <v>164</v>
      </c>
      <c r="F648" s="6" t="s">
        <v>112</v>
      </c>
      <c r="G648" s="7">
        <v>2.0</v>
      </c>
      <c r="H648" s="6" t="s">
        <v>1829</v>
      </c>
      <c r="I648" s="6" t="s">
        <v>20</v>
      </c>
      <c r="J648" s="6">
        <v>2026.0</v>
      </c>
      <c r="K648" s="10">
        <v>46054.0</v>
      </c>
      <c r="L648" s="6">
        <v>1.0</v>
      </c>
      <c r="M648" s="8">
        <f t="shared" si="1"/>
        <v>2</v>
      </c>
      <c r="N648" s="6" t="s">
        <v>122</v>
      </c>
      <c r="P648" s="9"/>
    </row>
    <row r="649">
      <c r="A649" s="6" t="s">
        <v>1827</v>
      </c>
      <c r="B649" s="6" t="s">
        <v>133</v>
      </c>
      <c r="C649" s="6" t="s">
        <v>37</v>
      </c>
      <c r="D649" s="6" t="s">
        <v>1828</v>
      </c>
      <c r="E649" s="6" t="s">
        <v>164</v>
      </c>
      <c r="F649" s="6" t="s">
        <v>112</v>
      </c>
      <c r="G649" s="7">
        <v>0.13</v>
      </c>
      <c r="H649" s="6" t="s">
        <v>136</v>
      </c>
      <c r="I649" s="6" t="s">
        <v>20</v>
      </c>
      <c r="J649" s="6">
        <v>2026.0</v>
      </c>
      <c r="K649" s="10">
        <v>46054.0</v>
      </c>
      <c r="L649" s="6">
        <v>3.0</v>
      </c>
      <c r="M649" s="8">
        <f t="shared" si="1"/>
        <v>0.39</v>
      </c>
      <c r="P649" s="9"/>
    </row>
    <row r="650">
      <c r="A650" s="6" t="s">
        <v>1830</v>
      </c>
      <c r="B650" s="6" t="s">
        <v>1831</v>
      </c>
      <c r="C650" s="6" t="s">
        <v>43</v>
      </c>
      <c r="D650" s="6" t="s">
        <v>1832</v>
      </c>
      <c r="E650" s="6" t="s">
        <v>98</v>
      </c>
      <c r="F650" s="6" t="s">
        <v>18</v>
      </c>
      <c r="G650" s="7">
        <v>0.24</v>
      </c>
      <c r="H650" s="6" t="s">
        <v>1833</v>
      </c>
      <c r="I650" s="6" t="s">
        <v>45</v>
      </c>
      <c r="J650" s="6">
        <v>2018.0</v>
      </c>
      <c r="K650" s="10">
        <v>46082.0</v>
      </c>
      <c r="L650" s="6">
        <v>1.0</v>
      </c>
      <c r="M650" s="8">
        <f t="shared" si="1"/>
        <v>0.24</v>
      </c>
      <c r="P650" s="9"/>
    </row>
    <row r="651">
      <c r="A651" s="6" t="s">
        <v>1834</v>
      </c>
      <c r="B651" s="6" t="s">
        <v>1835</v>
      </c>
      <c r="C651" s="6" t="s">
        <v>183</v>
      </c>
      <c r="D651" s="6" t="s">
        <v>1836</v>
      </c>
      <c r="E651" s="6" t="s">
        <v>248</v>
      </c>
      <c r="F651" s="6" t="s">
        <v>77</v>
      </c>
      <c r="G651" s="7">
        <v>0.08</v>
      </c>
      <c r="H651" s="6" t="s">
        <v>1837</v>
      </c>
      <c r="I651" s="6" t="s">
        <v>20</v>
      </c>
      <c r="J651" s="6">
        <v>2014.0</v>
      </c>
      <c r="K651" s="10">
        <v>46055.0</v>
      </c>
      <c r="L651" s="6">
        <v>1.0</v>
      </c>
      <c r="M651" s="8">
        <f t="shared" si="1"/>
        <v>0.08</v>
      </c>
      <c r="P651" s="9"/>
    </row>
    <row r="652">
      <c r="A652" s="6" t="s">
        <v>1834</v>
      </c>
      <c r="B652" s="6" t="s">
        <v>1835</v>
      </c>
      <c r="C652" s="6" t="s">
        <v>183</v>
      </c>
      <c r="D652" s="6" t="s">
        <v>1836</v>
      </c>
      <c r="E652" s="6" t="s">
        <v>248</v>
      </c>
      <c r="F652" s="6" t="s">
        <v>77</v>
      </c>
      <c r="G652" s="7">
        <v>0.03</v>
      </c>
      <c r="H652" s="6" t="s">
        <v>398</v>
      </c>
      <c r="I652" s="6" t="s">
        <v>20</v>
      </c>
      <c r="J652" s="6">
        <v>2019.0</v>
      </c>
      <c r="K652" s="10">
        <v>46055.0</v>
      </c>
      <c r="L652" s="6">
        <v>4.0</v>
      </c>
      <c r="M652" s="8">
        <f t="shared" si="1"/>
        <v>0.12</v>
      </c>
      <c r="P652" s="9"/>
    </row>
    <row r="653">
      <c r="A653" s="6" t="s">
        <v>1838</v>
      </c>
      <c r="B653" s="6" t="s">
        <v>603</v>
      </c>
      <c r="C653" s="6" t="s">
        <v>37</v>
      </c>
      <c r="D653" s="6" t="s">
        <v>1839</v>
      </c>
      <c r="E653" s="6" t="s">
        <v>1840</v>
      </c>
      <c r="F653" s="6" t="s">
        <v>18</v>
      </c>
      <c r="G653" s="7">
        <v>0.23</v>
      </c>
      <c r="H653" s="6" t="s">
        <v>113</v>
      </c>
      <c r="I653" s="6" t="s">
        <v>20</v>
      </c>
      <c r="J653" s="6">
        <v>2023.0</v>
      </c>
      <c r="K653" s="10">
        <v>46115.0</v>
      </c>
      <c r="L653" s="6">
        <v>1.0</v>
      </c>
      <c r="M653" s="8">
        <f t="shared" si="1"/>
        <v>0.23</v>
      </c>
      <c r="P653" s="9"/>
    </row>
    <row r="654">
      <c r="A654" s="6" t="s">
        <v>1841</v>
      </c>
      <c r="B654" s="6" t="s">
        <v>462</v>
      </c>
      <c r="C654" s="6" t="s">
        <v>43</v>
      </c>
      <c r="D654" s="6" t="s">
        <v>1842</v>
      </c>
      <c r="E654" s="6" t="s">
        <v>179</v>
      </c>
      <c r="F654" s="6" t="s">
        <v>112</v>
      </c>
      <c r="G654" s="7">
        <v>0.1</v>
      </c>
      <c r="H654" s="6" t="s">
        <v>136</v>
      </c>
      <c r="I654" s="6" t="s">
        <v>20</v>
      </c>
      <c r="J654" s="6">
        <v>2026.0</v>
      </c>
      <c r="L654" s="6">
        <v>4.0</v>
      </c>
      <c r="M654" s="8">
        <f t="shared" si="1"/>
        <v>0.4</v>
      </c>
      <c r="P654" s="9"/>
    </row>
    <row r="655">
      <c r="A655" s="6" t="s">
        <v>1843</v>
      </c>
      <c r="B655" s="6" t="s">
        <v>1844</v>
      </c>
      <c r="C655" s="6" t="s">
        <v>37</v>
      </c>
      <c r="D655" s="6" t="s">
        <v>1845</v>
      </c>
      <c r="E655" s="6" t="s">
        <v>1846</v>
      </c>
      <c r="F655" s="6" t="s">
        <v>50</v>
      </c>
      <c r="G655" s="7">
        <v>0.14</v>
      </c>
      <c r="H655" s="6" t="s">
        <v>1344</v>
      </c>
      <c r="I655" s="6" t="s">
        <v>20</v>
      </c>
      <c r="J655" s="6">
        <v>2018.0</v>
      </c>
      <c r="K655" s="6" t="s">
        <v>1847</v>
      </c>
      <c r="L655" s="6">
        <v>4.0</v>
      </c>
      <c r="M655" s="8">
        <f t="shared" si="1"/>
        <v>0.56</v>
      </c>
      <c r="P655" s="9"/>
    </row>
    <row r="656">
      <c r="A656" s="6" t="s">
        <v>1848</v>
      </c>
      <c r="B656" s="6" t="s">
        <v>494</v>
      </c>
      <c r="C656" s="6" t="s">
        <v>43</v>
      </c>
      <c r="D656" s="6" t="s">
        <v>1849</v>
      </c>
      <c r="E656" s="6" t="s">
        <v>86</v>
      </c>
      <c r="F656" s="6" t="s">
        <v>87</v>
      </c>
      <c r="G656" s="7">
        <v>0.06</v>
      </c>
      <c r="H656" s="6" t="s">
        <v>297</v>
      </c>
      <c r="I656" s="6" t="s">
        <v>20</v>
      </c>
      <c r="J656" s="6">
        <v>2022.0</v>
      </c>
      <c r="L656" s="6">
        <v>1.0</v>
      </c>
      <c r="M656" s="8">
        <f t="shared" si="1"/>
        <v>0.06</v>
      </c>
      <c r="P656" s="9"/>
    </row>
    <row r="657">
      <c r="A657" s="6" t="s">
        <v>1850</v>
      </c>
      <c r="B657" s="6" t="s">
        <v>146</v>
      </c>
      <c r="C657" s="6" t="s">
        <v>37</v>
      </c>
      <c r="D657" s="6" t="s">
        <v>1851</v>
      </c>
      <c r="E657" s="6" t="s">
        <v>86</v>
      </c>
      <c r="F657" s="6" t="s">
        <v>87</v>
      </c>
      <c r="G657" s="7">
        <v>0.15</v>
      </c>
      <c r="H657" s="6" t="s">
        <v>65</v>
      </c>
      <c r="I657" s="6" t="s">
        <v>20</v>
      </c>
      <c r="J657" s="6">
        <v>2013.0</v>
      </c>
      <c r="L657" s="6">
        <v>1.0</v>
      </c>
      <c r="M657" s="8">
        <f t="shared" si="1"/>
        <v>0.15</v>
      </c>
      <c r="P657" s="9"/>
    </row>
    <row r="658">
      <c r="A658" s="6" t="s">
        <v>1852</v>
      </c>
      <c r="B658" s="6" t="s">
        <v>1394</v>
      </c>
      <c r="C658" s="6" t="s">
        <v>43</v>
      </c>
      <c r="D658" s="6" t="s">
        <v>1853</v>
      </c>
      <c r="E658" s="6" t="s">
        <v>448</v>
      </c>
      <c r="F658" s="6" t="s">
        <v>112</v>
      </c>
      <c r="G658" s="7">
        <v>0.48</v>
      </c>
      <c r="H658" s="6" t="s">
        <v>113</v>
      </c>
      <c r="I658" s="6" t="s">
        <v>20</v>
      </c>
      <c r="J658" s="6">
        <v>2023.0</v>
      </c>
      <c r="K658" s="10">
        <v>46147.0</v>
      </c>
      <c r="L658" s="6">
        <v>1.0</v>
      </c>
      <c r="M658" s="8">
        <f t="shared" si="1"/>
        <v>0.48</v>
      </c>
      <c r="P658" s="9"/>
    </row>
    <row r="659">
      <c r="A659" s="6" t="s">
        <v>1854</v>
      </c>
      <c r="B659" s="6" t="s">
        <v>162</v>
      </c>
      <c r="C659" s="6" t="s">
        <v>43</v>
      </c>
      <c r="D659" s="6" t="s">
        <v>1855</v>
      </c>
      <c r="E659" s="6" t="s">
        <v>140</v>
      </c>
      <c r="F659" s="6" t="s">
        <v>87</v>
      </c>
      <c r="G659" s="7">
        <v>0.05</v>
      </c>
      <c r="H659" s="6" t="s">
        <v>1856</v>
      </c>
      <c r="I659" s="6" t="s">
        <v>20</v>
      </c>
      <c r="J659" s="6">
        <v>2017.0</v>
      </c>
      <c r="L659" s="6">
        <v>4.0</v>
      </c>
      <c r="M659" s="8">
        <f t="shared" si="1"/>
        <v>0.2</v>
      </c>
      <c r="P659" s="9"/>
    </row>
    <row r="660">
      <c r="A660" s="6" t="s">
        <v>1857</v>
      </c>
      <c r="B660" s="6" t="s">
        <v>462</v>
      </c>
      <c r="C660" s="6" t="s">
        <v>37</v>
      </c>
      <c r="D660" s="6" t="s">
        <v>1858</v>
      </c>
      <c r="E660" s="6" t="s">
        <v>1859</v>
      </c>
      <c r="F660" s="6" t="s">
        <v>18</v>
      </c>
      <c r="G660" s="7">
        <v>0.2</v>
      </c>
      <c r="H660" s="6" t="s">
        <v>34</v>
      </c>
      <c r="I660" s="6" t="s">
        <v>20</v>
      </c>
      <c r="J660" s="6">
        <v>2025.0</v>
      </c>
      <c r="L660" s="6">
        <v>1.0</v>
      </c>
      <c r="M660" s="8">
        <f t="shared" si="1"/>
        <v>0.2</v>
      </c>
      <c r="P660" s="9"/>
    </row>
    <row r="661">
      <c r="A661" s="6" t="s">
        <v>1860</v>
      </c>
      <c r="B661" s="6" t="s">
        <v>162</v>
      </c>
      <c r="C661" s="6" t="s">
        <v>43</v>
      </c>
      <c r="D661" s="6" t="s">
        <v>1861</v>
      </c>
      <c r="E661" s="6" t="s">
        <v>389</v>
      </c>
      <c r="F661" s="6" t="s">
        <v>87</v>
      </c>
      <c r="G661" s="7">
        <v>0.05</v>
      </c>
      <c r="H661" s="6" t="s">
        <v>1071</v>
      </c>
      <c r="I661" s="6" t="s">
        <v>20</v>
      </c>
      <c r="J661" s="6">
        <v>2012.0</v>
      </c>
      <c r="L661" s="6">
        <v>1.0</v>
      </c>
      <c r="M661" s="8">
        <f t="shared" si="1"/>
        <v>0.05</v>
      </c>
      <c r="P661" s="9"/>
    </row>
    <row r="662">
      <c r="A662" s="6" t="s">
        <v>1862</v>
      </c>
      <c r="B662" s="6" t="s">
        <v>1548</v>
      </c>
      <c r="C662" s="6" t="s">
        <v>23</v>
      </c>
      <c r="D662" s="6" t="s">
        <v>1863</v>
      </c>
      <c r="E662" s="6" t="s">
        <v>852</v>
      </c>
      <c r="F662" s="6" t="s">
        <v>18</v>
      </c>
      <c r="G662" s="7">
        <v>0.03</v>
      </c>
      <c r="H662" s="6" t="s">
        <v>342</v>
      </c>
      <c r="I662" s="6" t="s">
        <v>20</v>
      </c>
      <c r="J662" s="6">
        <v>2014.0</v>
      </c>
      <c r="L662" s="6">
        <v>3.0</v>
      </c>
      <c r="M662" s="8">
        <f t="shared" si="1"/>
        <v>0.09</v>
      </c>
      <c r="P662" s="9"/>
    </row>
    <row r="663">
      <c r="A663" s="6" t="s">
        <v>1862</v>
      </c>
      <c r="B663" s="6" t="s">
        <v>1548</v>
      </c>
      <c r="C663" s="6" t="s">
        <v>23</v>
      </c>
      <c r="D663" s="6" t="s">
        <v>1863</v>
      </c>
      <c r="E663" s="6" t="s">
        <v>852</v>
      </c>
      <c r="F663" s="6" t="s">
        <v>18</v>
      </c>
      <c r="G663" s="7">
        <v>0.26</v>
      </c>
      <c r="H663" s="6" t="s">
        <v>342</v>
      </c>
      <c r="I663" s="6" t="s">
        <v>20</v>
      </c>
      <c r="J663" s="6">
        <v>2014.0</v>
      </c>
      <c r="L663" s="6">
        <v>1.0</v>
      </c>
      <c r="M663" s="8">
        <f t="shared" si="1"/>
        <v>0.26</v>
      </c>
      <c r="P663" s="9"/>
    </row>
    <row r="664">
      <c r="A664" s="6" t="s">
        <v>1864</v>
      </c>
      <c r="B664" s="6" t="s">
        <v>1865</v>
      </c>
      <c r="C664" s="6" t="s">
        <v>43</v>
      </c>
      <c r="D664" s="6" t="s">
        <v>1866</v>
      </c>
      <c r="E664" s="6" t="s">
        <v>140</v>
      </c>
      <c r="F664" s="6" t="s">
        <v>87</v>
      </c>
      <c r="G664" s="7">
        <v>0.08</v>
      </c>
      <c r="H664" s="6" t="s">
        <v>1867</v>
      </c>
      <c r="I664" s="6" t="s">
        <v>20</v>
      </c>
      <c r="J664" s="6">
        <v>2004.0</v>
      </c>
      <c r="K664" s="10">
        <v>46023.0</v>
      </c>
      <c r="L664" s="6">
        <v>1.0</v>
      </c>
      <c r="M664" s="8">
        <f t="shared" si="1"/>
        <v>0.08</v>
      </c>
      <c r="P664" s="9"/>
    </row>
    <row r="665">
      <c r="A665" s="6" t="s">
        <v>1868</v>
      </c>
      <c r="B665" s="6" t="s">
        <v>1869</v>
      </c>
      <c r="C665" s="6" t="s">
        <v>23</v>
      </c>
      <c r="D665" s="6" t="s">
        <v>1870</v>
      </c>
      <c r="E665" s="6" t="s">
        <v>263</v>
      </c>
      <c r="F665" s="6" t="s">
        <v>77</v>
      </c>
      <c r="G665" s="7">
        <v>0.18</v>
      </c>
      <c r="H665" s="6" t="s">
        <v>19</v>
      </c>
      <c r="I665" s="6" t="s">
        <v>20</v>
      </c>
      <c r="J665" s="6">
        <v>2023.0</v>
      </c>
      <c r="K665" s="10">
        <v>46023.0</v>
      </c>
      <c r="L665" s="6">
        <v>2.0</v>
      </c>
      <c r="M665" s="8">
        <f t="shared" si="1"/>
        <v>0.36</v>
      </c>
      <c r="P665" s="9"/>
    </row>
    <row r="666">
      <c r="A666" s="6" t="s">
        <v>1871</v>
      </c>
      <c r="B666" s="6" t="s">
        <v>1872</v>
      </c>
      <c r="C666" s="6" t="s">
        <v>43</v>
      </c>
      <c r="D666" s="6" t="s">
        <v>1873</v>
      </c>
      <c r="E666" s="6" t="s">
        <v>107</v>
      </c>
      <c r="F666" s="6" t="s">
        <v>18</v>
      </c>
      <c r="G666" s="7">
        <v>0.03</v>
      </c>
      <c r="H666" s="6" t="s">
        <v>475</v>
      </c>
      <c r="I666" s="6" t="s">
        <v>20</v>
      </c>
      <c r="J666" s="6">
        <v>2024.0</v>
      </c>
      <c r="K666" s="10">
        <v>46024.0</v>
      </c>
      <c r="L666" s="6">
        <v>1.0</v>
      </c>
      <c r="M666" s="8">
        <f t="shared" si="1"/>
        <v>0.03</v>
      </c>
      <c r="P666" s="9"/>
    </row>
    <row r="667">
      <c r="A667" s="6" t="s">
        <v>1874</v>
      </c>
      <c r="B667" s="6" t="s">
        <v>1875</v>
      </c>
      <c r="C667" s="6" t="s">
        <v>30</v>
      </c>
      <c r="D667" s="6" t="s">
        <v>1876</v>
      </c>
      <c r="E667" s="6" t="s">
        <v>389</v>
      </c>
      <c r="F667" s="6" t="s">
        <v>87</v>
      </c>
      <c r="G667" s="7">
        <v>0.21</v>
      </c>
      <c r="H667" s="6" t="s">
        <v>89</v>
      </c>
      <c r="I667" s="6" t="s">
        <v>20</v>
      </c>
      <c r="J667" s="6">
        <v>2021.0</v>
      </c>
      <c r="K667" s="10">
        <v>46085.0</v>
      </c>
      <c r="L667" s="6">
        <v>1.0</v>
      </c>
      <c r="M667" s="8">
        <f t="shared" si="1"/>
        <v>0.21</v>
      </c>
      <c r="P667" s="9"/>
    </row>
    <row r="668">
      <c r="A668" s="6" t="s">
        <v>1877</v>
      </c>
      <c r="B668" s="6" t="s">
        <v>1878</v>
      </c>
      <c r="C668" s="6" t="s">
        <v>37</v>
      </c>
      <c r="D668" s="6" t="s">
        <v>1879</v>
      </c>
      <c r="E668" s="6" t="s">
        <v>57</v>
      </c>
      <c r="F668" s="6" t="s">
        <v>40</v>
      </c>
      <c r="G668" s="7">
        <v>0.15</v>
      </c>
      <c r="H668" s="6" t="s">
        <v>471</v>
      </c>
      <c r="I668" s="6" t="s">
        <v>20</v>
      </c>
      <c r="J668" s="6">
        <v>2026.0</v>
      </c>
      <c r="L668" s="6">
        <v>1.0</v>
      </c>
      <c r="M668" s="8">
        <f t="shared" si="1"/>
        <v>0.15</v>
      </c>
      <c r="P668" s="9"/>
    </row>
    <row r="669">
      <c r="A669" s="6" t="s">
        <v>1880</v>
      </c>
      <c r="B669" s="6" t="s">
        <v>1881</v>
      </c>
      <c r="C669" s="6" t="s">
        <v>377</v>
      </c>
      <c r="D669" s="6" t="s">
        <v>1882</v>
      </c>
      <c r="E669" s="6" t="s">
        <v>135</v>
      </c>
      <c r="F669" s="6" t="s">
        <v>697</v>
      </c>
      <c r="G669" s="7">
        <v>4.79</v>
      </c>
      <c r="H669" s="6" t="s">
        <v>421</v>
      </c>
      <c r="I669" s="6" t="s">
        <v>20</v>
      </c>
      <c r="J669" s="6">
        <v>2000.0</v>
      </c>
      <c r="K669" s="10">
        <v>46023.0</v>
      </c>
      <c r="L669" s="6">
        <v>1.0</v>
      </c>
      <c r="M669" s="8">
        <f t="shared" si="1"/>
        <v>4.79</v>
      </c>
      <c r="P669" s="9"/>
    </row>
    <row r="670">
      <c r="A670" s="6" t="s">
        <v>1883</v>
      </c>
      <c r="B670" s="6" t="s">
        <v>1884</v>
      </c>
      <c r="C670" s="6" t="s">
        <v>43</v>
      </c>
      <c r="D670" s="6" t="s">
        <v>1885</v>
      </c>
      <c r="E670" s="6" t="s">
        <v>389</v>
      </c>
      <c r="F670" s="6" t="s">
        <v>87</v>
      </c>
      <c r="G670" s="7">
        <v>0.49</v>
      </c>
      <c r="H670" s="6" t="s">
        <v>404</v>
      </c>
      <c r="I670" s="6" t="s">
        <v>20</v>
      </c>
      <c r="J670" s="6">
        <v>2020.0</v>
      </c>
      <c r="K670" s="10">
        <v>46058.0</v>
      </c>
      <c r="L670" s="6">
        <v>4.0</v>
      </c>
      <c r="M670" s="8">
        <f t="shared" si="1"/>
        <v>1.96</v>
      </c>
      <c r="P670" s="9"/>
    </row>
    <row r="671">
      <c r="A671" s="6" t="s">
        <v>1886</v>
      </c>
      <c r="B671" s="6" t="s">
        <v>1887</v>
      </c>
      <c r="C671" s="6" t="s">
        <v>30</v>
      </c>
      <c r="D671" s="6" t="s">
        <v>1888</v>
      </c>
      <c r="E671" s="6" t="s">
        <v>1889</v>
      </c>
      <c r="F671" s="6" t="s">
        <v>87</v>
      </c>
      <c r="G671" s="7">
        <v>1.72</v>
      </c>
      <c r="H671" s="6" t="s">
        <v>259</v>
      </c>
      <c r="I671" s="6" t="s">
        <v>20</v>
      </c>
      <c r="J671" s="6">
        <v>1996.0</v>
      </c>
      <c r="K671" s="10">
        <v>46179.0</v>
      </c>
      <c r="L671" s="6">
        <v>1.0</v>
      </c>
      <c r="M671" s="8">
        <f t="shared" si="1"/>
        <v>1.72</v>
      </c>
      <c r="P671" s="9"/>
    </row>
    <row r="672">
      <c r="A672" s="6" t="s">
        <v>1890</v>
      </c>
      <c r="B672" s="6" t="s">
        <v>1891</v>
      </c>
      <c r="C672" s="6" t="s">
        <v>30</v>
      </c>
      <c r="D672" s="6" t="s">
        <v>1892</v>
      </c>
      <c r="E672" s="6" t="s">
        <v>757</v>
      </c>
      <c r="F672" s="6" t="s">
        <v>87</v>
      </c>
      <c r="G672" s="7">
        <v>0.18</v>
      </c>
      <c r="H672" s="6" t="s">
        <v>324</v>
      </c>
      <c r="I672" s="6" t="s">
        <v>20</v>
      </c>
      <c r="J672" s="6">
        <v>1995.0</v>
      </c>
      <c r="K672" s="10">
        <v>46055.0</v>
      </c>
      <c r="L672" s="6">
        <v>1.0</v>
      </c>
      <c r="M672" s="8">
        <f t="shared" si="1"/>
        <v>0.18</v>
      </c>
      <c r="P672" s="9"/>
    </row>
    <row r="673">
      <c r="A673" s="6" t="s">
        <v>1893</v>
      </c>
      <c r="B673" s="6" t="s">
        <v>1894</v>
      </c>
      <c r="C673" s="6" t="s">
        <v>23</v>
      </c>
      <c r="D673" s="6" t="s">
        <v>1895</v>
      </c>
      <c r="E673" s="6" t="s">
        <v>1896</v>
      </c>
      <c r="F673" s="6" t="s">
        <v>87</v>
      </c>
      <c r="G673" s="7">
        <v>0.13</v>
      </c>
      <c r="H673" s="6" t="s">
        <v>27</v>
      </c>
      <c r="I673" s="6" t="s">
        <v>20</v>
      </c>
      <c r="J673" s="6">
        <v>2026.0</v>
      </c>
      <c r="K673" s="10">
        <v>46056.0</v>
      </c>
      <c r="L673" s="6">
        <v>1.0</v>
      </c>
      <c r="M673" s="8">
        <f t="shared" si="1"/>
        <v>0.13</v>
      </c>
      <c r="P673" s="9"/>
    </row>
    <row r="674">
      <c r="A674" s="6" t="s">
        <v>1897</v>
      </c>
      <c r="B674" s="6" t="s">
        <v>542</v>
      </c>
      <c r="C674" s="6" t="s">
        <v>43</v>
      </c>
      <c r="D674" s="6" t="s">
        <v>1898</v>
      </c>
      <c r="E674" s="6" t="s">
        <v>135</v>
      </c>
      <c r="F674" s="6" t="s">
        <v>40</v>
      </c>
      <c r="G674" s="7">
        <v>0.05</v>
      </c>
      <c r="H674" s="6" t="s">
        <v>764</v>
      </c>
      <c r="I674" s="6" t="s">
        <v>20</v>
      </c>
      <c r="J674" s="6">
        <v>1999.0</v>
      </c>
      <c r="K674" s="10">
        <v>46023.0</v>
      </c>
      <c r="L674" s="6">
        <v>1.0</v>
      </c>
      <c r="M674" s="8">
        <f t="shared" si="1"/>
        <v>0.05</v>
      </c>
      <c r="P674" s="9"/>
    </row>
    <row r="675">
      <c r="A675" s="6" t="s">
        <v>1899</v>
      </c>
      <c r="B675" s="6" t="s">
        <v>170</v>
      </c>
      <c r="C675" s="6" t="s">
        <v>23</v>
      </c>
      <c r="D675" s="6" t="s">
        <v>1900</v>
      </c>
      <c r="E675" s="6" t="s">
        <v>172</v>
      </c>
      <c r="F675" s="6" t="s">
        <v>26</v>
      </c>
      <c r="G675" s="7">
        <v>0.14</v>
      </c>
      <c r="H675" s="6" t="s">
        <v>153</v>
      </c>
      <c r="I675" s="6" t="s">
        <v>20</v>
      </c>
      <c r="J675" s="6">
        <v>2025.0</v>
      </c>
      <c r="L675" s="6">
        <v>7.0</v>
      </c>
      <c r="M675" s="8">
        <f t="shared" si="1"/>
        <v>0.98</v>
      </c>
      <c r="P675" s="9"/>
    </row>
    <row r="676">
      <c r="A676" s="6" t="s">
        <v>1901</v>
      </c>
      <c r="B676" s="6" t="s">
        <v>1390</v>
      </c>
      <c r="C676" s="6" t="s">
        <v>43</v>
      </c>
      <c r="D676" s="6" t="s">
        <v>1902</v>
      </c>
      <c r="E676" s="6" t="s">
        <v>176</v>
      </c>
      <c r="F676" s="6" t="s">
        <v>77</v>
      </c>
      <c r="G676" s="7">
        <v>0.05</v>
      </c>
      <c r="H676" s="6" t="s">
        <v>404</v>
      </c>
      <c r="I676" s="6" t="s">
        <v>20</v>
      </c>
      <c r="J676" s="6">
        <v>2020.0</v>
      </c>
      <c r="K676" s="10">
        <v>46024.0</v>
      </c>
      <c r="L676" s="6">
        <v>1.0</v>
      </c>
      <c r="M676" s="8">
        <f t="shared" si="1"/>
        <v>0.05</v>
      </c>
      <c r="P676" s="9"/>
    </row>
    <row r="677">
      <c r="A677" s="6" t="s">
        <v>1903</v>
      </c>
      <c r="B677" s="6" t="s">
        <v>1904</v>
      </c>
      <c r="C677" s="6" t="s">
        <v>23</v>
      </c>
      <c r="D677" s="6" t="s">
        <v>1905</v>
      </c>
      <c r="E677" s="6" t="s">
        <v>125</v>
      </c>
      <c r="F677" s="6" t="s">
        <v>40</v>
      </c>
      <c r="G677" s="7">
        <v>0.13</v>
      </c>
      <c r="H677" s="6" t="s">
        <v>27</v>
      </c>
      <c r="I677" s="6" t="s">
        <v>20</v>
      </c>
      <c r="J677" s="6">
        <v>2026.0</v>
      </c>
      <c r="K677" s="10">
        <v>46054.0</v>
      </c>
      <c r="L677" s="6">
        <v>2.0</v>
      </c>
      <c r="M677" s="8">
        <f t="shared" si="1"/>
        <v>0.26</v>
      </c>
      <c r="P677" s="9"/>
    </row>
    <row r="678">
      <c r="A678" s="6" t="s">
        <v>1906</v>
      </c>
      <c r="B678" s="6" t="s">
        <v>1577</v>
      </c>
      <c r="C678" s="6" t="s">
        <v>30</v>
      </c>
      <c r="D678" s="6" t="s">
        <v>1907</v>
      </c>
      <c r="F678" s="6" t="s">
        <v>26</v>
      </c>
      <c r="G678" s="7">
        <v>0.23</v>
      </c>
      <c r="H678" s="6" t="s">
        <v>1493</v>
      </c>
      <c r="I678" s="6" t="s">
        <v>20</v>
      </c>
      <c r="J678" s="6">
        <v>2015.0</v>
      </c>
      <c r="L678" s="6">
        <v>1.0</v>
      </c>
      <c r="M678" s="8">
        <f t="shared" si="1"/>
        <v>0.23</v>
      </c>
      <c r="P678" s="9"/>
    </row>
    <row r="679">
      <c r="A679" s="6" t="s">
        <v>1908</v>
      </c>
      <c r="B679" s="6" t="s">
        <v>115</v>
      </c>
      <c r="C679" s="6" t="s">
        <v>23</v>
      </c>
      <c r="D679" s="6" t="s">
        <v>1909</v>
      </c>
      <c r="E679" s="6" t="s">
        <v>263</v>
      </c>
      <c r="F679" s="6" t="s">
        <v>77</v>
      </c>
      <c r="G679" s="7">
        <v>0.13</v>
      </c>
      <c r="H679" s="6" t="s">
        <v>27</v>
      </c>
      <c r="I679" s="6" t="s">
        <v>20</v>
      </c>
      <c r="J679" s="6">
        <v>2026.0</v>
      </c>
      <c r="L679" s="6">
        <v>1.0</v>
      </c>
      <c r="M679" s="8">
        <f t="shared" si="1"/>
        <v>0.13</v>
      </c>
      <c r="P679" s="9"/>
    </row>
    <row r="680">
      <c r="A680" s="6" t="s">
        <v>1910</v>
      </c>
      <c r="B680" s="6" t="s">
        <v>1302</v>
      </c>
      <c r="C680" s="6" t="s">
        <v>43</v>
      </c>
      <c r="D680" s="6" t="s">
        <v>1911</v>
      </c>
      <c r="E680" s="6" t="s">
        <v>76</v>
      </c>
      <c r="F680" s="6" t="s">
        <v>77</v>
      </c>
      <c r="G680" s="7">
        <v>0.07</v>
      </c>
      <c r="H680" s="6" t="s">
        <v>1277</v>
      </c>
      <c r="I680" s="6" t="s">
        <v>20</v>
      </c>
      <c r="J680" s="6">
        <v>2004.0</v>
      </c>
      <c r="K680" s="10">
        <v>46024.0</v>
      </c>
      <c r="L680" s="6">
        <v>1.0</v>
      </c>
      <c r="M680" s="8">
        <f t="shared" si="1"/>
        <v>0.07</v>
      </c>
      <c r="P680" s="9"/>
    </row>
    <row r="681">
      <c r="A681" s="6" t="s">
        <v>1912</v>
      </c>
      <c r="B681" s="6" t="s">
        <v>74</v>
      </c>
      <c r="C681" s="6" t="s">
        <v>43</v>
      </c>
      <c r="D681" s="6" t="s">
        <v>1913</v>
      </c>
      <c r="E681" s="6" t="s">
        <v>117</v>
      </c>
      <c r="F681" s="6" t="s">
        <v>77</v>
      </c>
      <c r="G681" s="7">
        <v>0.03</v>
      </c>
      <c r="H681" s="6" t="s">
        <v>249</v>
      </c>
      <c r="I681" s="6" t="s">
        <v>20</v>
      </c>
      <c r="J681" s="6">
        <v>2014.0</v>
      </c>
      <c r="L681" s="6">
        <v>6.0</v>
      </c>
      <c r="M681" s="8">
        <f t="shared" si="1"/>
        <v>0.18</v>
      </c>
      <c r="P681" s="9"/>
    </row>
    <row r="682">
      <c r="A682" s="6" t="s">
        <v>1914</v>
      </c>
      <c r="B682" s="6" t="s">
        <v>1915</v>
      </c>
      <c r="C682" s="6" t="s">
        <v>43</v>
      </c>
      <c r="D682" s="6" t="s">
        <v>1916</v>
      </c>
      <c r="E682" s="6" t="s">
        <v>1917</v>
      </c>
      <c r="F682" s="6" t="s">
        <v>77</v>
      </c>
      <c r="G682" s="7">
        <v>0.06</v>
      </c>
      <c r="H682" s="6" t="s">
        <v>787</v>
      </c>
      <c r="I682" s="6" t="s">
        <v>20</v>
      </c>
      <c r="J682" s="6">
        <v>2023.0</v>
      </c>
      <c r="K682" s="10">
        <v>46147.0</v>
      </c>
      <c r="L682" s="6">
        <v>1.0</v>
      </c>
      <c r="M682" s="8">
        <f t="shared" si="1"/>
        <v>0.06</v>
      </c>
      <c r="P682" s="9"/>
    </row>
    <row r="683">
      <c r="A683" s="6" t="s">
        <v>1918</v>
      </c>
      <c r="B683" s="6" t="s">
        <v>1919</v>
      </c>
      <c r="C683" s="6" t="s">
        <v>30</v>
      </c>
      <c r="D683" s="6" t="s">
        <v>1920</v>
      </c>
      <c r="E683" s="6" t="s">
        <v>117</v>
      </c>
      <c r="F683" s="6" t="s">
        <v>77</v>
      </c>
      <c r="G683" s="7">
        <v>0.3</v>
      </c>
      <c r="H683" s="6" t="s">
        <v>1392</v>
      </c>
      <c r="I683" s="6" t="s">
        <v>20</v>
      </c>
      <c r="J683" s="6">
        <v>2014.0</v>
      </c>
      <c r="K683" s="10">
        <v>46023.0</v>
      </c>
      <c r="L683" s="6">
        <v>1.0</v>
      </c>
      <c r="M683" s="8">
        <f t="shared" si="1"/>
        <v>0.3</v>
      </c>
      <c r="P683" s="9"/>
    </row>
    <row r="684">
      <c r="A684" s="6" t="s">
        <v>1921</v>
      </c>
      <c r="B684" s="6" t="s">
        <v>1922</v>
      </c>
      <c r="C684" s="6" t="s">
        <v>43</v>
      </c>
      <c r="D684" s="6" t="s">
        <v>1923</v>
      </c>
      <c r="E684" s="6" t="s">
        <v>107</v>
      </c>
      <c r="F684" s="6" t="s">
        <v>18</v>
      </c>
      <c r="G684" s="7">
        <v>0.1</v>
      </c>
      <c r="H684" s="6" t="s">
        <v>136</v>
      </c>
      <c r="I684" s="6" t="s">
        <v>20</v>
      </c>
      <c r="J684" s="6">
        <v>2026.0</v>
      </c>
      <c r="K684" s="6" t="s">
        <v>1924</v>
      </c>
      <c r="L684" s="6">
        <v>7.0</v>
      </c>
      <c r="M684" s="8">
        <f t="shared" si="1"/>
        <v>0.7</v>
      </c>
      <c r="P684" s="9"/>
    </row>
    <row r="685">
      <c r="A685" s="6" t="s">
        <v>1925</v>
      </c>
      <c r="B685" s="6" t="s">
        <v>254</v>
      </c>
      <c r="C685" s="6" t="s">
        <v>43</v>
      </c>
      <c r="D685" s="6" t="s">
        <v>1926</v>
      </c>
      <c r="E685" s="6" t="s">
        <v>190</v>
      </c>
      <c r="F685" s="6" t="s">
        <v>18</v>
      </c>
      <c r="G685" s="7">
        <v>0.33</v>
      </c>
      <c r="H685" s="6" t="s">
        <v>1927</v>
      </c>
      <c r="I685" s="6" t="s">
        <v>45</v>
      </c>
      <c r="J685" s="6">
        <v>2025.0</v>
      </c>
      <c r="L685" s="6">
        <v>2.0</v>
      </c>
      <c r="M685" s="8">
        <f t="shared" si="1"/>
        <v>0.66</v>
      </c>
      <c r="P685" s="9"/>
    </row>
    <row r="686">
      <c r="A686" s="6" t="s">
        <v>1928</v>
      </c>
      <c r="B686" s="6" t="s">
        <v>1929</v>
      </c>
      <c r="C686" s="6" t="s">
        <v>43</v>
      </c>
      <c r="D686" s="6" t="s">
        <v>1930</v>
      </c>
      <c r="E686" s="6" t="s">
        <v>329</v>
      </c>
      <c r="F686" s="6" t="s">
        <v>112</v>
      </c>
      <c r="G686" s="7">
        <v>0.05</v>
      </c>
      <c r="H686" s="6" t="s">
        <v>475</v>
      </c>
      <c r="I686" s="6" t="s">
        <v>20</v>
      </c>
      <c r="J686" s="6">
        <v>2024.0</v>
      </c>
      <c r="K686" s="10">
        <v>46083.0</v>
      </c>
      <c r="L686" s="6">
        <v>1.0</v>
      </c>
      <c r="M686" s="8">
        <f t="shared" si="1"/>
        <v>0.05</v>
      </c>
      <c r="P686" s="9"/>
    </row>
    <row r="687">
      <c r="A687" s="6" t="s">
        <v>1931</v>
      </c>
      <c r="B687" s="6" t="s">
        <v>219</v>
      </c>
      <c r="C687" s="6" t="s">
        <v>37</v>
      </c>
      <c r="D687" s="6" t="s">
        <v>1932</v>
      </c>
      <c r="E687" s="6" t="s">
        <v>215</v>
      </c>
      <c r="F687" s="6" t="s">
        <v>26</v>
      </c>
      <c r="G687" s="7">
        <v>0.09</v>
      </c>
      <c r="H687" s="6" t="s">
        <v>324</v>
      </c>
      <c r="I687" s="6" t="s">
        <v>20</v>
      </c>
      <c r="J687" s="6">
        <v>1995.0</v>
      </c>
      <c r="L687" s="6">
        <v>1.0</v>
      </c>
      <c r="M687" s="8">
        <f t="shared" si="1"/>
        <v>0.09</v>
      </c>
      <c r="P687" s="9"/>
    </row>
    <row r="688">
      <c r="A688" s="6" t="s">
        <v>1931</v>
      </c>
      <c r="B688" s="6" t="s">
        <v>219</v>
      </c>
      <c r="C688" s="6" t="s">
        <v>37</v>
      </c>
      <c r="D688" s="6" t="s">
        <v>1932</v>
      </c>
      <c r="E688" s="6" t="s">
        <v>215</v>
      </c>
      <c r="F688" s="6" t="s">
        <v>26</v>
      </c>
      <c r="G688" s="7">
        <v>0.2</v>
      </c>
      <c r="H688" s="6" t="s">
        <v>316</v>
      </c>
      <c r="I688" s="6" t="s">
        <v>20</v>
      </c>
      <c r="J688" s="6">
        <v>1995.0</v>
      </c>
      <c r="L688" s="6">
        <v>1.0</v>
      </c>
      <c r="M688" s="8">
        <f t="shared" si="1"/>
        <v>0.2</v>
      </c>
      <c r="P688" s="9"/>
    </row>
    <row r="689">
      <c r="A689" s="6" t="s">
        <v>1933</v>
      </c>
      <c r="B689" s="6" t="s">
        <v>1934</v>
      </c>
      <c r="C689" s="6" t="s">
        <v>15</v>
      </c>
      <c r="D689" s="6" t="s">
        <v>1935</v>
      </c>
      <c r="E689" s="6" t="s">
        <v>1936</v>
      </c>
      <c r="F689" s="6" t="s">
        <v>18</v>
      </c>
      <c r="G689" s="7">
        <v>0.05</v>
      </c>
      <c r="H689" s="6" t="s">
        <v>342</v>
      </c>
      <c r="I689" s="6" t="s">
        <v>20</v>
      </c>
      <c r="J689" s="6">
        <v>2014.0</v>
      </c>
      <c r="K689" s="10">
        <v>46116.0</v>
      </c>
      <c r="L689" s="6">
        <v>1.0</v>
      </c>
      <c r="M689" s="8">
        <f t="shared" si="1"/>
        <v>0.05</v>
      </c>
      <c r="P689" s="9"/>
    </row>
    <row r="690">
      <c r="A690" s="6" t="s">
        <v>1937</v>
      </c>
      <c r="B690" s="6" t="s">
        <v>455</v>
      </c>
      <c r="C690" s="6" t="s">
        <v>15</v>
      </c>
      <c r="D690" s="6" t="s">
        <v>1938</v>
      </c>
      <c r="E690" s="6" t="s">
        <v>1939</v>
      </c>
      <c r="F690" s="6" t="s">
        <v>665</v>
      </c>
      <c r="G690" s="7">
        <v>0.25</v>
      </c>
      <c r="H690" s="6" t="s">
        <v>617</v>
      </c>
      <c r="I690" s="6" t="s">
        <v>20</v>
      </c>
      <c r="J690" s="6">
        <v>2026.0</v>
      </c>
      <c r="K690" s="10">
        <v>46023.0</v>
      </c>
      <c r="L690" s="6">
        <v>2.0</v>
      </c>
      <c r="M690" s="8">
        <f t="shared" si="1"/>
        <v>0.5</v>
      </c>
      <c r="P690" s="9"/>
    </row>
    <row r="691">
      <c r="A691" s="6" t="s">
        <v>1940</v>
      </c>
      <c r="B691" s="6" t="s">
        <v>1941</v>
      </c>
      <c r="C691" s="6" t="s">
        <v>43</v>
      </c>
      <c r="D691" s="6" t="s">
        <v>1942</v>
      </c>
      <c r="E691" s="6" t="s">
        <v>1943</v>
      </c>
      <c r="F691" s="6" t="s">
        <v>1118</v>
      </c>
      <c r="G691" s="7">
        <v>0.06</v>
      </c>
      <c r="H691" s="6" t="s">
        <v>1048</v>
      </c>
      <c r="I691" s="6" t="s">
        <v>20</v>
      </c>
      <c r="J691" s="6">
        <v>2008.0</v>
      </c>
      <c r="K691" s="10">
        <v>46084.0</v>
      </c>
      <c r="L691" s="6">
        <v>1.0</v>
      </c>
      <c r="M691" s="8">
        <f t="shared" si="1"/>
        <v>0.06</v>
      </c>
      <c r="P691" s="9"/>
    </row>
    <row r="692">
      <c r="A692" s="6" t="s">
        <v>1944</v>
      </c>
      <c r="B692" s="6" t="s">
        <v>988</v>
      </c>
      <c r="C692" s="6" t="s">
        <v>43</v>
      </c>
      <c r="D692" s="6" t="s">
        <v>1945</v>
      </c>
      <c r="E692" s="6" t="s">
        <v>98</v>
      </c>
      <c r="F692" s="6" t="s">
        <v>18</v>
      </c>
      <c r="G692" s="7">
        <v>0.05</v>
      </c>
      <c r="H692" s="6" t="s">
        <v>407</v>
      </c>
      <c r="I692" s="6" t="s">
        <v>20</v>
      </c>
      <c r="J692" s="6">
        <v>2016.0</v>
      </c>
      <c r="K692" s="10">
        <v>46083.0</v>
      </c>
      <c r="L692" s="6">
        <v>2.0</v>
      </c>
      <c r="M692" s="8">
        <f t="shared" si="1"/>
        <v>0.1</v>
      </c>
      <c r="P692" s="9"/>
    </row>
    <row r="693">
      <c r="A693" s="6" t="s">
        <v>1946</v>
      </c>
      <c r="B693" s="6" t="s">
        <v>1947</v>
      </c>
      <c r="C693" s="6" t="s">
        <v>37</v>
      </c>
      <c r="D693" s="6" t="s">
        <v>1948</v>
      </c>
      <c r="E693" s="6" t="s">
        <v>1949</v>
      </c>
      <c r="F693" s="6" t="s">
        <v>519</v>
      </c>
      <c r="G693" s="7">
        <v>0.05</v>
      </c>
      <c r="H693" s="6" t="s">
        <v>701</v>
      </c>
      <c r="I693" s="6" t="s">
        <v>20</v>
      </c>
      <c r="J693" s="6">
        <v>2015.0</v>
      </c>
      <c r="K693" s="10">
        <v>46116.0</v>
      </c>
      <c r="L693" s="6">
        <v>1.0</v>
      </c>
      <c r="M693" s="8">
        <f t="shared" si="1"/>
        <v>0.05</v>
      </c>
      <c r="P693" s="9"/>
    </row>
    <row r="694">
      <c r="A694" s="6" t="s">
        <v>1950</v>
      </c>
      <c r="B694" s="6" t="s">
        <v>138</v>
      </c>
      <c r="C694" s="6" t="s">
        <v>43</v>
      </c>
      <c r="D694" s="6" t="s">
        <v>1951</v>
      </c>
      <c r="E694" s="6" t="s">
        <v>86</v>
      </c>
      <c r="F694" s="6" t="s">
        <v>87</v>
      </c>
      <c r="G694" s="7">
        <v>0.09</v>
      </c>
      <c r="H694" s="6" t="s">
        <v>34</v>
      </c>
      <c r="I694" s="6" t="s">
        <v>20</v>
      </c>
      <c r="J694" s="6">
        <v>2025.0</v>
      </c>
      <c r="L694" s="6">
        <v>1.0</v>
      </c>
      <c r="M694" s="8">
        <f t="shared" si="1"/>
        <v>0.09</v>
      </c>
      <c r="P694" s="9"/>
    </row>
    <row r="695">
      <c r="A695" s="6" t="s">
        <v>1952</v>
      </c>
      <c r="B695" s="6" t="s">
        <v>208</v>
      </c>
      <c r="C695" s="6" t="s">
        <v>43</v>
      </c>
      <c r="D695" s="6" t="s">
        <v>1953</v>
      </c>
      <c r="E695" s="6" t="s">
        <v>822</v>
      </c>
      <c r="F695" s="6" t="s">
        <v>77</v>
      </c>
      <c r="G695" s="7">
        <v>1.02</v>
      </c>
      <c r="H695" s="6" t="s">
        <v>141</v>
      </c>
      <c r="I695" s="6" t="s">
        <v>20</v>
      </c>
      <c r="J695" s="6">
        <v>1995.0</v>
      </c>
      <c r="K695" s="10">
        <v>46082.0</v>
      </c>
      <c r="L695" s="6">
        <v>4.0</v>
      </c>
      <c r="M695" s="8">
        <f t="shared" si="1"/>
        <v>4.08</v>
      </c>
      <c r="P695" s="9"/>
    </row>
    <row r="696">
      <c r="A696" s="6" t="s">
        <v>1954</v>
      </c>
      <c r="B696" s="6" t="s">
        <v>292</v>
      </c>
      <c r="C696" s="6" t="s">
        <v>204</v>
      </c>
      <c r="D696" s="6" t="s">
        <v>1955</v>
      </c>
      <c r="E696" s="6" t="s">
        <v>822</v>
      </c>
      <c r="F696" s="6" t="s">
        <v>77</v>
      </c>
      <c r="G696" s="7">
        <v>0.05</v>
      </c>
      <c r="H696" s="6" t="s">
        <v>496</v>
      </c>
      <c r="I696" s="6" t="s">
        <v>20</v>
      </c>
      <c r="J696" s="6">
        <v>2013.0</v>
      </c>
      <c r="L696" s="6">
        <v>4.0</v>
      </c>
      <c r="M696" s="8">
        <f t="shared" si="1"/>
        <v>0.2</v>
      </c>
      <c r="P696" s="9"/>
    </row>
    <row r="697">
      <c r="A697" s="6" t="s">
        <v>1956</v>
      </c>
      <c r="B697" s="6" t="s">
        <v>1957</v>
      </c>
      <c r="C697" s="6" t="s">
        <v>43</v>
      </c>
      <c r="E697" s="6" t="s">
        <v>107</v>
      </c>
      <c r="F697" s="6" t="s">
        <v>18</v>
      </c>
      <c r="G697" s="7">
        <v>0.03</v>
      </c>
      <c r="H697" s="6" t="s">
        <v>506</v>
      </c>
      <c r="I697" s="6" t="s">
        <v>20</v>
      </c>
      <c r="J697" s="6">
        <v>2016.0</v>
      </c>
      <c r="K697" s="10">
        <v>46024.0</v>
      </c>
      <c r="L697" s="6">
        <v>2.0</v>
      </c>
      <c r="M697" s="8">
        <f t="shared" si="1"/>
        <v>0.06</v>
      </c>
      <c r="P697" s="9"/>
    </row>
    <row r="698">
      <c r="A698" s="6" t="s">
        <v>1958</v>
      </c>
      <c r="B698" s="6" t="s">
        <v>1959</v>
      </c>
      <c r="C698" s="6" t="s">
        <v>43</v>
      </c>
      <c r="D698" s="6" t="s">
        <v>1960</v>
      </c>
      <c r="E698" s="6" t="s">
        <v>125</v>
      </c>
      <c r="F698" s="6" t="s">
        <v>40</v>
      </c>
      <c r="G698" s="7">
        <v>0.04</v>
      </c>
      <c r="H698" s="6" t="s">
        <v>34</v>
      </c>
      <c r="I698" s="6" t="s">
        <v>20</v>
      </c>
      <c r="J698" s="6">
        <v>2025.0</v>
      </c>
      <c r="K698" s="10">
        <v>46023.0</v>
      </c>
      <c r="L698" s="6">
        <v>5.0</v>
      </c>
      <c r="M698" s="8">
        <f t="shared" si="1"/>
        <v>0.2</v>
      </c>
      <c r="P698" s="9"/>
    </row>
    <row r="699">
      <c r="A699" s="6" t="s">
        <v>1958</v>
      </c>
      <c r="B699" s="6" t="s">
        <v>1959</v>
      </c>
      <c r="C699" s="6" t="s">
        <v>43</v>
      </c>
      <c r="D699" s="6" t="s">
        <v>1960</v>
      </c>
      <c r="E699" s="6" t="s">
        <v>125</v>
      </c>
      <c r="F699" s="6" t="s">
        <v>40</v>
      </c>
      <c r="G699" s="7">
        <v>0.05</v>
      </c>
      <c r="H699" s="6" t="s">
        <v>34</v>
      </c>
      <c r="I699" s="6" t="s">
        <v>20</v>
      </c>
      <c r="J699" s="6">
        <v>2025.0</v>
      </c>
      <c r="K699" s="10">
        <v>46023.0</v>
      </c>
      <c r="L699" s="6">
        <v>3.0</v>
      </c>
      <c r="M699" s="8">
        <f t="shared" si="1"/>
        <v>0.15</v>
      </c>
      <c r="P699" s="9"/>
    </row>
    <row r="700">
      <c r="A700" s="6" t="s">
        <v>1961</v>
      </c>
      <c r="B700" s="6" t="s">
        <v>440</v>
      </c>
      <c r="C700" s="6" t="s">
        <v>30</v>
      </c>
      <c r="D700" s="6" t="s">
        <v>1962</v>
      </c>
      <c r="E700" s="6" t="s">
        <v>1634</v>
      </c>
      <c r="F700" s="6" t="s">
        <v>87</v>
      </c>
      <c r="G700" s="7">
        <v>0.95</v>
      </c>
      <c r="H700" s="6" t="s">
        <v>187</v>
      </c>
      <c r="I700" s="6" t="s">
        <v>20</v>
      </c>
      <c r="J700" s="6">
        <v>1995.0</v>
      </c>
      <c r="L700" s="6">
        <v>2.0</v>
      </c>
      <c r="M700" s="8">
        <f t="shared" si="1"/>
        <v>1.9</v>
      </c>
      <c r="P700" s="9"/>
    </row>
    <row r="701">
      <c r="A701" s="6" t="s">
        <v>1963</v>
      </c>
      <c r="B701" s="6" t="s">
        <v>254</v>
      </c>
      <c r="C701" s="6" t="s">
        <v>37</v>
      </c>
      <c r="D701" s="6" t="s">
        <v>1964</v>
      </c>
      <c r="E701" s="6" t="s">
        <v>93</v>
      </c>
      <c r="F701" s="6" t="s">
        <v>77</v>
      </c>
      <c r="G701" s="7">
        <v>0.36</v>
      </c>
      <c r="H701" s="6" t="s">
        <v>1064</v>
      </c>
      <c r="I701" s="6" t="s">
        <v>20</v>
      </c>
      <c r="J701" s="6">
        <v>1995.0</v>
      </c>
      <c r="L701" s="6">
        <v>2.0</v>
      </c>
      <c r="M701" s="8">
        <f t="shared" si="1"/>
        <v>0.72</v>
      </c>
      <c r="P701" s="9"/>
    </row>
    <row r="702">
      <c r="A702" s="6" t="s">
        <v>1965</v>
      </c>
      <c r="B702" s="6" t="s">
        <v>219</v>
      </c>
      <c r="C702" s="6" t="s">
        <v>37</v>
      </c>
      <c r="D702" s="6" t="s">
        <v>1966</v>
      </c>
      <c r="E702" s="6" t="s">
        <v>994</v>
      </c>
      <c r="F702" s="6" t="s">
        <v>26</v>
      </c>
      <c r="G702" s="7">
        <v>0.4</v>
      </c>
      <c r="H702" s="6" t="s">
        <v>324</v>
      </c>
      <c r="I702" s="6" t="s">
        <v>20</v>
      </c>
      <c r="J702" s="6">
        <v>1995.0</v>
      </c>
      <c r="L702" s="6">
        <v>1.0</v>
      </c>
      <c r="M702" s="8">
        <f t="shared" si="1"/>
        <v>0.4</v>
      </c>
      <c r="P702" s="9"/>
    </row>
    <row r="703">
      <c r="A703" s="6" t="s">
        <v>1965</v>
      </c>
      <c r="B703" s="6" t="s">
        <v>219</v>
      </c>
      <c r="C703" s="6" t="s">
        <v>37</v>
      </c>
      <c r="D703" s="6" t="s">
        <v>1966</v>
      </c>
      <c r="E703" s="6" t="s">
        <v>994</v>
      </c>
      <c r="F703" s="6" t="s">
        <v>26</v>
      </c>
      <c r="G703" s="7">
        <v>0.5</v>
      </c>
      <c r="H703" s="6" t="s">
        <v>316</v>
      </c>
      <c r="I703" s="6" t="s">
        <v>20</v>
      </c>
      <c r="J703" s="6">
        <v>1995.0</v>
      </c>
      <c r="L703" s="6">
        <v>1.0</v>
      </c>
      <c r="M703" s="8">
        <f t="shared" si="1"/>
        <v>0.5</v>
      </c>
      <c r="P703" s="9"/>
    </row>
    <row r="704">
      <c r="A704" s="6" t="s">
        <v>1967</v>
      </c>
      <c r="B704" s="6" t="s">
        <v>74</v>
      </c>
      <c r="C704" s="6" t="s">
        <v>43</v>
      </c>
      <c r="D704" s="6" t="s">
        <v>1968</v>
      </c>
      <c r="E704" s="6" t="s">
        <v>57</v>
      </c>
      <c r="F704" s="6" t="s">
        <v>40</v>
      </c>
      <c r="G704" s="7">
        <v>0.04</v>
      </c>
      <c r="H704" s="6" t="s">
        <v>655</v>
      </c>
      <c r="I704" s="6" t="s">
        <v>20</v>
      </c>
      <c r="J704" s="6">
        <v>2023.0</v>
      </c>
      <c r="L704" s="6">
        <v>2.0</v>
      </c>
      <c r="M704" s="8">
        <f t="shared" si="1"/>
        <v>0.08</v>
      </c>
      <c r="P704" s="9"/>
    </row>
    <row r="705">
      <c r="A705" s="6" t="s">
        <v>1969</v>
      </c>
      <c r="B705" s="6" t="s">
        <v>47</v>
      </c>
      <c r="C705" s="6" t="s">
        <v>43</v>
      </c>
      <c r="D705" s="6" t="s">
        <v>1970</v>
      </c>
      <c r="E705" s="6" t="s">
        <v>329</v>
      </c>
      <c r="F705" s="6" t="s">
        <v>112</v>
      </c>
      <c r="G705" s="7">
        <v>0.13</v>
      </c>
      <c r="H705" s="6" t="s">
        <v>34</v>
      </c>
      <c r="I705" s="6" t="s">
        <v>20</v>
      </c>
      <c r="J705" s="6">
        <v>2025.0</v>
      </c>
      <c r="L705" s="6">
        <v>1.0</v>
      </c>
      <c r="M705" s="8">
        <f t="shared" si="1"/>
        <v>0.13</v>
      </c>
      <c r="P705" s="9"/>
    </row>
    <row r="706">
      <c r="A706" s="6" t="s">
        <v>1971</v>
      </c>
      <c r="B706" s="6" t="s">
        <v>625</v>
      </c>
      <c r="C706" s="6" t="s">
        <v>43</v>
      </c>
      <c r="D706" s="6" t="s">
        <v>1972</v>
      </c>
      <c r="E706" s="6" t="s">
        <v>76</v>
      </c>
      <c r="F706" s="6" t="s">
        <v>77</v>
      </c>
      <c r="G706" s="7">
        <v>0.05</v>
      </c>
      <c r="H706" s="6" t="s">
        <v>324</v>
      </c>
      <c r="I706" s="6" t="s">
        <v>20</v>
      </c>
      <c r="J706" s="6">
        <v>1995.0</v>
      </c>
      <c r="K706" s="10">
        <v>46024.0</v>
      </c>
      <c r="L706" s="6">
        <v>2.0</v>
      </c>
      <c r="M706" s="8">
        <f t="shared" si="1"/>
        <v>0.1</v>
      </c>
      <c r="P706" s="9"/>
    </row>
    <row r="707">
      <c r="A707" s="6" t="s">
        <v>1971</v>
      </c>
      <c r="B707" s="6" t="s">
        <v>625</v>
      </c>
      <c r="C707" s="6" t="s">
        <v>43</v>
      </c>
      <c r="D707" s="6" t="s">
        <v>1972</v>
      </c>
      <c r="E707" s="6" t="s">
        <v>76</v>
      </c>
      <c r="F707" s="6" t="s">
        <v>77</v>
      </c>
      <c r="G707" s="7">
        <v>0.21</v>
      </c>
      <c r="H707" s="6" t="s">
        <v>316</v>
      </c>
      <c r="I707" s="6" t="s">
        <v>20</v>
      </c>
      <c r="J707" s="6">
        <v>1995.0</v>
      </c>
      <c r="K707" s="10">
        <v>46024.0</v>
      </c>
      <c r="L707" s="6">
        <v>3.0</v>
      </c>
      <c r="M707" s="8">
        <f t="shared" si="1"/>
        <v>0.63</v>
      </c>
      <c r="P707" s="9"/>
    </row>
    <row r="708">
      <c r="A708" s="6" t="s">
        <v>1973</v>
      </c>
      <c r="B708" s="6" t="s">
        <v>1974</v>
      </c>
      <c r="C708" s="6" t="s">
        <v>43</v>
      </c>
      <c r="D708" s="6" t="s">
        <v>1975</v>
      </c>
      <c r="E708" s="6" t="s">
        <v>356</v>
      </c>
      <c r="F708" s="6" t="s">
        <v>87</v>
      </c>
      <c r="G708" s="7">
        <v>0.05</v>
      </c>
      <c r="H708" s="6" t="s">
        <v>113</v>
      </c>
      <c r="I708" s="6" t="s">
        <v>20</v>
      </c>
      <c r="J708" s="6">
        <v>2023.0</v>
      </c>
      <c r="K708" s="10">
        <v>46057.0</v>
      </c>
      <c r="L708" s="6">
        <v>1.0</v>
      </c>
      <c r="M708" s="8">
        <f t="shared" si="1"/>
        <v>0.05</v>
      </c>
      <c r="P708" s="9"/>
    </row>
    <row r="709">
      <c r="A709" s="6" t="s">
        <v>1976</v>
      </c>
      <c r="B709" s="6" t="s">
        <v>1977</v>
      </c>
      <c r="C709" s="6" t="s">
        <v>43</v>
      </c>
      <c r="E709" s="6" t="s">
        <v>757</v>
      </c>
      <c r="F709" s="6" t="s">
        <v>87</v>
      </c>
      <c r="G709" s="7">
        <v>0.03</v>
      </c>
      <c r="H709" s="6" t="s">
        <v>1511</v>
      </c>
      <c r="I709" s="6" t="s">
        <v>20</v>
      </c>
      <c r="J709" s="6">
        <v>2014.0</v>
      </c>
      <c r="K709" s="10">
        <v>46058.0</v>
      </c>
      <c r="L709" s="6">
        <v>1.0</v>
      </c>
      <c r="M709" s="8">
        <f t="shared" si="1"/>
        <v>0.03</v>
      </c>
      <c r="P709" s="9"/>
    </row>
    <row r="710">
      <c r="A710" s="6" t="s">
        <v>1978</v>
      </c>
      <c r="B710" s="6" t="s">
        <v>1974</v>
      </c>
      <c r="C710" s="6" t="s">
        <v>43</v>
      </c>
      <c r="D710" s="6" t="s">
        <v>1979</v>
      </c>
      <c r="E710" s="6" t="s">
        <v>964</v>
      </c>
      <c r="F710" s="6" t="s">
        <v>50</v>
      </c>
      <c r="G710" s="7">
        <v>0.06</v>
      </c>
      <c r="H710" s="6" t="s">
        <v>363</v>
      </c>
      <c r="I710" s="6" t="s">
        <v>20</v>
      </c>
      <c r="J710" s="6">
        <v>2024.0</v>
      </c>
      <c r="K710" s="10">
        <v>46055.0</v>
      </c>
      <c r="L710" s="6">
        <v>1.0</v>
      </c>
      <c r="M710" s="8">
        <f t="shared" si="1"/>
        <v>0.06</v>
      </c>
      <c r="P710" s="9"/>
    </row>
    <row r="711">
      <c r="A711" s="6" t="s">
        <v>1980</v>
      </c>
      <c r="B711" s="6" t="s">
        <v>115</v>
      </c>
      <c r="C711" s="6" t="s">
        <v>23</v>
      </c>
      <c r="D711" s="6" t="s">
        <v>1981</v>
      </c>
      <c r="E711" s="6" t="s">
        <v>17</v>
      </c>
      <c r="F711" s="6" t="s">
        <v>18</v>
      </c>
      <c r="G711" s="7">
        <v>0.08</v>
      </c>
      <c r="H711" s="6" t="s">
        <v>19</v>
      </c>
      <c r="I711" s="6" t="s">
        <v>20</v>
      </c>
      <c r="J711" s="6">
        <v>2023.0</v>
      </c>
      <c r="L711" s="6">
        <v>2.0</v>
      </c>
      <c r="M711" s="8">
        <f t="shared" si="1"/>
        <v>0.16</v>
      </c>
      <c r="P711" s="9"/>
    </row>
    <row r="712">
      <c r="A712" s="6" t="s">
        <v>1982</v>
      </c>
      <c r="B712" s="6" t="s">
        <v>1983</v>
      </c>
      <c r="C712" s="6" t="s">
        <v>37</v>
      </c>
      <c r="D712" s="6" t="s">
        <v>1984</v>
      </c>
      <c r="E712" s="6" t="s">
        <v>389</v>
      </c>
      <c r="F712" s="6" t="s">
        <v>87</v>
      </c>
      <c r="G712" s="7">
        <v>0.03</v>
      </c>
      <c r="H712" s="6" t="s">
        <v>431</v>
      </c>
      <c r="I712" s="6" t="s">
        <v>20</v>
      </c>
      <c r="J712" s="6">
        <v>2019.0</v>
      </c>
      <c r="K712" s="10">
        <v>46083.0</v>
      </c>
      <c r="L712" s="6">
        <v>1.0</v>
      </c>
      <c r="M712" s="8">
        <f t="shared" si="1"/>
        <v>0.03</v>
      </c>
      <c r="N712" s="6" t="s">
        <v>374</v>
      </c>
      <c r="P712" s="9"/>
    </row>
    <row r="713">
      <c r="A713" s="6" t="s">
        <v>1985</v>
      </c>
      <c r="B713" s="6" t="s">
        <v>1986</v>
      </c>
      <c r="C713" s="6" t="s">
        <v>30</v>
      </c>
      <c r="D713" s="6" t="s">
        <v>1987</v>
      </c>
      <c r="E713" s="6" t="s">
        <v>39</v>
      </c>
      <c r="F713" s="6" t="s">
        <v>40</v>
      </c>
      <c r="G713" s="7">
        <v>0.24</v>
      </c>
      <c r="H713" s="6" t="s">
        <v>1493</v>
      </c>
      <c r="I713" s="6" t="s">
        <v>20</v>
      </c>
      <c r="J713" s="6">
        <v>2015.0</v>
      </c>
      <c r="K713" s="6" t="s">
        <v>527</v>
      </c>
      <c r="L713" s="6">
        <v>1.0</v>
      </c>
      <c r="M713" s="8">
        <f t="shared" si="1"/>
        <v>0.24</v>
      </c>
      <c r="P713" s="9"/>
    </row>
    <row r="714">
      <c r="A714" s="6" t="s">
        <v>1988</v>
      </c>
      <c r="B714" s="6" t="s">
        <v>1989</v>
      </c>
      <c r="C714" s="6" t="s">
        <v>30</v>
      </c>
      <c r="D714" s="6" t="s">
        <v>1104</v>
      </c>
      <c r="E714" s="6" t="s">
        <v>994</v>
      </c>
      <c r="F714" s="6" t="s">
        <v>26</v>
      </c>
      <c r="G714" s="7">
        <v>0.25</v>
      </c>
      <c r="H714" s="6" t="s">
        <v>324</v>
      </c>
      <c r="I714" s="6" t="s">
        <v>20</v>
      </c>
      <c r="J714" s="6">
        <v>1995.0</v>
      </c>
      <c r="K714" s="10">
        <v>46143.0</v>
      </c>
      <c r="L714" s="6">
        <v>1.0</v>
      </c>
      <c r="M714" s="8">
        <f t="shared" si="1"/>
        <v>0.25</v>
      </c>
      <c r="P714" s="9"/>
    </row>
    <row r="715">
      <c r="A715" s="6" t="s">
        <v>1988</v>
      </c>
      <c r="B715" s="6" t="s">
        <v>829</v>
      </c>
      <c r="C715" s="6" t="s">
        <v>418</v>
      </c>
      <c r="D715" s="6" t="s">
        <v>986</v>
      </c>
      <c r="E715" s="6" t="s">
        <v>994</v>
      </c>
      <c r="F715" s="6" t="s">
        <v>26</v>
      </c>
      <c r="G715" s="7">
        <v>2.99</v>
      </c>
      <c r="H715" s="6" t="s">
        <v>259</v>
      </c>
      <c r="I715" s="6" t="s">
        <v>20</v>
      </c>
      <c r="J715" s="6">
        <v>1996.0</v>
      </c>
      <c r="K715" s="10">
        <v>46143.0</v>
      </c>
      <c r="L715" s="6">
        <v>3.0</v>
      </c>
      <c r="M715" s="8">
        <f t="shared" si="1"/>
        <v>8.97</v>
      </c>
      <c r="P715" s="9"/>
    </row>
    <row r="716">
      <c r="A716" s="6" t="s">
        <v>1988</v>
      </c>
      <c r="B716" s="6" t="s">
        <v>1989</v>
      </c>
      <c r="C716" s="6" t="s">
        <v>30</v>
      </c>
      <c r="D716" s="6" t="s">
        <v>1104</v>
      </c>
      <c r="E716" s="6" t="s">
        <v>994</v>
      </c>
      <c r="F716" s="6" t="s">
        <v>26</v>
      </c>
      <c r="G716" s="7">
        <v>2.99</v>
      </c>
      <c r="H716" s="6" t="s">
        <v>453</v>
      </c>
      <c r="I716" s="6" t="s">
        <v>20</v>
      </c>
      <c r="J716" s="6">
        <v>1994.0</v>
      </c>
      <c r="K716" s="10">
        <v>46143.0</v>
      </c>
      <c r="L716" s="6">
        <v>1.0</v>
      </c>
      <c r="M716" s="8">
        <f t="shared" si="1"/>
        <v>2.99</v>
      </c>
      <c r="P716" s="9"/>
    </row>
    <row r="717">
      <c r="A717" s="6" t="s">
        <v>1990</v>
      </c>
      <c r="B717" s="6" t="s">
        <v>74</v>
      </c>
      <c r="C717" s="6" t="s">
        <v>43</v>
      </c>
      <c r="D717" s="6" t="s">
        <v>1991</v>
      </c>
      <c r="E717" s="6" t="s">
        <v>86</v>
      </c>
      <c r="F717" s="6" t="s">
        <v>87</v>
      </c>
      <c r="G717" s="7">
        <v>0.05</v>
      </c>
      <c r="H717" s="6" t="s">
        <v>444</v>
      </c>
      <c r="I717" s="6" t="s">
        <v>20</v>
      </c>
      <c r="J717" s="6">
        <v>2012.0</v>
      </c>
      <c r="L717" s="6">
        <v>1.0</v>
      </c>
      <c r="M717" s="8">
        <f t="shared" si="1"/>
        <v>0.05</v>
      </c>
      <c r="P717" s="9"/>
    </row>
    <row r="718">
      <c r="A718" s="6" t="s">
        <v>1992</v>
      </c>
      <c r="B718" s="6" t="s">
        <v>162</v>
      </c>
      <c r="C718" s="6" t="s">
        <v>43</v>
      </c>
      <c r="D718" s="6" t="s">
        <v>1993</v>
      </c>
      <c r="E718" s="6" t="s">
        <v>93</v>
      </c>
      <c r="F718" s="6" t="s">
        <v>77</v>
      </c>
      <c r="G718" s="7">
        <v>0.03</v>
      </c>
      <c r="H718" s="6" t="s">
        <v>1776</v>
      </c>
      <c r="I718" s="6" t="s">
        <v>20</v>
      </c>
      <c r="J718" s="6">
        <v>2017.0</v>
      </c>
      <c r="L718" s="6">
        <v>1.0</v>
      </c>
      <c r="M718" s="8">
        <f t="shared" si="1"/>
        <v>0.03</v>
      </c>
      <c r="P718" s="9"/>
    </row>
    <row r="719">
      <c r="A719" s="6" t="s">
        <v>1994</v>
      </c>
      <c r="B719" s="6" t="s">
        <v>74</v>
      </c>
      <c r="C719" s="6" t="s">
        <v>43</v>
      </c>
      <c r="D719" s="6" t="s">
        <v>1995</v>
      </c>
      <c r="E719" s="6" t="s">
        <v>176</v>
      </c>
      <c r="F719" s="6" t="s">
        <v>77</v>
      </c>
      <c r="G719" s="7">
        <v>0.05</v>
      </c>
      <c r="H719" s="6" t="s">
        <v>187</v>
      </c>
      <c r="I719" s="6" t="s">
        <v>20</v>
      </c>
      <c r="J719" s="6">
        <v>1995.0</v>
      </c>
      <c r="L719" s="6">
        <v>3.0</v>
      </c>
      <c r="M719" s="8">
        <f t="shared" si="1"/>
        <v>0.15</v>
      </c>
      <c r="P719" s="9"/>
    </row>
    <row r="720">
      <c r="A720" s="6" t="s">
        <v>1996</v>
      </c>
      <c r="B720" s="6" t="s">
        <v>606</v>
      </c>
      <c r="C720" s="6" t="s">
        <v>23</v>
      </c>
      <c r="D720" s="6" t="s">
        <v>1997</v>
      </c>
      <c r="E720" s="6" t="s">
        <v>1998</v>
      </c>
      <c r="F720" s="6" t="s">
        <v>77</v>
      </c>
      <c r="G720" s="7">
        <v>0.05</v>
      </c>
      <c r="H720" s="6" t="s">
        <v>780</v>
      </c>
      <c r="I720" s="6" t="s">
        <v>20</v>
      </c>
      <c r="J720" s="6">
        <v>2025.0</v>
      </c>
      <c r="L720" s="6">
        <v>1.0</v>
      </c>
      <c r="M720" s="8">
        <f t="shared" si="1"/>
        <v>0.05</v>
      </c>
      <c r="P720" s="9"/>
    </row>
    <row r="721">
      <c r="A721" s="6" t="s">
        <v>1999</v>
      </c>
      <c r="B721" s="6" t="s">
        <v>162</v>
      </c>
      <c r="C721" s="6" t="s">
        <v>43</v>
      </c>
      <c r="D721" s="6" t="s">
        <v>2000</v>
      </c>
      <c r="E721" s="6" t="s">
        <v>176</v>
      </c>
      <c r="F721" s="6" t="s">
        <v>77</v>
      </c>
      <c r="G721" s="7">
        <v>0.03</v>
      </c>
      <c r="H721" s="6" t="s">
        <v>1076</v>
      </c>
      <c r="I721" s="6" t="s">
        <v>20</v>
      </c>
      <c r="J721" s="6">
        <v>2018.0</v>
      </c>
      <c r="L721" s="6">
        <v>1.0</v>
      </c>
      <c r="M721" s="8">
        <f t="shared" si="1"/>
        <v>0.03</v>
      </c>
      <c r="P721" s="9"/>
    </row>
    <row r="722">
      <c r="A722" s="6" t="s">
        <v>2001</v>
      </c>
      <c r="B722" s="6" t="s">
        <v>219</v>
      </c>
      <c r="C722" s="6" t="s">
        <v>43</v>
      </c>
      <c r="D722" s="6" t="s">
        <v>2002</v>
      </c>
      <c r="E722" s="6" t="s">
        <v>25</v>
      </c>
      <c r="F722" s="6" t="s">
        <v>26</v>
      </c>
      <c r="G722" s="7">
        <v>0.2</v>
      </c>
      <c r="H722" s="6" t="s">
        <v>2003</v>
      </c>
      <c r="I722" s="6" t="s">
        <v>20</v>
      </c>
      <c r="J722" s="6">
        <v>2004.0</v>
      </c>
      <c r="L722" s="6">
        <v>1.0</v>
      </c>
      <c r="M722" s="8">
        <f t="shared" si="1"/>
        <v>0.2</v>
      </c>
      <c r="P722" s="9"/>
    </row>
    <row r="723">
      <c r="A723" s="6" t="s">
        <v>2004</v>
      </c>
      <c r="B723" s="6" t="s">
        <v>2005</v>
      </c>
      <c r="C723" s="6" t="s">
        <v>37</v>
      </c>
      <c r="D723" s="6" t="s">
        <v>2006</v>
      </c>
      <c r="E723" s="6" t="s">
        <v>2007</v>
      </c>
      <c r="F723" s="6" t="s">
        <v>1244</v>
      </c>
      <c r="G723" s="7">
        <v>0.12</v>
      </c>
      <c r="H723" s="6" t="s">
        <v>734</v>
      </c>
      <c r="I723" s="6" t="s">
        <v>20</v>
      </c>
      <c r="J723" s="6">
        <v>2022.0</v>
      </c>
      <c r="K723" s="10">
        <v>46114.0</v>
      </c>
      <c r="L723" s="6">
        <v>1.0</v>
      </c>
      <c r="M723" s="8">
        <f t="shared" si="1"/>
        <v>0.12</v>
      </c>
      <c r="P723" s="9"/>
    </row>
    <row r="724">
      <c r="A724" s="6" t="s">
        <v>2008</v>
      </c>
      <c r="B724" s="6" t="s">
        <v>606</v>
      </c>
      <c r="C724" s="6" t="s">
        <v>15</v>
      </c>
      <c r="D724" s="6" t="s">
        <v>2009</v>
      </c>
      <c r="E724" s="6" t="s">
        <v>2010</v>
      </c>
      <c r="F724" s="6" t="s">
        <v>40</v>
      </c>
      <c r="G724" s="7">
        <v>0.06</v>
      </c>
      <c r="H724" s="6" t="s">
        <v>130</v>
      </c>
      <c r="I724" s="6" t="s">
        <v>20</v>
      </c>
      <c r="J724" s="6">
        <v>2014.0</v>
      </c>
      <c r="L724" s="6">
        <v>1.0</v>
      </c>
      <c r="M724" s="8">
        <f t="shared" si="1"/>
        <v>0.06</v>
      </c>
      <c r="P724" s="9"/>
    </row>
    <row r="725">
      <c r="A725" s="6" t="s">
        <v>2011</v>
      </c>
      <c r="B725" s="6" t="s">
        <v>74</v>
      </c>
      <c r="C725" s="6" t="s">
        <v>43</v>
      </c>
      <c r="D725" s="6" t="s">
        <v>2012</v>
      </c>
      <c r="E725" s="6" t="s">
        <v>135</v>
      </c>
      <c r="F725" s="6" t="s">
        <v>40</v>
      </c>
      <c r="G725" s="7">
        <v>2.84</v>
      </c>
      <c r="H725" s="6" t="s">
        <v>2013</v>
      </c>
      <c r="I725" s="6" t="s">
        <v>20</v>
      </c>
      <c r="J725" s="6">
        <v>2007.0</v>
      </c>
      <c r="L725" s="6">
        <v>1.0</v>
      </c>
      <c r="M725" s="8">
        <f t="shared" si="1"/>
        <v>2.84</v>
      </c>
      <c r="P725" s="9"/>
    </row>
    <row r="726">
      <c r="A726" s="6" t="s">
        <v>2014</v>
      </c>
      <c r="B726" s="6" t="s">
        <v>192</v>
      </c>
      <c r="C726" s="6" t="s">
        <v>37</v>
      </c>
      <c r="D726" s="6" t="s">
        <v>2015</v>
      </c>
      <c r="E726" s="6" t="s">
        <v>215</v>
      </c>
      <c r="F726" s="6" t="s">
        <v>26</v>
      </c>
      <c r="G726" s="7">
        <v>0.23</v>
      </c>
      <c r="H726" s="6" t="s">
        <v>471</v>
      </c>
      <c r="I726" s="6" t="s">
        <v>20</v>
      </c>
      <c r="J726" s="6">
        <v>2026.0</v>
      </c>
      <c r="L726" s="6">
        <v>1.0</v>
      </c>
      <c r="M726" s="8">
        <f t="shared" si="1"/>
        <v>0.23</v>
      </c>
      <c r="P726" s="9"/>
    </row>
    <row r="727">
      <c r="A727" s="6" t="s">
        <v>2016</v>
      </c>
      <c r="B727" s="6" t="s">
        <v>2017</v>
      </c>
      <c r="C727" s="6" t="s">
        <v>377</v>
      </c>
      <c r="D727" s="6" t="s">
        <v>2018</v>
      </c>
      <c r="E727" s="6" t="s">
        <v>329</v>
      </c>
      <c r="F727" s="6" t="s">
        <v>112</v>
      </c>
      <c r="G727" s="7">
        <v>0.1</v>
      </c>
      <c r="H727" s="6" t="s">
        <v>471</v>
      </c>
      <c r="I727" s="6" t="s">
        <v>20</v>
      </c>
      <c r="J727" s="6">
        <v>2026.0</v>
      </c>
      <c r="K727" s="10">
        <v>46057.0</v>
      </c>
      <c r="L727" s="6">
        <v>1.0</v>
      </c>
      <c r="M727" s="8">
        <f t="shared" si="1"/>
        <v>0.1</v>
      </c>
      <c r="P727" s="9"/>
    </row>
    <row r="728">
      <c r="A728" s="6" t="s">
        <v>2019</v>
      </c>
      <c r="B728" s="6" t="s">
        <v>685</v>
      </c>
      <c r="C728" s="6" t="s">
        <v>43</v>
      </c>
      <c r="D728" s="6" t="s">
        <v>2020</v>
      </c>
      <c r="E728" s="6" t="s">
        <v>135</v>
      </c>
      <c r="F728" s="6" t="s">
        <v>40</v>
      </c>
      <c r="G728" s="7">
        <v>0.32</v>
      </c>
      <c r="H728" s="6" t="s">
        <v>1287</v>
      </c>
      <c r="I728" s="6" t="s">
        <v>20</v>
      </c>
      <c r="J728" s="6">
        <v>2021.0</v>
      </c>
      <c r="K728" s="10">
        <v>46082.0</v>
      </c>
      <c r="L728" s="6">
        <v>1.0</v>
      </c>
      <c r="M728" s="8">
        <f t="shared" si="1"/>
        <v>0.32</v>
      </c>
      <c r="P728" s="9"/>
    </row>
    <row r="729">
      <c r="A729" s="6" t="s">
        <v>2019</v>
      </c>
      <c r="B729" s="6" t="s">
        <v>685</v>
      </c>
      <c r="C729" s="6" t="s">
        <v>43</v>
      </c>
      <c r="D729" s="6" t="s">
        <v>2020</v>
      </c>
      <c r="E729" s="6" t="s">
        <v>135</v>
      </c>
      <c r="F729" s="6" t="s">
        <v>40</v>
      </c>
      <c r="G729" s="7">
        <v>0.49</v>
      </c>
      <c r="H729" s="6" t="s">
        <v>651</v>
      </c>
      <c r="I729" s="6" t="s">
        <v>20</v>
      </c>
      <c r="J729" s="6">
        <v>2022.0</v>
      </c>
      <c r="K729" s="10">
        <v>46082.0</v>
      </c>
      <c r="L729" s="6">
        <v>2.0</v>
      </c>
      <c r="M729" s="8">
        <f t="shared" si="1"/>
        <v>0.98</v>
      </c>
      <c r="P729" s="9"/>
    </row>
    <row r="730">
      <c r="A730" s="6" t="s">
        <v>2021</v>
      </c>
      <c r="B730" s="6" t="s">
        <v>2022</v>
      </c>
      <c r="C730" s="6" t="s">
        <v>377</v>
      </c>
      <c r="D730" s="6" t="s">
        <v>2023</v>
      </c>
      <c r="E730" s="6" t="s">
        <v>248</v>
      </c>
      <c r="F730" s="6" t="s">
        <v>77</v>
      </c>
      <c r="G730" s="7">
        <v>0.09</v>
      </c>
      <c r="H730" s="6" t="s">
        <v>471</v>
      </c>
      <c r="I730" s="6" t="s">
        <v>20</v>
      </c>
      <c r="J730" s="6">
        <v>2026.0</v>
      </c>
      <c r="K730" s="10">
        <v>46084.0</v>
      </c>
      <c r="L730" s="6">
        <v>1.0</v>
      </c>
      <c r="M730" s="8">
        <f t="shared" si="1"/>
        <v>0.09</v>
      </c>
      <c r="P730" s="9"/>
    </row>
    <row r="731">
      <c r="A731" s="6" t="s">
        <v>2021</v>
      </c>
      <c r="B731" s="6" t="s">
        <v>2022</v>
      </c>
      <c r="C731" s="6" t="s">
        <v>377</v>
      </c>
      <c r="D731" s="6" t="s">
        <v>2023</v>
      </c>
      <c r="E731" s="6" t="s">
        <v>248</v>
      </c>
      <c r="F731" s="6" t="s">
        <v>77</v>
      </c>
      <c r="G731" s="7">
        <v>0.14</v>
      </c>
      <c r="H731" s="6" t="s">
        <v>471</v>
      </c>
      <c r="I731" s="6" t="s">
        <v>45</v>
      </c>
      <c r="J731" s="6">
        <v>2026.0</v>
      </c>
      <c r="K731" s="10">
        <v>46084.0</v>
      </c>
      <c r="L731" s="6">
        <v>2.0</v>
      </c>
      <c r="M731" s="8">
        <f t="shared" si="1"/>
        <v>0.28</v>
      </c>
      <c r="P731" s="9"/>
    </row>
    <row r="732">
      <c r="A732" s="6" t="s">
        <v>2024</v>
      </c>
      <c r="B732" s="6" t="s">
        <v>174</v>
      </c>
      <c r="C732" s="6" t="s">
        <v>43</v>
      </c>
      <c r="D732" s="6" t="s">
        <v>2025</v>
      </c>
      <c r="E732" s="6" t="s">
        <v>164</v>
      </c>
      <c r="F732" s="6" t="s">
        <v>112</v>
      </c>
      <c r="G732" s="7">
        <v>0.09</v>
      </c>
      <c r="H732" s="6" t="s">
        <v>89</v>
      </c>
      <c r="I732" s="6" t="s">
        <v>20</v>
      </c>
      <c r="J732" s="6">
        <v>2021.0</v>
      </c>
      <c r="K732" s="10">
        <v>46055.0</v>
      </c>
      <c r="L732" s="6">
        <v>1.0</v>
      </c>
      <c r="M732" s="8">
        <f t="shared" si="1"/>
        <v>0.09</v>
      </c>
      <c r="P732" s="9"/>
    </row>
    <row r="733">
      <c r="A733" s="6" t="s">
        <v>2026</v>
      </c>
      <c r="B733" s="6" t="s">
        <v>174</v>
      </c>
      <c r="C733" s="6" t="s">
        <v>43</v>
      </c>
      <c r="D733" s="6" t="s">
        <v>2027</v>
      </c>
      <c r="E733" s="6" t="s">
        <v>579</v>
      </c>
      <c r="F733" s="6" t="s">
        <v>112</v>
      </c>
      <c r="G733" s="7">
        <v>0.08</v>
      </c>
      <c r="H733" s="6" t="s">
        <v>1300</v>
      </c>
      <c r="I733" s="6" t="s">
        <v>20</v>
      </c>
      <c r="J733" s="6">
        <v>2021.0</v>
      </c>
      <c r="K733" s="10">
        <v>46114.0</v>
      </c>
      <c r="L733" s="6">
        <v>1.0</v>
      </c>
      <c r="M733" s="8">
        <f t="shared" si="1"/>
        <v>0.08</v>
      </c>
      <c r="P733" s="9"/>
    </row>
    <row r="734">
      <c r="A734" s="6" t="s">
        <v>2028</v>
      </c>
      <c r="B734" s="6" t="s">
        <v>102</v>
      </c>
      <c r="C734" s="6" t="s">
        <v>43</v>
      </c>
      <c r="D734" s="6" t="s">
        <v>2029</v>
      </c>
      <c r="E734" s="6" t="s">
        <v>2030</v>
      </c>
      <c r="F734" s="6" t="s">
        <v>40</v>
      </c>
      <c r="G734" s="7">
        <v>0.06</v>
      </c>
      <c r="H734" s="6" t="s">
        <v>283</v>
      </c>
      <c r="I734" s="6" t="s">
        <v>20</v>
      </c>
      <c r="J734" s="6">
        <v>2013.0</v>
      </c>
      <c r="K734" s="10">
        <v>46114.0</v>
      </c>
      <c r="L734" s="6">
        <v>1.0</v>
      </c>
      <c r="M734" s="8">
        <f t="shared" si="1"/>
        <v>0.06</v>
      </c>
      <c r="P734" s="9"/>
    </row>
    <row r="735">
      <c r="A735" s="6" t="s">
        <v>2031</v>
      </c>
      <c r="B735" s="6" t="s">
        <v>119</v>
      </c>
      <c r="C735" s="6" t="s">
        <v>204</v>
      </c>
      <c r="D735" s="6" t="s">
        <v>2032</v>
      </c>
      <c r="E735" s="6" t="s">
        <v>76</v>
      </c>
      <c r="F735" s="6" t="s">
        <v>77</v>
      </c>
      <c r="G735" s="7">
        <v>0.09</v>
      </c>
      <c r="H735" s="6" t="s">
        <v>2033</v>
      </c>
      <c r="I735" s="6" t="s">
        <v>20</v>
      </c>
      <c r="J735" s="6">
        <v>2019.0</v>
      </c>
      <c r="L735" s="6">
        <v>4.0</v>
      </c>
      <c r="M735" s="8">
        <f t="shared" si="1"/>
        <v>0.36</v>
      </c>
      <c r="P735" s="9"/>
    </row>
    <row r="736">
      <c r="A736" s="6" t="s">
        <v>2034</v>
      </c>
      <c r="B736" s="6" t="s">
        <v>494</v>
      </c>
      <c r="C736" s="6" t="s">
        <v>43</v>
      </c>
      <c r="D736" s="6" t="s">
        <v>2035</v>
      </c>
      <c r="E736" s="6" t="s">
        <v>117</v>
      </c>
      <c r="F736" s="6" t="s">
        <v>77</v>
      </c>
      <c r="G736" s="7">
        <v>0.09</v>
      </c>
      <c r="H736" s="6" t="s">
        <v>582</v>
      </c>
      <c r="I736" s="6" t="s">
        <v>20</v>
      </c>
      <c r="J736" s="6">
        <v>2023.0</v>
      </c>
      <c r="L736" s="6">
        <v>1.0</v>
      </c>
      <c r="M736" s="8">
        <f t="shared" si="1"/>
        <v>0.09</v>
      </c>
      <c r="P736" s="9"/>
    </row>
    <row r="737">
      <c r="A737" s="6" t="s">
        <v>2036</v>
      </c>
      <c r="B737" s="6" t="s">
        <v>1919</v>
      </c>
      <c r="C737" s="6" t="s">
        <v>43</v>
      </c>
      <c r="D737" s="6" t="s">
        <v>2037</v>
      </c>
      <c r="E737" s="6" t="s">
        <v>86</v>
      </c>
      <c r="F737" s="6" t="s">
        <v>87</v>
      </c>
      <c r="G737" s="7">
        <v>0.08</v>
      </c>
      <c r="H737" s="6" t="s">
        <v>160</v>
      </c>
      <c r="I737" s="6" t="s">
        <v>20</v>
      </c>
      <c r="J737" s="6">
        <v>2024.0</v>
      </c>
      <c r="K737" s="10">
        <v>46082.0</v>
      </c>
      <c r="L737" s="6">
        <v>1.0</v>
      </c>
      <c r="M737" s="8">
        <f t="shared" si="1"/>
        <v>0.08</v>
      </c>
      <c r="P737" s="9"/>
    </row>
    <row r="738">
      <c r="A738" s="6" t="s">
        <v>2038</v>
      </c>
      <c r="B738" s="6" t="s">
        <v>2039</v>
      </c>
      <c r="C738" s="6" t="s">
        <v>309</v>
      </c>
      <c r="D738" s="6" t="s">
        <v>2040</v>
      </c>
      <c r="E738" s="6" t="s">
        <v>248</v>
      </c>
      <c r="F738" s="6" t="s">
        <v>77</v>
      </c>
      <c r="G738" s="7">
        <v>0.25</v>
      </c>
      <c r="H738" s="6" t="s">
        <v>2041</v>
      </c>
      <c r="I738" s="6" t="s">
        <v>20</v>
      </c>
      <c r="J738" s="6">
        <v>1998.0</v>
      </c>
      <c r="K738" s="10">
        <v>46084.0</v>
      </c>
      <c r="L738" s="6">
        <v>2.0</v>
      </c>
      <c r="M738" s="8">
        <f t="shared" si="1"/>
        <v>0.5</v>
      </c>
      <c r="P738" s="9"/>
    </row>
    <row r="739">
      <c r="A739" s="6" t="s">
        <v>2042</v>
      </c>
      <c r="B739" s="6" t="s">
        <v>462</v>
      </c>
      <c r="C739" s="6" t="s">
        <v>43</v>
      </c>
      <c r="D739" s="6" t="s">
        <v>2043</v>
      </c>
      <c r="E739" s="6" t="s">
        <v>117</v>
      </c>
      <c r="F739" s="6" t="s">
        <v>77</v>
      </c>
      <c r="G739" s="7">
        <v>0.06</v>
      </c>
      <c r="H739" s="6" t="s">
        <v>34</v>
      </c>
      <c r="I739" s="6" t="s">
        <v>20</v>
      </c>
      <c r="J739" s="6">
        <v>2025.0</v>
      </c>
      <c r="L739" s="6">
        <v>2.0</v>
      </c>
      <c r="M739" s="8">
        <f t="shared" si="1"/>
        <v>0.12</v>
      </c>
      <c r="P739" s="9"/>
    </row>
    <row r="740">
      <c r="A740" s="6" t="s">
        <v>2044</v>
      </c>
      <c r="B740" s="6" t="s">
        <v>462</v>
      </c>
      <c r="C740" s="6" t="s">
        <v>30</v>
      </c>
      <c r="D740" s="6" t="s">
        <v>2045</v>
      </c>
      <c r="E740" s="6" t="s">
        <v>2046</v>
      </c>
      <c r="F740" s="6" t="s">
        <v>71</v>
      </c>
      <c r="G740" s="7">
        <v>0.5</v>
      </c>
      <c r="H740" s="6" t="s">
        <v>83</v>
      </c>
      <c r="I740" s="6" t="s">
        <v>20</v>
      </c>
      <c r="J740" s="6">
        <v>1995.0</v>
      </c>
      <c r="L740" s="6">
        <v>3.0</v>
      </c>
      <c r="M740" s="8">
        <f t="shared" si="1"/>
        <v>1.5</v>
      </c>
      <c r="P740" s="9"/>
    </row>
    <row r="741">
      <c r="A741" s="6" t="s">
        <v>2044</v>
      </c>
      <c r="B741" s="6" t="s">
        <v>462</v>
      </c>
      <c r="C741" s="6" t="s">
        <v>30</v>
      </c>
      <c r="D741" s="6" t="s">
        <v>2045</v>
      </c>
      <c r="E741" s="6" t="s">
        <v>2046</v>
      </c>
      <c r="F741" s="6" t="s">
        <v>71</v>
      </c>
      <c r="G741" s="7">
        <v>0.99</v>
      </c>
      <c r="H741" s="6" t="s">
        <v>1064</v>
      </c>
      <c r="I741" s="6" t="s">
        <v>20</v>
      </c>
      <c r="J741" s="6">
        <v>1995.0</v>
      </c>
      <c r="L741" s="6">
        <v>1.0</v>
      </c>
      <c r="M741" s="8">
        <f t="shared" si="1"/>
        <v>0.99</v>
      </c>
      <c r="P741" s="9"/>
    </row>
    <row r="742">
      <c r="A742" s="6" t="s">
        <v>2047</v>
      </c>
      <c r="B742" s="6" t="s">
        <v>138</v>
      </c>
      <c r="C742" s="6" t="s">
        <v>37</v>
      </c>
      <c r="D742" s="6" t="s">
        <v>2048</v>
      </c>
      <c r="E742" s="6" t="s">
        <v>76</v>
      </c>
      <c r="F742" s="6" t="s">
        <v>77</v>
      </c>
      <c r="G742" s="7">
        <v>0.2</v>
      </c>
      <c r="H742" s="6" t="s">
        <v>136</v>
      </c>
      <c r="I742" s="6" t="s">
        <v>20</v>
      </c>
      <c r="J742" s="6">
        <v>2026.0</v>
      </c>
      <c r="L742" s="6">
        <v>1.0</v>
      </c>
      <c r="M742" s="8">
        <f t="shared" si="1"/>
        <v>0.2</v>
      </c>
      <c r="P742" s="9"/>
    </row>
    <row r="743">
      <c r="A743" s="6" t="s">
        <v>2049</v>
      </c>
      <c r="B743" s="6" t="s">
        <v>2050</v>
      </c>
      <c r="C743" s="6" t="s">
        <v>37</v>
      </c>
      <c r="D743" s="6" t="s">
        <v>2051</v>
      </c>
      <c r="E743" s="6" t="s">
        <v>2052</v>
      </c>
      <c r="F743" s="6" t="s">
        <v>77</v>
      </c>
      <c r="G743" s="7">
        <v>1.5</v>
      </c>
      <c r="H743" s="6" t="s">
        <v>2053</v>
      </c>
      <c r="I743" s="6" t="s">
        <v>45</v>
      </c>
      <c r="J743" s="6">
        <v>2023.0</v>
      </c>
      <c r="K743" s="10">
        <v>46117.0</v>
      </c>
      <c r="L743" s="6">
        <v>1.0</v>
      </c>
      <c r="M743" s="8">
        <f t="shared" si="1"/>
        <v>1.5</v>
      </c>
      <c r="P743" s="9"/>
    </row>
    <row r="744">
      <c r="A744" s="6" t="s">
        <v>2054</v>
      </c>
      <c r="B744" s="6" t="s">
        <v>162</v>
      </c>
      <c r="C744" s="6" t="s">
        <v>43</v>
      </c>
      <c r="D744" s="6" t="s">
        <v>2055</v>
      </c>
      <c r="E744" s="6" t="s">
        <v>82</v>
      </c>
      <c r="F744" s="6" t="s">
        <v>77</v>
      </c>
      <c r="G744" s="7">
        <v>0.06</v>
      </c>
      <c r="H744" s="6" t="s">
        <v>1148</v>
      </c>
      <c r="I744" s="6" t="s">
        <v>20</v>
      </c>
      <c r="J744" s="6">
        <v>2012.0</v>
      </c>
      <c r="L744" s="6">
        <v>1.0</v>
      </c>
      <c r="M744" s="8">
        <f t="shared" si="1"/>
        <v>0.06</v>
      </c>
      <c r="P744" s="9"/>
    </row>
    <row r="745">
      <c r="A745" s="6" t="s">
        <v>2056</v>
      </c>
      <c r="B745" s="6" t="s">
        <v>138</v>
      </c>
      <c r="C745" s="6" t="s">
        <v>30</v>
      </c>
      <c r="D745" s="6" t="s">
        <v>2057</v>
      </c>
      <c r="E745" s="6" t="s">
        <v>117</v>
      </c>
      <c r="F745" s="6" t="s">
        <v>77</v>
      </c>
      <c r="G745" s="7">
        <v>0.5</v>
      </c>
      <c r="H745" s="6" t="s">
        <v>313</v>
      </c>
      <c r="I745" s="6" t="s">
        <v>20</v>
      </c>
      <c r="J745" s="6">
        <v>1995.0</v>
      </c>
      <c r="L745" s="6">
        <v>1.0</v>
      </c>
      <c r="M745" s="8">
        <f t="shared" si="1"/>
        <v>0.5</v>
      </c>
      <c r="P745" s="9"/>
    </row>
    <row r="746">
      <c r="A746" s="6" t="s">
        <v>2058</v>
      </c>
      <c r="B746" s="6" t="s">
        <v>1677</v>
      </c>
      <c r="C746" s="6" t="s">
        <v>30</v>
      </c>
      <c r="D746" s="6" t="s">
        <v>2059</v>
      </c>
      <c r="E746" s="6" t="s">
        <v>2060</v>
      </c>
      <c r="F746" s="6" t="s">
        <v>159</v>
      </c>
      <c r="G746" s="7">
        <v>0.25</v>
      </c>
      <c r="H746" s="6" t="s">
        <v>228</v>
      </c>
      <c r="I746" s="6" t="s">
        <v>20</v>
      </c>
      <c r="J746" s="6">
        <v>2025.0</v>
      </c>
      <c r="K746" s="10">
        <v>46179.0</v>
      </c>
      <c r="L746" s="6">
        <v>1.0</v>
      </c>
      <c r="M746" s="8">
        <f t="shared" si="1"/>
        <v>0.25</v>
      </c>
      <c r="P746" s="9"/>
    </row>
    <row r="747">
      <c r="A747" s="6" t="s">
        <v>2061</v>
      </c>
      <c r="B747" s="6" t="s">
        <v>74</v>
      </c>
      <c r="C747" s="6" t="s">
        <v>43</v>
      </c>
      <c r="D747" s="6" t="s">
        <v>2062</v>
      </c>
      <c r="E747" s="6" t="s">
        <v>176</v>
      </c>
      <c r="F747" s="6" t="s">
        <v>77</v>
      </c>
      <c r="G747" s="7">
        <v>0.15</v>
      </c>
      <c r="H747" s="6" t="s">
        <v>297</v>
      </c>
      <c r="I747" s="6" t="s">
        <v>20</v>
      </c>
      <c r="J747" s="6">
        <v>2022.0</v>
      </c>
      <c r="L747" s="6">
        <v>1.0</v>
      </c>
      <c r="M747" s="8">
        <f t="shared" si="1"/>
        <v>0.15</v>
      </c>
      <c r="P747" s="9"/>
    </row>
    <row r="748">
      <c r="A748" s="6" t="s">
        <v>2063</v>
      </c>
      <c r="B748" s="6" t="s">
        <v>74</v>
      </c>
      <c r="C748" s="6" t="s">
        <v>43</v>
      </c>
      <c r="D748" s="6" t="s">
        <v>2064</v>
      </c>
      <c r="E748" s="6" t="s">
        <v>107</v>
      </c>
      <c r="F748" s="6" t="s">
        <v>18</v>
      </c>
      <c r="G748" s="7">
        <v>0.25</v>
      </c>
      <c r="H748" s="6" t="s">
        <v>238</v>
      </c>
      <c r="I748" s="6" t="s">
        <v>20</v>
      </c>
      <c r="J748" s="6">
        <v>2024.0</v>
      </c>
      <c r="L748" s="6">
        <v>1.0</v>
      </c>
      <c r="M748" s="8">
        <f t="shared" si="1"/>
        <v>0.25</v>
      </c>
      <c r="P748" s="9"/>
    </row>
    <row r="749">
      <c r="A749" s="6" t="s">
        <v>2065</v>
      </c>
      <c r="B749" s="6" t="s">
        <v>162</v>
      </c>
      <c r="C749" s="6" t="s">
        <v>43</v>
      </c>
      <c r="D749" s="6" t="s">
        <v>2066</v>
      </c>
      <c r="E749" s="6" t="s">
        <v>224</v>
      </c>
      <c r="F749" s="6" t="s">
        <v>18</v>
      </c>
      <c r="G749" s="7">
        <v>0.25</v>
      </c>
      <c r="H749" s="6" t="s">
        <v>363</v>
      </c>
      <c r="I749" s="6" t="s">
        <v>45</v>
      </c>
      <c r="J749" s="6">
        <v>2024.0</v>
      </c>
      <c r="L749" s="6">
        <v>1.0</v>
      </c>
      <c r="M749" s="8">
        <f t="shared" si="1"/>
        <v>0.25</v>
      </c>
      <c r="P749" s="9"/>
    </row>
    <row r="750">
      <c r="A750" s="6" t="s">
        <v>2065</v>
      </c>
      <c r="B750" s="6" t="s">
        <v>162</v>
      </c>
      <c r="C750" s="6" t="s">
        <v>43</v>
      </c>
      <c r="D750" s="6" t="s">
        <v>2066</v>
      </c>
      <c r="E750" s="6" t="s">
        <v>224</v>
      </c>
      <c r="F750" s="6" t="s">
        <v>18</v>
      </c>
      <c r="G750" s="7">
        <v>0.08</v>
      </c>
      <c r="H750" s="6" t="s">
        <v>363</v>
      </c>
      <c r="I750" s="6" t="s">
        <v>20</v>
      </c>
      <c r="J750" s="6">
        <v>2024.0</v>
      </c>
      <c r="L750" s="6">
        <v>1.0</v>
      </c>
      <c r="M750" s="8">
        <f t="shared" si="1"/>
        <v>0.08</v>
      </c>
      <c r="P750" s="9"/>
    </row>
    <row r="751">
      <c r="A751" s="6" t="s">
        <v>2067</v>
      </c>
      <c r="B751" s="6" t="s">
        <v>162</v>
      </c>
      <c r="C751" s="6" t="s">
        <v>43</v>
      </c>
      <c r="D751" s="6" t="s">
        <v>2068</v>
      </c>
      <c r="E751" s="6" t="s">
        <v>224</v>
      </c>
      <c r="F751" s="6" t="s">
        <v>18</v>
      </c>
      <c r="G751" s="7">
        <v>0.43</v>
      </c>
      <c r="H751" s="6" t="s">
        <v>270</v>
      </c>
      <c r="I751" s="6" t="s">
        <v>20</v>
      </c>
      <c r="J751" s="6">
        <v>2022.0</v>
      </c>
      <c r="L751" s="6">
        <v>1.0</v>
      </c>
      <c r="M751" s="8">
        <f t="shared" si="1"/>
        <v>0.43</v>
      </c>
      <c r="P751" s="9"/>
    </row>
    <row r="752">
      <c r="A752" s="6" t="s">
        <v>2067</v>
      </c>
      <c r="B752" s="6" t="s">
        <v>162</v>
      </c>
      <c r="C752" s="6" t="s">
        <v>37</v>
      </c>
      <c r="D752" s="6" t="s">
        <v>2068</v>
      </c>
      <c r="E752" s="6" t="s">
        <v>224</v>
      </c>
      <c r="F752" s="6" t="s">
        <v>18</v>
      </c>
      <c r="G752" s="7">
        <v>0.4</v>
      </c>
      <c r="H752" s="6" t="s">
        <v>363</v>
      </c>
      <c r="I752" s="6" t="s">
        <v>20</v>
      </c>
      <c r="J752" s="6">
        <v>2024.0</v>
      </c>
      <c r="L752" s="6">
        <v>1.0</v>
      </c>
      <c r="M752" s="8">
        <f t="shared" si="1"/>
        <v>0.4</v>
      </c>
      <c r="P752" s="9"/>
    </row>
    <row r="753">
      <c r="A753" s="6" t="s">
        <v>2069</v>
      </c>
      <c r="B753" s="6" t="s">
        <v>2070</v>
      </c>
      <c r="C753" s="6" t="s">
        <v>43</v>
      </c>
      <c r="D753" s="6" t="s">
        <v>2071</v>
      </c>
      <c r="E753" s="6" t="s">
        <v>237</v>
      </c>
      <c r="F753" s="6" t="s">
        <v>18</v>
      </c>
      <c r="G753" s="7">
        <v>0.05</v>
      </c>
      <c r="H753" s="6" t="s">
        <v>373</v>
      </c>
      <c r="I753" s="6" t="s">
        <v>20</v>
      </c>
      <c r="J753" s="6">
        <v>2015.0</v>
      </c>
      <c r="K753" s="10">
        <v>46179.0</v>
      </c>
      <c r="L753" s="6">
        <v>1.0</v>
      </c>
      <c r="M753" s="8">
        <f t="shared" si="1"/>
        <v>0.05</v>
      </c>
      <c r="P753" s="9"/>
    </row>
    <row r="754">
      <c r="A754" s="6" t="s">
        <v>2072</v>
      </c>
      <c r="B754" s="6" t="s">
        <v>2073</v>
      </c>
      <c r="C754" s="6" t="s">
        <v>43</v>
      </c>
      <c r="D754" s="6" t="s">
        <v>2074</v>
      </c>
      <c r="E754" s="6" t="s">
        <v>176</v>
      </c>
      <c r="F754" s="6" t="s">
        <v>77</v>
      </c>
      <c r="G754" s="7">
        <v>0.06</v>
      </c>
      <c r="H754" s="6" t="s">
        <v>410</v>
      </c>
      <c r="I754" s="6" t="s">
        <v>20</v>
      </c>
      <c r="J754" s="6">
        <v>2021.0</v>
      </c>
      <c r="K754" s="10">
        <v>46055.0</v>
      </c>
      <c r="L754" s="6">
        <v>1.0</v>
      </c>
      <c r="M754" s="8">
        <f t="shared" si="1"/>
        <v>0.06</v>
      </c>
      <c r="N754" s="6" t="s">
        <v>374</v>
      </c>
      <c r="P754" s="9"/>
    </row>
    <row r="755">
      <c r="A755" s="6" t="s">
        <v>2075</v>
      </c>
      <c r="B755" s="6" t="s">
        <v>2076</v>
      </c>
      <c r="C755" s="6" t="s">
        <v>37</v>
      </c>
      <c r="D755" s="6" t="s">
        <v>2077</v>
      </c>
      <c r="E755" s="6" t="s">
        <v>98</v>
      </c>
      <c r="F755" s="6" t="s">
        <v>18</v>
      </c>
      <c r="G755" s="7">
        <v>0.09</v>
      </c>
      <c r="H755" s="6" t="s">
        <v>160</v>
      </c>
      <c r="I755" s="6" t="s">
        <v>20</v>
      </c>
      <c r="J755" s="6">
        <v>2024.0</v>
      </c>
      <c r="K755" s="10">
        <v>46114.0</v>
      </c>
      <c r="L755" s="6">
        <v>1.0</v>
      </c>
      <c r="M755" s="8">
        <f t="shared" si="1"/>
        <v>0.09</v>
      </c>
      <c r="P755" s="9"/>
    </row>
    <row r="756">
      <c r="A756" s="6" t="s">
        <v>2078</v>
      </c>
      <c r="B756" s="6" t="s">
        <v>2079</v>
      </c>
      <c r="C756" s="6" t="s">
        <v>43</v>
      </c>
      <c r="D756" s="6" t="s">
        <v>2080</v>
      </c>
      <c r="E756" s="6" t="s">
        <v>164</v>
      </c>
      <c r="F756" s="6" t="s">
        <v>112</v>
      </c>
      <c r="G756" s="7">
        <v>0.03</v>
      </c>
      <c r="H756" s="6" t="s">
        <v>709</v>
      </c>
      <c r="I756" s="6" t="s">
        <v>20</v>
      </c>
      <c r="J756" s="6">
        <v>2017.0</v>
      </c>
      <c r="K756" s="10">
        <v>46055.0</v>
      </c>
      <c r="L756" s="6">
        <v>1.0</v>
      </c>
      <c r="M756" s="8">
        <f t="shared" si="1"/>
        <v>0.03</v>
      </c>
      <c r="P756" s="9"/>
    </row>
    <row r="757">
      <c r="A757" s="6" t="s">
        <v>2081</v>
      </c>
      <c r="B757" s="6" t="s">
        <v>854</v>
      </c>
      <c r="C757" s="6" t="s">
        <v>43</v>
      </c>
      <c r="D757" s="6" t="s">
        <v>2082</v>
      </c>
      <c r="E757" s="6" t="s">
        <v>1752</v>
      </c>
      <c r="F757" s="6" t="s">
        <v>40</v>
      </c>
      <c r="G757" s="7">
        <v>0.05</v>
      </c>
      <c r="H757" s="6" t="s">
        <v>238</v>
      </c>
      <c r="I757" s="6" t="s">
        <v>20</v>
      </c>
      <c r="J757" s="6">
        <v>2024.0</v>
      </c>
      <c r="K757" s="10">
        <v>46085.0</v>
      </c>
      <c r="L757" s="6">
        <v>1.0</v>
      </c>
      <c r="M757" s="8">
        <f t="shared" si="1"/>
        <v>0.05</v>
      </c>
      <c r="P757" s="9"/>
    </row>
    <row r="758">
      <c r="A758" s="6" t="s">
        <v>2083</v>
      </c>
      <c r="B758" s="6" t="s">
        <v>2084</v>
      </c>
      <c r="C758" s="6" t="s">
        <v>43</v>
      </c>
      <c r="E758" s="6" t="s">
        <v>86</v>
      </c>
      <c r="F758" s="6" t="s">
        <v>87</v>
      </c>
      <c r="G758" s="7">
        <v>0.03</v>
      </c>
      <c r="H758" s="6" t="s">
        <v>1856</v>
      </c>
      <c r="I758" s="6" t="s">
        <v>20</v>
      </c>
      <c r="J758" s="6">
        <v>2017.0</v>
      </c>
      <c r="K758" s="10">
        <v>46055.0</v>
      </c>
      <c r="L758" s="6">
        <v>3.0</v>
      </c>
      <c r="M758" s="8">
        <f t="shared" si="1"/>
        <v>0.09</v>
      </c>
      <c r="P758" s="9"/>
    </row>
    <row r="759">
      <c r="A759" s="6" t="s">
        <v>2085</v>
      </c>
      <c r="B759" s="6" t="s">
        <v>762</v>
      </c>
      <c r="C759" s="6" t="s">
        <v>37</v>
      </c>
      <c r="D759" s="6" t="s">
        <v>2086</v>
      </c>
      <c r="E759" s="6" t="s">
        <v>57</v>
      </c>
      <c r="F759" s="6" t="s">
        <v>40</v>
      </c>
      <c r="G759" s="7">
        <v>0.2</v>
      </c>
      <c r="H759" s="6" t="s">
        <v>2087</v>
      </c>
      <c r="I759" s="6" t="s">
        <v>20</v>
      </c>
      <c r="J759" s="6">
        <v>2000.0</v>
      </c>
      <c r="K759" s="10">
        <v>46055.0</v>
      </c>
      <c r="L759" s="6">
        <v>1.0</v>
      </c>
      <c r="M759" s="8">
        <f t="shared" si="1"/>
        <v>0.2</v>
      </c>
      <c r="P759" s="9"/>
    </row>
    <row r="760">
      <c r="A760" s="6" t="s">
        <v>2088</v>
      </c>
      <c r="B760" s="6" t="s">
        <v>1174</v>
      </c>
      <c r="C760" s="6" t="s">
        <v>37</v>
      </c>
      <c r="D760" s="6" t="s">
        <v>2089</v>
      </c>
      <c r="E760" s="6" t="s">
        <v>2090</v>
      </c>
      <c r="F760" s="6" t="s">
        <v>77</v>
      </c>
      <c r="G760" s="7">
        <v>0.15</v>
      </c>
      <c r="H760" s="6" t="s">
        <v>475</v>
      </c>
      <c r="I760" s="6" t="s">
        <v>20</v>
      </c>
      <c r="J760" s="6">
        <v>2024.0</v>
      </c>
      <c r="L760" s="6">
        <v>2.0</v>
      </c>
      <c r="M760" s="8">
        <f t="shared" si="1"/>
        <v>0.3</v>
      </c>
      <c r="P760" s="9"/>
    </row>
    <row r="761">
      <c r="A761" s="6" t="s">
        <v>2091</v>
      </c>
      <c r="B761" s="6" t="s">
        <v>606</v>
      </c>
      <c r="C761" s="6" t="s">
        <v>15</v>
      </c>
      <c r="D761" s="6" t="s">
        <v>2092</v>
      </c>
      <c r="E761" s="6" t="s">
        <v>659</v>
      </c>
      <c r="F761" s="6" t="s">
        <v>18</v>
      </c>
      <c r="G761" s="7">
        <v>0.21</v>
      </c>
      <c r="H761" s="6" t="s">
        <v>19</v>
      </c>
      <c r="I761" s="6" t="s">
        <v>20</v>
      </c>
      <c r="J761" s="6">
        <v>2023.0</v>
      </c>
      <c r="L761" s="6">
        <v>1.0</v>
      </c>
      <c r="M761" s="8">
        <f t="shared" si="1"/>
        <v>0.21</v>
      </c>
      <c r="P761" s="9"/>
    </row>
    <row r="762">
      <c r="A762" s="6" t="s">
        <v>2093</v>
      </c>
      <c r="B762" s="6" t="s">
        <v>74</v>
      </c>
      <c r="C762" s="6" t="s">
        <v>43</v>
      </c>
      <c r="D762" s="6" t="s">
        <v>2094</v>
      </c>
      <c r="E762" s="6" t="s">
        <v>107</v>
      </c>
      <c r="F762" s="6" t="s">
        <v>18</v>
      </c>
      <c r="G762" s="7">
        <v>0.43</v>
      </c>
      <c r="H762" s="6" t="s">
        <v>165</v>
      </c>
      <c r="I762" s="6" t="s">
        <v>45</v>
      </c>
      <c r="J762" s="6">
        <v>2020.0</v>
      </c>
      <c r="L762" s="6">
        <v>1.0</v>
      </c>
      <c r="M762" s="8">
        <f t="shared" si="1"/>
        <v>0.43</v>
      </c>
      <c r="N762" s="6" t="s">
        <v>374</v>
      </c>
      <c r="P762" s="9"/>
    </row>
    <row r="763">
      <c r="A763" s="6" t="s">
        <v>2095</v>
      </c>
      <c r="B763" s="6" t="s">
        <v>1666</v>
      </c>
      <c r="C763" s="6" t="s">
        <v>15</v>
      </c>
      <c r="D763" s="6" t="s">
        <v>2096</v>
      </c>
      <c r="E763" s="6" t="s">
        <v>201</v>
      </c>
      <c r="F763" s="6" t="s">
        <v>40</v>
      </c>
      <c r="G763" s="7">
        <v>0.24</v>
      </c>
      <c r="H763" s="6" t="s">
        <v>153</v>
      </c>
      <c r="I763" s="6" t="s">
        <v>20</v>
      </c>
      <c r="J763" s="6">
        <v>2025.0</v>
      </c>
      <c r="K763" s="10">
        <v>46056.0</v>
      </c>
      <c r="L763" s="6">
        <v>4.0</v>
      </c>
      <c r="M763" s="8">
        <f t="shared" si="1"/>
        <v>0.96</v>
      </c>
      <c r="P763" s="9"/>
    </row>
    <row r="764">
      <c r="A764" s="6" t="s">
        <v>2097</v>
      </c>
      <c r="B764" s="6" t="s">
        <v>2098</v>
      </c>
      <c r="C764" s="6" t="s">
        <v>15</v>
      </c>
      <c r="D764" s="6" t="s">
        <v>2099</v>
      </c>
      <c r="E764" s="6" t="s">
        <v>1998</v>
      </c>
      <c r="F764" s="6" t="s">
        <v>77</v>
      </c>
      <c r="G764" s="7">
        <v>0.25</v>
      </c>
      <c r="H764" s="6" t="s">
        <v>153</v>
      </c>
      <c r="I764" s="6" t="s">
        <v>20</v>
      </c>
      <c r="J764" s="6">
        <v>2025.0</v>
      </c>
      <c r="K764" s="10">
        <v>46084.0</v>
      </c>
      <c r="L764" s="6">
        <v>1.0</v>
      </c>
      <c r="M764" s="8">
        <f t="shared" si="1"/>
        <v>0.25</v>
      </c>
      <c r="P764" s="9"/>
    </row>
    <row r="765">
      <c r="A765" s="6" t="s">
        <v>2100</v>
      </c>
      <c r="B765" s="6" t="s">
        <v>74</v>
      </c>
      <c r="C765" s="6" t="s">
        <v>43</v>
      </c>
      <c r="D765" s="6" t="s">
        <v>2101</v>
      </c>
      <c r="E765" s="6" t="s">
        <v>76</v>
      </c>
      <c r="F765" s="6" t="s">
        <v>77</v>
      </c>
      <c r="G765" s="7">
        <v>0.06</v>
      </c>
      <c r="H765" s="6" t="s">
        <v>674</v>
      </c>
      <c r="I765" s="6" t="s">
        <v>20</v>
      </c>
      <c r="J765" s="6">
        <v>2021.0</v>
      </c>
      <c r="L765" s="6">
        <v>1.0</v>
      </c>
      <c r="M765" s="8">
        <f t="shared" si="1"/>
        <v>0.06</v>
      </c>
      <c r="P765" s="9"/>
    </row>
    <row r="766">
      <c r="A766" s="6" t="s">
        <v>2102</v>
      </c>
      <c r="B766" s="6" t="s">
        <v>1677</v>
      </c>
      <c r="C766" s="6" t="s">
        <v>30</v>
      </c>
      <c r="D766" s="6" t="s">
        <v>2103</v>
      </c>
      <c r="E766" s="6" t="s">
        <v>2052</v>
      </c>
      <c r="F766" s="6" t="s">
        <v>77</v>
      </c>
      <c r="G766" s="7">
        <v>1.8</v>
      </c>
      <c r="H766" s="6" t="s">
        <v>228</v>
      </c>
      <c r="I766" s="6" t="s">
        <v>20</v>
      </c>
      <c r="J766" s="6">
        <v>2025.0</v>
      </c>
      <c r="K766" s="10">
        <v>46085.0</v>
      </c>
      <c r="L766" s="6">
        <v>1.0</v>
      </c>
      <c r="M766" s="8">
        <f t="shared" si="1"/>
        <v>1.8</v>
      </c>
      <c r="N766" s="6" t="s">
        <v>122</v>
      </c>
      <c r="P766" s="9"/>
    </row>
    <row r="767">
      <c r="A767" s="6" t="s">
        <v>2104</v>
      </c>
      <c r="B767" s="6" t="s">
        <v>494</v>
      </c>
      <c r="C767" s="6" t="s">
        <v>37</v>
      </c>
      <c r="D767" s="6" t="s">
        <v>2105</v>
      </c>
      <c r="E767" s="6" t="s">
        <v>86</v>
      </c>
      <c r="F767" s="6" t="s">
        <v>87</v>
      </c>
      <c r="G767" s="7">
        <v>0.25</v>
      </c>
      <c r="H767" s="6" t="s">
        <v>160</v>
      </c>
      <c r="I767" s="6" t="s">
        <v>20</v>
      </c>
      <c r="J767" s="6">
        <v>2024.0</v>
      </c>
      <c r="L767" s="6">
        <v>1.0</v>
      </c>
      <c r="M767" s="8">
        <f t="shared" si="1"/>
        <v>0.25</v>
      </c>
      <c r="P767" s="9"/>
    </row>
    <row r="768">
      <c r="A768" s="6" t="s">
        <v>2106</v>
      </c>
      <c r="B768" s="6" t="s">
        <v>2107</v>
      </c>
      <c r="C768" s="6" t="s">
        <v>30</v>
      </c>
      <c r="D768" s="6" t="s">
        <v>2108</v>
      </c>
      <c r="E768" s="6" t="s">
        <v>319</v>
      </c>
      <c r="F768" s="6" t="s">
        <v>26</v>
      </c>
      <c r="G768" s="7">
        <v>0.35</v>
      </c>
      <c r="H768" s="6" t="s">
        <v>903</v>
      </c>
      <c r="I768" s="6" t="s">
        <v>20</v>
      </c>
      <c r="J768" s="6">
        <v>2016.0</v>
      </c>
      <c r="K768" s="10">
        <v>46178.0</v>
      </c>
      <c r="L768" s="6">
        <v>1.0</v>
      </c>
      <c r="M768" s="8">
        <f t="shared" si="1"/>
        <v>0.35</v>
      </c>
      <c r="P768" s="9"/>
    </row>
    <row r="769">
      <c r="A769" s="6" t="s">
        <v>2109</v>
      </c>
      <c r="B769" s="6" t="s">
        <v>2110</v>
      </c>
      <c r="C769" s="6" t="s">
        <v>15</v>
      </c>
      <c r="D769" s="6" t="s">
        <v>2111</v>
      </c>
      <c r="E769" s="6" t="s">
        <v>2112</v>
      </c>
      <c r="F769" s="6" t="s">
        <v>2113</v>
      </c>
      <c r="G769" s="7">
        <v>0.25</v>
      </c>
      <c r="H769" s="6" t="s">
        <v>19</v>
      </c>
      <c r="I769" s="6" t="s">
        <v>20</v>
      </c>
      <c r="J769" s="6">
        <v>2023.0</v>
      </c>
      <c r="K769" s="10">
        <v>46114.0</v>
      </c>
      <c r="L769" s="6">
        <v>2.0</v>
      </c>
      <c r="M769" s="8">
        <f t="shared" si="1"/>
        <v>0.5</v>
      </c>
      <c r="P769" s="9"/>
    </row>
    <row r="770">
      <c r="A770" s="6" t="s">
        <v>2109</v>
      </c>
      <c r="B770" s="6" t="s">
        <v>2110</v>
      </c>
      <c r="C770" s="6" t="s">
        <v>15</v>
      </c>
      <c r="D770" s="6" t="s">
        <v>2111</v>
      </c>
      <c r="E770" s="6" t="s">
        <v>2112</v>
      </c>
      <c r="F770" s="6" t="s">
        <v>2113</v>
      </c>
      <c r="G770" s="7">
        <v>0.28</v>
      </c>
      <c r="H770" s="6" t="s">
        <v>19</v>
      </c>
      <c r="I770" s="6" t="s">
        <v>20</v>
      </c>
      <c r="J770" s="6">
        <v>2023.0</v>
      </c>
      <c r="K770" s="10">
        <v>46114.0</v>
      </c>
      <c r="L770" s="6">
        <v>3.0</v>
      </c>
      <c r="M770" s="8">
        <f t="shared" si="1"/>
        <v>0.84</v>
      </c>
      <c r="P770" s="9"/>
    </row>
    <row r="771">
      <c r="A771" s="6" t="s">
        <v>2114</v>
      </c>
      <c r="B771" s="6" t="s">
        <v>167</v>
      </c>
      <c r="C771" s="6" t="s">
        <v>23</v>
      </c>
      <c r="D771" s="6" t="s">
        <v>2115</v>
      </c>
      <c r="E771" s="6" t="s">
        <v>185</v>
      </c>
      <c r="F771" s="6" t="s">
        <v>26</v>
      </c>
      <c r="G771" s="7">
        <v>0.13</v>
      </c>
      <c r="H771" s="6" t="s">
        <v>27</v>
      </c>
      <c r="I771" s="6" t="s">
        <v>20</v>
      </c>
      <c r="J771" s="6">
        <v>2026.0</v>
      </c>
      <c r="K771" s="10">
        <v>46084.0</v>
      </c>
      <c r="L771" s="6">
        <v>1.0</v>
      </c>
      <c r="M771" s="8">
        <f t="shared" si="1"/>
        <v>0.13</v>
      </c>
      <c r="P771" s="9"/>
    </row>
    <row r="772">
      <c r="A772" s="6" t="s">
        <v>2116</v>
      </c>
      <c r="B772" s="6" t="s">
        <v>606</v>
      </c>
      <c r="C772" s="6" t="s">
        <v>23</v>
      </c>
      <c r="D772" s="6" t="s">
        <v>2117</v>
      </c>
      <c r="E772" s="6" t="s">
        <v>1998</v>
      </c>
      <c r="F772" s="6" t="s">
        <v>77</v>
      </c>
      <c r="G772" s="7">
        <v>0.05</v>
      </c>
      <c r="H772" s="6" t="s">
        <v>780</v>
      </c>
      <c r="I772" s="6" t="s">
        <v>20</v>
      </c>
      <c r="J772" s="6">
        <v>2025.0</v>
      </c>
      <c r="L772" s="6">
        <v>1.0</v>
      </c>
      <c r="M772" s="8">
        <f t="shared" si="1"/>
        <v>0.05</v>
      </c>
      <c r="P772" s="9"/>
    </row>
    <row r="773">
      <c r="A773" s="6" t="s">
        <v>2118</v>
      </c>
      <c r="B773" s="6" t="s">
        <v>208</v>
      </c>
      <c r="C773" s="6" t="s">
        <v>43</v>
      </c>
      <c r="D773" s="6" t="s">
        <v>2119</v>
      </c>
      <c r="E773" s="6" t="s">
        <v>107</v>
      </c>
      <c r="F773" s="6" t="s">
        <v>18</v>
      </c>
      <c r="G773" s="7">
        <v>0.06</v>
      </c>
      <c r="H773" s="6" t="s">
        <v>687</v>
      </c>
      <c r="I773" s="6" t="s">
        <v>20</v>
      </c>
      <c r="J773" s="6">
        <v>2011.0</v>
      </c>
      <c r="K773" s="10">
        <v>46023.0</v>
      </c>
      <c r="L773" s="6">
        <v>1.0</v>
      </c>
      <c r="M773" s="8">
        <f t="shared" si="1"/>
        <v>0.06</v>
      </c>
      <c r="P773" s="9"/>
    </row>
    <row r="774">
      <c r="A774" s="6" t="s">
        <v>2120</v>
      </c>
      <c r="B774" s="6" t="s">
        <v>1174</v>
      </c>
      <c r="C774" s="6" t="s">
        <v>43</v>
      </c>
      <c r="D774" s="6" t="s">
        <v>2121</v>
      </c>
      <c r="E774" s="6" t="s">
        <v>2122</v>
      </c>
      <c r="F774" s="6" t="s">
        <v>77</v>
      </c>
      <c r="G774" s="7">
        <v>0.05</v>
      </c>
      <c r="H774" s="6" t="s">
        <v>475</v>
      </c>
      <c r="I774" s="6" t="s">
        <v>20</v>
      </c>
      <c r="J774" s="6">
        <v>2024.0</v>
      </c>
      <c r="L774" s="6">
        <v>1.0</v>
      </c>
      <c r="M774" s="8">
        <f t="shared" si="1"/>
        <v>0.05</v>
      </c>
      <c r="P774" s="9"/>
    </row>
    <row r="775">
      <c r="A775" s="6" t="s">
        <v>2123</v>
      </c>
      <c r="B775" s="6" t="s">
        <v>2124</v>
      </c>
      <c r="C775" s="6" t="s">
        <v>183</v>
      </c>
      <c r="D775" s="6" t="s">
        <v>2125</v>
      </c>
      <c r="E775" s="6" t="s">
        <v>2126</v>
      </c>
      <c r="F775" s="6" t="s">
        <v>64</v>
      </c>
      <c r="G775" s="7">
        <v>0.04</v>
      </c>
      <c r="H775" s="6" t="s">
        <v>1344</v>
      </c>
      <c r="I775" s="6" t="s">
        <v>20</v>
      </c>
      <c r="J775" s="6">
        <v>2018.0</v>
      </c>
      <c r="L775" s="6">
        <v>4.0</v>
      </c>
      <c r="M775" s="8">
        <f t="shared" si="1"/>
        <v>0.16</v>
      </c>
      <c r="P775" s="9"/>
    </row>
    <row r="776">
      <c r="A776" s="6" t="s">
        <v>2127</v>
      </c>
      <c r="B776" s="6" t="s">
        <v>606</v>
      </c>
      <c r="C776" s="6" t="s">
        <v>15</v>
      </c>
      <c r="D776" s="6" t="s">
        <v>2128</v>
      </c>
      <c r="E776" s="6" t="s">
        <v>659</v>
      </c>
      <c r="F776" s="6" t="s">
        <v>18</v>
      </c>
      <c r="G776" s="7">
        <v>0.13</v>
      </c>
      <c r="H776" s="6" t="s">
        <v>780</v>
      </c>
      <c r="I776" s="6" t="s">
        <v>20</v>
      </c>
      <c r="J776" s="6">
        <v>2025.0</v>
      </c>
      <c r="L776" s="6">
        <v>1.0</v>
      </c>
      <c r="M776" s="8">
        <f t="shared" si="1"/>
        <v>0.13</v>
      </c>
      <c r="P776" s="9"/>
    </row>
    <row r="777">
      <c r="A777" s="6" t="s">
        <v>2129</v>
      </c>
      <c r="B777" s="6" t="s">
        <v>162</v>
      </c>
      <c r="C777" s="6" t="s">
        <v>43</v>
      </c>
      <c r="D777" s="6" t="s">
        <v>2130</v>
      </c>
      <c r="E777" s="6" t="s">
        <v>579</v>
      </c>
      <c r="F777" s="6" t="s">
        <v>112</v>
      </c>
      <c r="G777" s="7">
        <v>0.03</v>
      </c>
      <c r="H777" s="6" t="s">
        <v>249</v>
      </c>
      <c r="I777" s="6" t="s">
        <v>20</v>
      </c>
      <c r="J777" s="6">
        <v>2014.0</v>
      </c>
      <c r="L777" s="6">
        <v>4.0</v>
      </c>
      <c r="M777" s="8">
        <f t="shared" si="1"/>
        <v>0.12</v>
      </c>
      <c r="P777" s="9"/>
    </row>
    <row r="778">
      <c r="A778" s="6" t="s">
        <v>2131</v>
      </c>
      <c r="B778" s="6" t="s">
        <v>2132</v>
      </c>
      <c r="C778" s="6" t="s">
        <v>43</v>
      </c>
      <c r="D778" s="6" t="s">
        <v>2133</v>
      </c>
      <c r="E778" s="6" t="s">
        <v>86</v>
      </c>
      <c r="F778" s="6" t="s">
        <v>87</v>
      </c>
      <c r="G778" s="7">
        <v>0.06</v>
      </c>
      <c r="H778" s="6" t="s">
        <v>34</v>
      </c>
      <c r="I778" s="6" t="s">
        <v>20</v>
      </c>
      <c r="J778" s="6">
        <v>2025.0</v>
      </c>
      <c r="K778" s="10">
        <v>46055.0</v>
      </c>
      <c r="L778" s="6">
        <v>1.0</v>
      </c>
      <c r="M778" s="8">
        <f t="shared" si="1"/>
        <v>0.06</v>
      </c>
      <c r="P778" s="9"/>
    </row>
    <row r="779">
      <c r="A779" s="6" t="s">
        <v>2134</v>
      </c>
      <c r="B779" s="6" t="s">
        <v>162</v>
      </c>
      <c r="C779" s="6" t="s">
        <v>37</v>
      </c>
      <c r="D779" s="6" t="s">
        <v>2135</v>
      </c>
      <c r="E779" s="6" t="s">
        <v>2136</v>
      </c>
      <c r="F779" s="6" t="s">
        <v>1000</v>
      </c>
      <c r="G779" s="7">
        <v>0.05</v>
      </c>
      <c r="H779" s="6" t="s">
        <v>249</v>
      </c>
      <c r="I779" s="6" t="s">
        <v>20</v>
      </c>
      <c r="J779" s="6">
        <v>2014.0</v>
      </c>
      <c r="L779" s="6">
        <v>4.0</v>
      </c>
      <c r="M779" s="8">
        <f t="shared" si="1"/>
        <v>0.2</v>
      </c>
      <c r="P779" s="9"/>
    </row>
    <row r="780">
      <c r="A780" s="6" t="s">
        <v>2137</v>
      </c>
      <c r="B780" s="6" t="s">
        <v>119</v>
      </c>
      <c r="C780" s="6" t="s">
        <v>204</v>
      </c>
      <c r="D780" s="6" t="s">
        <v>2138</v>
      </c>
      <c r="E780" s="6" t="s">
        <v>76</v>
      </c>
      <c r="F780" s="6" t="s">
        <v>77</v>
      </c>
      <c r="G780" s="7">
        <v>0.05</v>
      </c>
      <c r="H780" s="6" t="s">
        <v>373</v>
      </c>
      <c r="I780" s="6" t="s">
        <v>20</v>
      </c>
      <c r="J780" s="6">
        <v>2015.0</v>
      </c>
      <c r="L780" s="6">
        <v>3.0</v>
      </c>
      <c r="M780" s="8">
        <f t="shared" si="1"/>
        <v>0.15</v>
      </c>
      <c r="P780" s="9"/>
    </row>
    <row r="781">
      <c r="A781" s="6" t="s">
        <v>2139</v>
      </c>
      <c r="B781" s="6" t="s">
        <v>74</v>
      </c>
      <c r="C781" s="6" t="s">
        <v>43</v>
      </c>
      <c r="D781" s="6" t="s">
        <v>2140</v>
      </c>
      <c r="E781" s="6" t="s">
        <v>135</v>
      </c>
      <c r="F781" s="6" t="s">
        <v>40</v>
      </c>
      <c r="G781" s="7">
        <v>1.08</v>
      </c>
      <c r="H781" s="6" t="s">
        <v>99</v>
      </c>
      <c r="I781" s="6" t="s">
        <v>20</v>
      </c>
      <c r="J781" s="6">
        <v>2022.0</v>
      </c>
      <c r="L781" s="6">
        <v>1.0</v>
      </c>
      <c r="M781" s="8">
        <f t="shared" si="1"/>
        <v>1.08</v>
      </c>
      <c r="P781" s="9"/>
    </row>
    <row r="782">
      <c r="A782" s="6" t="s">
        <v>2141</v>
      </c>
      <c r="B782" s="6" t="s">
        <v>162</v>
      </c>
      <c r="C782" s="6" t="s">
        <v>43</v>
      </c>
      <c r="D782" s="6" t="s">
        <v>2142</v>
      </c>
      <c r="E782" s="6" t="s">
        <v>256</v>
      </c>
      <c r="F782" s="6" t="s">
        <v>87</v>
      </c>
      <c r="G782" s="7">
        <v>0.03</v>
      </c>
      <c r="H782" s="6" t="s">
        <v>1776</v>
      </c>
      <c r="I782" s="6" t="s">
        <v>20</v>
      </c>
      <c r="J782" s="6">
        <v>2017.0</v>
      </c>
      <c r="L782" s="6">
        <v>1.0</v>
      </c>
      <c r="M782" s="8">
        <f t="shared" si="1"/>
        <v>0.03</v>
      </c>
      <c r="P782" s="9"/>
    </row>
    <row r="783">
      <c r="A783" s="6" t="s">
        <v>2143</v>
      </c>
      <c r="B783" s="6" t="s">
        <v>162</v>
      </c>
      <c r="C783" s="6" t="s">
        <v>37</v>
      </c>
      <c r="D783" s="6" t="s">
        <v>2144</v>
      </c>
      <c r="E783" s="6" t="s">
        <v>2145</v>
      </c>
      <c r="F783" s="6" t="s">
        <v>87</v>
      </c>
      <c r="G783" s="7">
        <v>0.06</v>
      </c>
      <c r="H783" s="6" t="s">
        <v>83</v>
      </c>
      <c r="I783" s="6" t="s">
        <v>20</v>
      </c>
      <c r="J783" s="6">
        <v>1995.0</v>
      </c>
      <c r="L783" s="6">
        <v>1.0</v>
      </c>
      <c r="M783" s="8">
        <f t="shared" si="1"/>
        <v>0.06</v>
      </c>
      <c r="P783" s="9"/>
    </row>
    <row r="784">
      <c r="A784" s="6" t="s">
        <v>2146</v>
      </c>
      <c r="B784" s="6" t="s">
        <v>2147</v>
      </c>
      <c r="C784" s="6" t="s">
        <v>204</v>
      </c>
      <c r="D784" s="6" t="s">
        <v>1571</v>
      </c>
      <c r="E784" s="6" t="s">
        <v>86</v>
      </c>
      <c r="F784" s="6" t="s">
        <v>87</v>
      </c>
      <c r="G784" s="7">
        <v>0.04</v>
      </c>
      <c r="H784" s="6" t="s">
        <v>1300</v>
      </c>
      <c r="I784" s="6" t="s">
        <v>20</v>
      </c>
      <c r="J784" s="6">
        <v>2021.0</v>
      </c>
      <c r="K784" s="10">
        <v>46055.0</v>
      </c>
      <c r="L784" s="6">
        <v>3.0</v>
      </c>
      <c r="M784" s="8">
        <f t="shared" si="1"/>
        <v>0.12</v>
      </c>
      <c r="P784" s="9"/>
    </row>
    <row r="785">
      <c r="A785" s="6" t="s">
        <v>2148</v>
      </c>
      <c r="B785" s="6" t="s">
        <v>2149</v>
      </c>
      <c r="C785" s="6" t="s">
        <v>43</v>
      </c>
      <c r="E785" s="6" t="s">
        <v>135</v>
      </c>
      <c r="F785" s="6" t="s">
        <v>40</v>
      </c>
      <c r="G785" s="7">
        <v>0.05</v>
      </c>
      <c r="H785" s="6" t="s">
        <v>415</v>
      </c>
      <c r="I785" s="6" t="s">
        <v>20</v>
      </c>
      <c r="J785" s="6">
        <v>2016.0</v>
      </c>
      <c r="K785" s="10">
        <v>46025.0</v>
      </c>
      <c r="L785" s="6">
        <v>3.0</v>
      </c>
      <c r="M785" s="8">
        <f t="shared" si="1"/>
        <v>0.15</v>
      </c>
      <c r="P785" s="9"/>
    </row>
    <row r="786">
      <c r="A786" s="6" t="s">
        <v>2150</v>
      </c>
      <c r="B786" s="6" t="s">
        <v>2151</v>
      </c>
      <c r="C786" s="6" t="s">
        <v>23</v>
      </c>
      <c r="D786" s="6" t="s">
        <v>2152</v>
      </c>
      <c r="E786" s="6" t="s">
        <v>2153</v>
      </c>
      <c r="F786" s="6" t="s">
        <v>18</v>
      </c>
      <c r="G786" s="7">
        <v>0.03</v>
      </c>
      <c r="H786" s="6" t="s">
        <v>342</v>
      </c>
      <c r="I786" s="6" t="s">
        <v>20</v>
      </c>
      <c r="J786" s="6">
        <v>2014.0</v>
      </c>
      <c r="K786" s="10">
        <v>46175.0</v>
      </c>
      <c r="L786" s="6">
        <v>2.0</v>
      </c>
      <c r="M786" s="8">
        <f t="shared" si="1"/>
        <v>0.06</v>
      </c>
      <c r="P786" s="9"/>
    </row>
    <row r="787">
      <c r="A787" s="6" t="s">
        <v>2154</v>
      </c>
      <c r="B787" s="6" t="s">
        <v>2155</v>
      </c>
      <c r="C787" s="6" t="s">
        <v>43</v>
      </c>
      <c r="D787" s="6" t="s">
        <v>2156</v>
      </c>
      <c r="E787" s="6" t="s">
        <v>210</v>
      </c>
      <c r="F787" s="6" t="s">
        <v>18</v>
      </c>
      <c r="G787" s="7">
        <v>0.05</v>
      </c>
      <c r="H787" s="6" t="s">
        <v>2157</v>
      </c>
      <c r="I787" s="6" t="s">
        <v>20</v>
      </c>
      <c r="J787" s="6">
        <v>2008.0</v>
      </c>
      <c r="K787" s="10">
        <v>46055.0</v>
      </c>
      <c r="L787" s="6">
        <v>1.0</v>
      </c>
      <c r="M787" s="8">
        <f t="shared" si="1"/>
        <v>0.05</v>
      </c>
      <c r="P787" s="9"/>
    </row>
    <row r="788">
      <c r="A788" s="6" t="s">
        <v>2158</v>
      </c>
      <c r="B788" s="6" t="s">
        <v>1206</v>
      </c>
      <c r="C788" s="6" t="s">
        <v>37</v>
      </c>
      <c r="D788" s="6" t="s">
        <v>2159</v>
      </c>
      <c r="E788" s="6" t="s">
        <v>1713</v>
      </c>
      <c r="F788" s="6" t="s">
        <v>26</v>
      </c>
      <c r="G788" s="7">
        <v>0.09</v>
      </c>
      <c r="H788" s="6" t="s">
        <v>324</v>
      </c>
      <c r="I788" s="6" t="s">
        <v>20</v>
      </c>
      <c r="J788" s="6">
        <v>1995.0</v>
      </c>
      <c r="K788" s="10">
        <v>46116.0</v>
      </c>
      <c r="L788" s="6">
        <v>1.0</v>
      </c>
      <c r="M788" s="8">
        <f t="shared" si="1"/>
        <v>0.09</v>
      </c>
      <c r="P788" s="9"/>
    </row>
    <row r="789">
      <c r="A789" s="6" t="s">
        <v>2158</v>
      </c>
      <c r="B789" s="6" t="s">
        <v>1206</v>
      </c>
      <c r="C789" s="6" t="s">
        <v>37</v>
      </c>
      <c r="D789" s="6" t="s">
        <v>2159</v>
      </c>
      <c r="E789" s="6" t="s">
        <v>1713</v>
      </c>
      <c r="F789" s="6" t="s">
        <v>26</v>
      </c>
      <c r="G789" s="7">
        <v>0.2</v>
      </c>
      <c r="H789" s="6" t="s">
        <v>316</v>
      </c>
      <c r="I789" s="6" t="s">
        <v>20</v>
      </c>
      <c r="J789" s="6">
        <v>1995.0</v>
      </c>
      <c r="K789" s="10">
        <v>46116.0</v>
      </c>
      <c r="L789" s="6">
        <v>1.0</v>
      </c>
      <c r="M789" s="8">
        <f t="shared" si="1"/>
        <v>0.2</v>
      </c>
      <c r="P789" s="9"/>
    </row>
    <row r="790">
      <c r="A790" s="6" t="s">
        <v>2160</v>
      </c>
      <c r="B790" s="6" t="s">
        <v>1548</v>
      </c>
      <c r="C790" s="6" t="s">
        <v>23</v>
      </c>
      <c r="D790" s="6" t="s">
        <v>2161</v>
      </c>
      <c r="E790" s="6" t="s">
        <v>1575</v>
      </c>
      <c r="F790" s="6" t="s">
        <v>1335</v>
      </c>
      <c r="G790" s="7">
        <v>0.03</v>
      </c>
      <c r="H790" s="6" t="s">
        <v>342</v>
      </c>
      <c r="I790" s="6" t="s">
        <v>20</v>
      </c>
      <c r="J790" s="6">
        <v>2014.0</v>
      </c>
      <c r="L790" s="6">
        <v>2.0</v>
      </c>
      <c r="M790" s="8">
        <f t="shared" si="1"/>
        <v>0.06</v>
      </c>
      <c r="P790" s="9"/>
    </row>
    <row r="791">
      <c r="A791" s="6" t="s">
        <v>2162</v>
      </c>
      <c r="B791" s="6" t="s">
        <v>2163</v>
      </c>
      <c r="C791" s="6" t="s">
        <v>15</v>
      </c>
      <c r="D791" s="6" t="s">
        <v>2164</v>
      </c>
      <c r="E791" s="6" t="s">
        <v>2165</v>
      </c>
      <c r="F791" s="6" t="s">
        <v>112</v>
      </c>
      <c r="G791" s="7">
        <v>0.25</v>
      </c>
      <c r="H791" s="6" t="s">
        <v>153</v>
      </c>
      <c r="I791" s="6" t="s">
        <v>20</v>
      </c>
      <c r="J791" s="6">
        <v>2025.0</v>
      </c>
      <c r="K791" s="10">
        <v>46242.0</v>
      </c>
      <c r="L791" s="6">
        <v>1.0</v>
      </c>
      <c r="M791" s="8">
        <f t="shared" si="1"/>
        <v>0.25</v>
      </c>
      <c r="P791" s="9"/>
    </row>
    <row r="792">
      <c r="A792" s="6" t="s">
        <v>2166</v>
      </c>
      <c r="B792" s="6" t="s">
        <v>146</v>
      </c>
      <c r="C792" s="6" t="s">
        <v>30</v>
      </c>
      <c r="D792" s="6" t="s">
        <v>2167</v>
      </c>
      <c r="E792" s="6" t="s">
        <v>2030</v>
      </c>
      <c r="F792" s="6" t="s">
        <v>40</v>
      </c>
      <c r="G792" s="7">
        <v>0.68</v>
      </c>
      <c r="H792" s="6" t="s">
        <v>2168</v>
      </c>
      <c r="I792" s="6" t="s">
        <v>20</v>
      </c>
      <c r="J792" s="6">
        <v>2019.0</v>
      </c>
      <c r="L792" s="6">
        <v>2.0</v>
      </c>
      <c r="M792" s="8">
        <f t="shared" si="1"/>
        <v>1.36</v>
      </c>
      <c r="P792" s="9"/>
    </row>
    <row r="793">
      <c r="A793" s="6" t="s">
        <v>2169</v>
      </c>
      <c r="B793" s="6" t="s">
        <v>146</v>
      </c>
      <c r="C793" s="6" t="s">
        <v>30</v>
      </c>
      <c r="D793" s="6" t="s">
        <v>2170</v>
      </c>
      <c r="E793" s="6" t="s">
        <v>210</v>
      </c>
      <c r="F793" s="6" t="s">
        <v>18</v>
      </c>
      <c r="G793" s="7">
        <v>0.56</v>
      </c>
      <c r="H793" s="6" t="s">
        <v>2171</v>
      </c>
      <c r="I793" s="6" t="s">
        <v>20</v>
      </c>
      <c r="J793" s="6">
        <v>2014.0</v>
      </c>
      <c r="L793" s="6">
        <v>1.0</v>
      </c>
      <c r="M793" s="8">
        <f t="shared" si="1"/>
        <v>0.56</v>
      </c>
      <c r="P793" s="9"/>
    </row>
    <row r="794">
      <c r="A794" s="6" t="s">
        <v>2172</v>
      </c>
      <c r="B794" s="6" t="s">
        <v>115</v>
      </c>
      <c r="C794" s="6" t="s">
        <v>23</v>
      </c>
      <c r="D794" s="6" t="s">
        <v>2173</v>
      </c>
      <c r="E794" s="6" t="s">
        <v>125</v>
      </c>
      <c r="F794" s="6" t="s">
        <v>40</v>
      </c>
      <c r="G794" s="7">
        <v>0.15</v>
      </c>
      <c r="H794" s="6" t="s">
        <v>617</v>
      </c>
      <c r="I794" s="6" t="s">
        <v>20</v>
      </c>
      <c r="J794" s="6">
        <v>2026.0</v>
      </c>
      <c r="L794" s="6">
        <v>3.0</v>
      </c>
      <c r="M794" s="8">
        <f t="shared" si="1"/>
        <v>0.45</v>
      </c>
      <c r="P794" s="9"/>
    </row>
    <row r="795">
      <c r="A795" s="6" t="s">
        <v>2174</v>
      </c>
      <c r="B795" s="6" t="s">
        <v>2175</v>
      </c>
      <c r="C795" s="6" t="s">
        <v>30</v>
      </c>
      <c r="D795" s="6" t="s">
        <v>2176</v>
      </c>
      <c r="E795" s="6" t="s">
        <v>579</v>
      </c>
      <c r="F795" s="6" t="s">
        <v>112</v>
      </c>
      <c r="G795" s="7">
        <v>0.95</v>
      </c>
      <c r="H795" s="6" t="s">
        <v>34</v>
      </c>
      <c r="I795" s="6" t="s">
        <v>20</v>
      </c>
      <c r="J795" s="6">
        <v>2025.0</v>
      </c>
      <c r="K795" s="10">
        <v>46116.0</v>
      </c>
      <c r="L795" s="6">
        <v>1.0</v>
      </c>
      <c r="M795" s="8">
        <f t="shared" si="1"/>
        <v>0.95</v>
      </c>
      <c r="P795" s="9"/>
    </row>
    <row r="796">
      <c r="A796" s="6" t="s">
        <v>2177</v>
      </c>
      <c r="B796" s="6" t="s">
        <v>254</v>
      </c>
      <c r="C796" s="6" t="s">
        <v>37</v>
      </c>
      <c r="D796" s="6" t="s">
        <v>2178</v>
      </c>
      <c r="E796" s="6" t="s">
        <v>135</v>
      </c>
      <c r="F796" s="6" t="s">
        <v>40</v>
      </c>
      <c r="G796" s="7">
        <v>0.18</v>
      </c>
      <c r="H796" s="6" t="s">
        <v>136</v>
      </c>
      <c r="I796" s="6" t="s">
        <v>20</v>
      </c>
      <c r="J796" s="6">
        <v>2026.0</v>
      </c>
      <c r="L796" s="6">
        <v>1.0</v>
      </c>
      <c r="M796" s="8">
        <f t="shared" si="1"/>
        <v>0.18</v>
      </c>
      <c r="P796" s="9"/>
    </row>
    <row r="797">
      <c r="A797" s="6" t="s">
        <v>2177</v>
      </c>
      <c r="B797" s="6" t="s">
        <v>254</v>
      </c>
      <c r="C797" s="6" t="s">
        <v>37</v>
      </c>
      <c r="D797" s="6" t="s">
        <v>2178</v>
      </c>
      <c r="E797" s="6" t="s">
        <v>135</v>
      </c>
      <c r="F797" s="6" t="s">
        <v>40</v>
      </c>
      <c r="G797" s="7">
        <v>0.25</v>
      </c>
      <c r="H797" s="6" t="s">
        <v>136</v>
      </c>
      <c r="I797" s="6" t="s">
        <v>45</v>
      </c>
      <c r="J797" s="6">
        <v>2026.0</v>
      </c>
      <c r="L797" s="6">
        <v>1.0</v>
      </c>
      <c r="M797" s="8">
        <f t="shared" si="1"/>
        <v>0.25</v>
      </c>
      <c r="P797" s="9"/>
    </row>
    <row r="798">
      <c r="A798" s="6" t="s">
        <v>2179</v>
      </c>
      <c r="B798" s="6" t="s">
        <v>219</v>
      </c>
      <c r="C798" s="6" t="s">
        <v>37</v>
      </c>
      <c r="D798" s="6" t="s">
        <v>2180</v>
      </c>
      <c r="E798" s="6" t="s">
        <v>185</v>
      </c>
      <c r="F798" s="6" t="s">
        <v>26</v>
      </c>
      <c r="G798" s="7">
        <v>0.21</v>
      </c>
      <c r="H798" s="6" t="s">
        <v>65</v>
      </c>
      <c r="I798" s="6" t="s">
        <v>20</v>
      </c>
      <c r="J798" s="6">
        <v>2013.0</v>
      </c>
      <c r="L798" s="6">
        <v>1.0</v>
      </c>
      <c r="M798" s="8">
        <f t="shared" si="1"/>
        <v>0.21</v>
      </c>
      <c r="P798" s="9"/>
    </row>
    <row r="799">
      <c r="A799" s="6" t="s">
        <v>2181</v>
      </c>
      <c r="B799" s="6" t="s">
        <v>119</v>
      </c>
      <c r="C799" s="6" t="s">
        <v>61</v>
      </c>
      <c r="D799" s="6" t="s">
        <v>2182</v>
      </c>
      <c r="E799" s="6" t="s">
        <v>176</v>
      </c>
      <c r="F799" s="6" t="s">
        <v>77</v>
      </c>
      <c r="G799" s="7">
        <v>0.37</v>
      </c>
      <c r="H799" s="6" t="s">
        <v>709</v>
      </c>
      <c r="I799" s="6" t="s">
        <v>20</v>
      </c>
      <c r="J799" s="6">
        <v>2017.0</v>
      </c>
      <c r="L799" s="6">
        <v>1.0</v>
      </c>
      <c r="M799" s="8">
        <f t="shared" si="1"/>
        <v>0.37</v>
      </c>
      <c r="P799" s="9"/>
    </row>
    <row r="800">
      <c r="A800" s="6" t="s">
        <v>2183</v>
      </c>
      <c r="B800" s="6" t="s">
        <v>119</v>
      </c>
      <c r="C800" s="6" t="s">
        <v>61</v>
      </c>
      <c r="D800" s="6" t="s">
        <v>2184</v>
      </c>
      <c r="E800" s="6" t="s">
        <v>176</v>
      </c>
      <c r="F800" s="6" t="s">
        <v>77</v>
      </c>
      <c r="G800" s="7">
        <v>0.37</v>
      </c>
      <c r="H800" s="6" t="s">
        <v>709</v>
      </c>
      <c r="I800" s="6" t="s">
        <v>20</v>
      </c>
      <c r="J800" s="6">
        <v>2017.0</v>
      </c>
      <c r="L800" s="6">
        <v>1.0</v>
      </c>
      <c r="M800" s="8">
        <f t="shared" si="1"/>
        <v>0.37</v>
      </c>
      <c r="P800" s="9"/>
    </row>
    <row r="801">
      <c r="A801" s="6" t="s">
        <v>2185</v>
      </c>
      <c r="B801" s="6" t="s">
        <v>162</v>
      </c>
      <c r="C801" s="6" t="s">
        <v>37</v>
      </c>
      <c r="D801" s="6" t="s">
        <v>2186</v>
      </c>
      <c r="E801" s="6" t="s">
        <v>176</v>
      </c>
      <c r="F801" s="6" t="s">
        <v>77</v>
      </c>
      <c r="G801" s="7">
        <v>0.08</v>
      </c>
      <c r="H801" s="6" t="s">
        <v>1493</v>
      </c>
      <c r="I801" s="6" t="s">
        <v>20</v>
      </c>
      <c r="J801" s="6">
        <v>2015.0</v>
      </c>
      <c r="L801" s="6">
        <v>1.0</v>
      </c>
      <c r="M801" s="8">
        <f t="shared" si="1"/>
        <v>0.08</v>
      </c>
      <c r="N801" s="6" t="s">
        <v>374</v>
      </c>
      <c r="P801" s="9"/>
    </row>
    <row r="802">
      <c r="A802" s="6" t="s">
        <v>2187</v>
      </c>
      <c r="B802" s="6" t="s">
        <v>606</v>
      </c>
      <c r="C802" s="6" t="s">
        <v>23</v>
      </c>
      <c r="D802" s="6" t="s">
        <v>2188</v>
      </c>
      <c r="E802" s="6" t="s">
        <v>457</v>
      </c>
      <c r="F802" s="6" t="s">
        <v>112</v>
      </c>
      <c r="G802" s="7">
        <v>0.06</v>
      </c>
      <c r="H802" s="6" t="s">
        <v>780</v>
      </c>
      <c r="I802" s="6" t="s">
        <v>20</v>
      </c>
      <c r="J802" s="6">
        <v>2025.0</v>
      </c>
      <c r="L802" s="6">
        <v>1.0</v>
      </c>
      <c r="M802" s="8">
        <f t="shared" si="1"/>
        <v>0.06</v>
      </c>
      <c r="P802" s="9"/>
    </row>
    <row r="803">
      <c r="A803" s="6" t="s">
        <v>2189</v>
      </c>
      <c r="B803" s="6" t="s">
        <v>138</v>
      </c>
      <c r="C803" s="6" t="s">
        <v>43</v>
      </c>
      <c r="D803" s="6" t="s">
        <v>2190</v>
      </c>
      <c r="E803" s="6" t="s">
        <v>224</v>
      </c>
      <c r="F803" s="6" t="s">
        <v>18</v>
      </c>
      <c r="G803" s="7">
        <v>0.04</v>
      </c>
      <c r="H803" s="6" t="s">
        <v>746</v>
      </c>
      <c r="I803" s="6" t="s">
        <v>20</v>
      </c>
      <c r="J803" s="6">
        <v>2024.0</v>
      </c>
      <c r="L803" s="6">
        <v>1.0</v>
      </c>
      <c r="M803" s="8">
        <f t="shared" si="1"/>
        <v>0.04</v>
      </c>
      <c r="P803" s="9"/>
    </row>
    <row r="804">
      <c r="A804" s="6" t="s">
        <v>2191</v>
      </c>
      <c r="B804" s="6" t="s">
        <v>2192</v>
      </c>
      <c r="C804" s="6" t="s">
        <v>37</v>
      </c>
      <c r="D804" s="6" t="s">
        <v>2193</v>
      </c>
      <c r="E804" s="6" t="s">
        <v>117</v>
      </c>
      <c r="F804" s="6" t="s">
        <v>77</v>
      </c>
      <c r="G804" s="7">
        <v>0.1</v>
      </c>
      <c r="H804" s="6" t="s">
        <v>687</v>
      </c>
      <c r="I804" s="6" t="s">
        <v>20</v>
      </c>
      <c r="J804" s="6">
        <v>2011.0</v>
      </c>
      <c r="K804" s="10">
        <v>46055.0</v>
      </c>
      <c r="L804" s="6">
        <v>1.0</v>
      </c>
      <c r="M804" s="8">
        <f t="shared" si="1"/>
        <v>0.1</v>
      </c>
      <c r="P804" s="9"/>
    </row>
    <row r="805">
      <c r="A805" s="6" t="s">
        <v>2194</v>
      </c>
      <c r="B805" s="6" t="s">
        <v>462</v>
      </c>
      <c r="C805" s="6" t="s">
        <v>43</v>
      </c>
      <c r="D805" s="6" t="s">
        <v>2195</v>
      </c>
      <c r="E805" s="6" t="s">
        <v>176</v>
      </c>
      <c r="F805" s="6" t="s">
        <v>77</v>
      </c>
      <c r="G805" s="7">
        <v>0.25</v>
      </c>
      <c r="H805" s="6" t="s">
        <v>746</v>
      </c>
      <c r="I805" s="6" t="s">
        <v>45</v>
      </c>
      <c r="J805" s="6">
        <v>2024.0</v>
      </c>
      <c r="L805" s="6">
        <v>1.0</v>
      </c>
      <c r="M805" s="8">
        <f t="shared" si="1"/>
        <v>0.25</v>
      </c>
      <c r="P805" s="9"/>
    </row>
    <row r="806">
      <c r="A806" s="6" t="s">
        <v>2196</v>
      </c>
      <c r="B806" s="6" t="s">
        <v>2197</v>
      </c>
      <c r="C806" s="6" t="s">
        <v>43</v>
      </c>
      <c r="D806" s="6" t="s">
        <v>2198</v>
      </c>
      <c r="E806" s="6" t="s">
        <v>248</v>
      </c>
      <c r="F806" s="6" t="s">
        <v>77</v>
      </c>
      <c r="G806" s="7">
        <v>0.05</v>
      </c>
      <c r="H806" s="6" t="s">
        <v>259</v>
      </c>
      <c r="I806" s="6" t="s">
        <v>20</v>
      </c>
      <c r="J806" s="6">
        <v>1996.0</v>
      </c>
      <c r="K806" s="10">
        <v>46082.0</v>
      </c>
      <c r="L806" s="6">
        <v>1.0</v>
      </c>
      <c r="M806" s="8">
        <f t="shared" si="1"/>
        <v>0.05</v>
      </c>
      <c r="P806" s="9"/>
    </row>
    <row r="807">
      <c r="A807" s="6" t="s">
        <v>2199</v>
      </c>
      <c r="B807" s="6" t="s">
        <v>1875</v>
      </c>
      <c r="C807" s="6" t="s">
        <v>37</v>
      </c>
      <c r="D807" s="6" t="s">
        <v>2200</v>
      </c>
      <c r="E807" s="6" t="s">
        <v>2201</v>
      </c>
      <c r="F807" s="6" t="s">
        <v>536</v>
      </c>
      <c r="G807" s="7">
        <v>0.11</v>
      </c>
      <c r="H807" s="6" t="s">
        <v>249</v>
      </c>
      <c r="I807" s="6" t="s">
        <v>20</v>
      </c>
      <c r="J807" s="6">
        <v>2014.0</v>
      </c>
      <c r="K807" s="10">
        <v>46082.0</v>
      </c>
      <c r="L807" s="6">
        <v>1.0</v>
      </c>
      <c r="M807" s="8">
        <f t="shared" si="1"/>
        <v>0.11</v>
      </c>
      <c r="P807" s="9"/>
    </row>
    <row r="808">
      <c r="A808" s="6" t="s">
        <v>2202</v>
      </c>
      <c r="B808" s="6" t="s">
        <v>74</v>
      </c>
      <c r="C808" s="6" t="s">
        <v>37</v>
      </c>
      <c r="D808" s="6" t="s">
        <v>2203</v>
      </c>
      <c r="E808" s="6" t="s">
        <v>98</v>
      </c>
      <c r="F808" s="6" t="s">
        <v>18</v>
      </c>
      <c r="G808" s="7">
        <v>0.13</v>
      </c>
      <c r="H808" s="6" t="s">
        <v>297</v>
      </c>
      <c r="I808" s="6" t="s">
        <v>20</v>
      </c>
      <c r="J808" s="6">
        <v>2022.0</v>
      </c>
      <c r="L808" s="6">
        <v>1.0</v>
      </c>
      <c r="M808" s="8">
        <f t="shared" si="1"/>
        <v>0.13</v>
      </c>
      <c r="P808" s="9"/>
    </row>
    <row r="809">
      <c r="A809" s="6" t="s">
        <v>2204</v>
      </c>
      <c r="B809" s="6" t="s">
        <v>138</v>
      </c>
      <c r="C809" s="6" t="s">
        <v>377</v>
      </c>
      <c r="D809" s="6" t="s">
        <v>2205</v>
      </c>
      <c r="E809" s="6" t="s">
        <v>135</v>
      </c>
      <c r="F809" s="6" t="s">
        <v>697</v>
      </c>
      <c r="G809" s="7">
        <v>0.05</v>
      </c>
      <c r="H809" s="6" t="s">
        <v>259</v>
      </c>
      <c r="I809" s="6" t="s">
        <v>20</v>
      </c>
      <c r="J809" s="6">
        <v>1996.0</v>
      </c>
      <c r="L809" s="6">
        <v>1.0</v>
      </c>
      <c r="M809" s="8">
        <f t="shared" si="1"/>
        <v>0.05</v>
      </c>
      <c r="P809" s="9"/>
    </row>
    <row r="810">
      <c r="A810" s="6" t="s">
        <v>2206</v>
      </c>
      <c r="B810" s="6" t="s">
        <v>2207</v>
      </c>
      <c r="C810" s="6" t="s">
        <v>43</v>
      </c>
      <c r="D810" s="6" t="s">
        <v>2208</v>
      </c>
      <c r="E810" s="6" t="s">
        <v>135</v>
      </c>
      <c r="F810" s="6" t="s">
        <v>40</v>
      </c>
      <c r="G810" s="7">
        <v>0.43</v>
      </c>
      <c r="H810" s="6" t="s">
        <v>2209</v>
      </c>
      <c r="I810" s="6" t="s">
        <v>20</v>
      </c>
      <c r="J810" s="6">
        <v>1993.0</v>
      </c>
      <c r="L810" s="6">
        <v>1.0</v>
      </c>
      <c r="M810" s="8">
        <f t="shared" si="1"/>
        <v>0.43</v>
      </c>
      <c r="P810" s="9"/>
    </row>
    <row r="811">
      <c r="A811" s="6" t="s">
        <v>2206</v>
      </c>
      <c r="B811" s="6" t="s">
        <v>138</v>
      </c>
      <c r="C811" s="6" t="s">
        <v>377</v>
      </c>
      <c r="D811" s="6" t="s">
        <v>2210</v>
      </c>
      <c r="E811" s="6" t="s">
        <v>135</v>
      </c>
      <c r="F811" s="6" t="s">
        <v>697</v>
      </c>
      <c r="G811" s="7">
        <v>0.09</v>
      </c>
      <c r="H811" s="6" t="s">
        <v>2211</v>
      </c>
      <c r="I811" s="6" t="s">
        <v>20</v>
      </c>
      <c r="J811" s="6">
        <v>1999.0</v>
      </c>
      <c r="L811" s="6">
        <v>1.0</v>
      </c>
      <c r="M811" s="8">
        <f t="shared" si="1"/>
        <v>0.09</v>
      </c>
      <c r="P811" s="9"/>
    </row>
    <row r="812">
      <c r="A812" s="6" t="s">
        <v>2212</v>
      </c>
      <c r="B812" s="6" t="s">
        <v>138</v>
      </c>
      <c r="C812" s="6" t="s">
        <v>377</v>
      </c>
      <c r="D812" s="6" t="s">
        <v>2213</v>
      </c>
      <c r="E812" s="6" t="s">
        <v>117</v>
      </c>
      <c r="F812" s="6" t="s">
        <v>77</v>
      </c>
      <c r="G812" s="7">
        <v>0.1</v>
      </c>
      <c r="H812" s="6" t="s">
        <v>1833</v>
      </c>
      <c r="I812" s="6" t="s">
        <v>20</v>
      </c>
      <c r="J812" s="6">
        <v>2018.0</v>
      </c>
      <c r="L812" s="6">
        <v>4.0</v>
      </c>
      <c r="M812" s="8">
        <f t="shared" si="1"/>
        <v>0.4</v>
      </c>
      <c r="P812" s="9"/>
    </row>
    <row r="813">
      <c r="A813" s="6" t="s">
        <v>2214</v>
      </c>
      <c r="B813" s="6" t="s">
        <v>162</v>
      </c>
      <c r="C813" s="6" t="s">
        <v>43</v>
      </c>
      <c r="D813" s="6" t="s">
        <v>2215</v>
      </c>
      <c r="E813" s="6" t="s">
        <v>2145</v>
      </c>
      <c r="F813" s="6" t="s">
        <v>87</v>
      </c>
      <c r="G813" s="7">
        <v>0.06</v>
      </c>
      <c r="H813" s="6" t="s">
        <v>83</v>
      </c>
      <c r="I813" s="6" t="s">
        <v>20</v>
      </c>
      <c r="J813" s="6">
        <v>1995.0</v>
      </c>
      <c r="L813" s="6">
        <v>5.0</v>
      </c>
      <c r="M813" s="8">
        <f t="shared" si="1"/>
        <v>0.3</v>
      </c>
      <c r="P813" s="9"/>
    </row>
    <row r="814">
      <c r="A814" s="6" t="s">
        <v>2214</v>
      </c>
      <c r="B814" s="6" t="s">
        <v>162</v>
      </c>
      <c r="C814" s="6" t="s">
        <v>43</v>
      </c>
      <c r="D814" s="6" t="s">
        <v>2215</v>
      </c>
      <c r="E814" s="6" t="s">
        <v>2145</v>
      </c>
      <c r="F814" s="6" t="s">
        <v>87</v>
      </c>
      <c r="G814" s="7">
        <v>0.23</v>
      </c>
      <c r="H814" s="6" t="s">
        <v>1064</v>
      </c>
      <c r="I814" s="6" t="s">
        <v>20</v>
      </c>
      <c r="J814" s="6">
        <v>1995.0</v>
      </c>
      <c r="L814" s="6">
        <v>1.0</v>
      </c>
      <c r="M814" s="8">
        <f t="shared" si="1"/>
        <v>0.23</v>
      </c>
      <c r="P814" s="9"/>
    </row>
    <row r="815">
      <c r="A815" s="6" t="s">
        <v>2216</v>
      </c>
      <c r="B815" s="6" t="s">
        <v>74</v>
      </c>
      <c r="C815" s="6" t="s">
        <v>37</v>
      </c>
      <c r="D815" s="6" t="s">
        <v>2217</v>
      </c>
      <c r="E815" s="6" t="s">
        <v>57</v>
      </c>
      <c r="F815" s="6" t="s">
        <v>40</v>
      </c>
      <c r="G815" s="7">
        <v>0.05</v>
      </c>
      <c r="H815" s="6" t="s">
        <v>2033</v>
      </c>
      <c r="I815" s="6" t="s">
        <v>20</v>
      </c>
      <c r="J815" s="6">
        <v>2019.0</v>
      </c>
      <c r="L815" s="6">
        <v>1.0</v>
      </c>
      <c r="M815" s="8">
        <f t="shared" si="1"/>
        <v>0.05</v>
      </c>
      <c r="P815" s="9"/>
    </row>
    <row r="816">
      <c r="A816" s="6" t="s">
        <v>2218</v>
      </c>
      <c r="B816" s="6" t="s">
        <v>162</v>
      </c>
      <c r="C816" s="6" t="s">
        <v>30</v>
      </c>
      <c r="D816" s="6" t="s">
        <v>2219</v>
      </c>
      <c r="E816" s="6" t="s">
        <v>2220</v>
      </c>
      <c r="F816" s="6" t="s">
        <v>18</v>
      </c>
      <c r="G816" s="7">
        <v>0.73</v>
      </c>
      <c r="H816" s="6" t="s">
        <v>373</v>
      </c>
      <c r="I816" s="6" t="s">
        <v>20</v>
      </c>
      <c r="J816" s="6">
        <v>2015.0</v>
      </c>
      <c r="L816" s="6">
        <v>1.0</v>
      </c>
      <c r="M816" s="8">
        <f t="shared" si="1"/>
        <v>0.73</v>
      </c>
      <c r="P816" s="9"/>
    </row>
    <row r="817">
      <c r="A817" s="6" t="s">
        <v>2221</v>
      </c>
      <c r="B817" s="6" t="s">
        <v>192</v>
      </c>
      <c r="C817" s="6" t="s">
        <v>309</v>
      </c>
      <c r="D817" s="6" t="s">
        <v>2222</v>
      </c>
      <c r="E817" s="6" t="s">
        <v>185</v>
      </c>
      <c r="F817" s="6" t="s">
        <v>312</v>
      </c>
      <c r="G817" s="7">
        <v>0.75</v>
      </c>
      <c r="H817" s="6" t="s">
        <v>324</v>
      </c>
      <c r="I817" s="6" t="s">
        <v>20</v>
      </c>
      <c r="J817" s="6">
        <v>1995.0</v>
      </c>
      <c r="L817" s="6">
        <v>4.0</v>
      </c>
      <c r="M817" s="8">
        <f t="shared" si="1"/>
        <v>3</v>
      </c>
      <c r="P817" s="9"/>
    </row>
    <row r="818">
      <c r="A818" s="6" t="s">
        <v>2223</v>
      </c>
      <c r="B818" s="6" t="s">
        <v>2224</v>
      </c>
      <c r="C818" s="6" t="s">
        <v>309</v>
      </c>
      <c r="D818" s="6" t="s">
        <v>2225</v>
      </c>
      <c r="E818" s="6" t="s">
        <v>1840</v>
      </c>
      <c r="F818" s="6" t="s">
        <v>18</v>
      </c>
      <c r="G818" s="7">
        <v>0.5</v>
      </c>
      <c r="H818" s="6" t="s">
        <v>471</v>
      </c>
      <c r="I818" s="6" t="s">
        <v>20</v>
      </c>
      <c r="J818" s="6">
        <v>2026.0</v>
      </c>
      <c r="K818" s="10">
        <v>46084.0</v>
      </c>
      <c r="L818" s="6">
        <v>1.0</v>
      </c>
      <c r="M818" s="8">
        <f t="shared" si="1"/>
        <v>0.5</v>
      </c>
      <c r="P818" s="9"/>
    </row>
    <row r="819">
      <c r="A819" s="6" t="s">
        <v>2226</v>
      </c>
      <c r="B819" s="6" t="s">
        <v>292</v>
      </c>
      <c r="C819" s="6" t="s">
        <v>204</v>
      </c>
      <c r="D819" s="6" t="s">
        <v>2227</v>
      </c>
      <c r="E819" s="6" t="s">
        <v>190</v>
      </c>
      <c r="F819" s="6" t="s">
        <v>18</v>
      </c>
      <c r="G819" s="7">
        <v>0.05</v>
      </c>
      <c r="H819" s="6" t="s">
        <v>444</v>
      </c>
      <c r="I819" s="6" t="s">
        <v>20</v>
      </c>
      <c r="J819" s="6">
        <v>2012.0</v>
      </c>
      <c r="L819" s="6">
        <v>1.0</v>
      </c>
      <c r="M819" s="8">
        <f t="shared" si="1"/>
        <v>0.05</v>
      </c>
      <c r="P819" s="9"/>
    </row>
    <row r="820">
      <c r="A820" s="6" t="s">
        <v>2228</v>
      </c>
      <c r="B820" s="6" t="s">
        <v>854</v>
      </c>
      <c r="C820" s="6" t="s">
        <v>37</v>
      </c>
      <c r="D820" s="6" t="s">
        <v>2229</v>
      </c>
      <c r="E820" s="6" t="s">
        <v>57</v>
      </c>
      <c r="F820" s="6" t="s">
        <v>40</v>
      </c>
      <c r="G820" s="7">
        <v>0.07</v>
      </c>
      <c r="H820" s="6" t="s">
        <v>89</v>
      </c>
      <c r="I820" s="6" t="s">
        <v>20</v>
      </c>
      <c r="J820" s="6">
        <v>2021.0</v>
      </c>
      <c r="K820" s="10">
        <v>46024.0</v>
      </c>
      <c r="L820" s="6">
        <v>1.0</v>
      </c>
      <c r="M820" s="8">
        <f t="shared" si="1"/>
        <v>0.07</v>
      </c>
      <c r="P820" s="9"/>
    </row>
    <row r="821">
      <c r="A821" s="6" t="s">
        <v>2230</v>
      </c>
      <c r="B821" s="6" t="s">
        <v>462</v>
      </c>
      <c r="C821" s="6" t="s">
        <v>377</v>
      </c>
      <c r="D821" s="6" t="s">
        <v>2231</v>
      </c>
      <c r="E821" s="6" t="s">
        <v>822</v>
      </c>
      <c r="F821" s="6" t="s">
        <v>2232</v>
      </c>
      <c r="G821" s="7">
        <v>0.1</v>
      </c>
      <c r="H821" s="7" t="s">
        <v>1277</v>
      </c>
      <c r="I821" s="6" t="s">
        <v>20</v>
      </c>
      <c r="J821" s="6">
        <v>2004.0</v>
      </c>
      <c r="L821" s="6">
        <v>4.0</v>
      </c>
      <c r="M821" s="8">
        <f t="shared" si="1"/>
        <v>0.4</v>
      </c>
      <c r="P821" s="9"/>
    </row>
    <row r="822">
      <c r="A822" s="6" t="s">
        <v>2233</v>
      </c>
      <c r="B822" s="6" t="s">
        <v>2234</v>
      </c>
      <c r="C822" s="6" t="s">
        <v>37</v>
      </c>
      <c r="D822" s="6" t="s">
        <v>2235</v>
      </c>
      <c r="E822" s="6" t="s">
        <v>329</v>
      </c>
      <c r="F822" s="6" t="s">
        <v>112</v>
      </c>
      <c r="G822" s="7">
        <v>0.08</v>
      </c>
      <c r="H822" s="6" t="s">
        <v>1344</v>
      </c>
      <c r="I822" s="6" t="s">
        <v>20</v>
      </c>
      <c r="J822" s="6">
        <v>2018.0</v>
      </c>
      <c r="K822" s="10">
        <v>46055.0</v>
      </c>
      <c r="L822" s="6">
        <v>1.0</v>
      </c>
      <c r="M822" s="8">
        <f t="shared" si="1"/>
        <v>0.08</v>
      </c>
      <c r="P822" s="9"/>
    </row>
    <row r="823">
      <c r="A823" s="6" t="s">
        <v>2236</v>
      </c>
      <c r="B823" s="6" t="s">
        <v>74</v>
      </c>
      <c r="C823" s="6" t="s">
        <v>43</v>
      </c>
      <c r="D823" s="6" t="s">
        <v>2237</v>
      </c>
      <c r="E823" s="6" t="s">
        <v>190</v>
      </c>
      <c r="F823" s="6" t="s">
        <v>18</v>
      </c>
      <c r="G823" s="7">
        <v>0.2</v>
      </c>
      <c r="H823" s="6" t="s">
        <v>709</v>
      </c>
      <c r="I823" s="6" t="s">
        <v>20</v>
      </c>
      <c r="J823" s="6">
        <v>2017.0</v>
      </c>
      <c r="L823" s="6">
        <v>4.0</v>
      </c>
      <c r="M823" s="8">
        <f t="shared" si="1"/>
        <v>0.8</v>
      </c>
      <c r="P823" s="9"/>
    </row>
    <row r="824">
      <c r="A824" s="6" t="s">
        <v>2238</v>
      </c>
      <c r="B824" s="6" t="s">
        <v>606</v>
      </c>
      <c r="C824" s="6" t="s">
        <v>23</v>
      </c>
      <c r="D824" s="6" t="s">
        <v>2239</v>
      </c>
      <c r="E824" s="6" t="s">
        <v>659</v>
      </c>
      <c r="F824" s="6" t="s">
        <v>18</v>
      </c>
      <c r="G824" s="7">
        <v>0.07</v>
      </c>
      <c r="H824" s="6" t="s">
        <v>780</v>
      </c>
      <c r="I824" s="6" t="s">
        <v>20</v>
      </c>
      <c r="J824" s="6">
        <v>2025.0</v>
      </c>
      <c r="L824" s="6">
        <v>1.0</v>
      </c>
      <c r="M824" s="8">
        <f t="shared" si="1"/>
        <v>0.07</v>
      </c>
      <c r="P824" s="9"/>
    </row>
    <row r="825">
      <c r="A825" s="6" t="s">
        <v>2240</v>
      </c>
      <c r="B825" s="6" t="s">
        <v>162</v>
      </c>
      <c r="C825" s="6" t="s">
        <v>43</v>
      </c>
      <c r="D825" s="6" t="s">
        <v>2241</v>
      </c>
      <c r="E825" s="6" t="s">
        <v>98</v>
      </c>
      <c r="F825" s="6" t="s">
        <v>18</v>
      </c>
      <c r="G825" s="7">
        <v>0.29</v>
      </c>
      <c r="H825" s="6" t="s">
        <v>1071</v>
      </c>
      <c r="I825" s="6" t="s">
        <v>45</v>
      </c>
      <c r="J825" s="6">
        <v>2012.0</v>
      </c>
      <c r="L825" s="6">
        <v>1.0</v>
      </c>
      <c r="M825" s="8">
        <f t="shared" si="1"/>
        <v>0.29</v>
      </c>
      <c r="P825" s="9"/>
    </row>
    <row r="826">
      <c r="A826" s="6" t="s">
        <v>2242</v>
      </c>
      <c r="B826" s="6" t="s">
        <v>74</v>
      </c>
      <c r="C826" s="6" t="s">
        <v>43</v>
      </c>
      <c r="D826" s="6" t="s">
        <v>2243</v>
      </c>
      <c r="E826" s="6" t="s">
        <v>135</v>
      </c>
      <c r="F826" s="6" t="s">
        <v>40</v>
      </c>
      <c r="G826" s="7">
        <v>0.03</v>
      </c>
      <c r="H826" s="6" t="s">
        <v>290</v>
      </c>
      <c r="I826" s="6" t="s">
        <v>45</v>
      </c>
      <c r="J826" s="6">
        <v>2019.0</v>
      </c>
      <c r="L826" s="6">
        <v>4.0</v>
      </c>
      <c r="M826" s="8">
        <f t="shared" si="1"/>
        <v>0.12</v>
      </c>
      <c r="P826" s="9"/>
    </row>
    <row r="827">
      <c r="A827" s="6" t="s">
        <v>2244</v>
      </c>
      <c r="B827" s="6" t="s">
        <v>494</v>
      </c>
      <c r="C827" s="6" t="s">
        <v>43</v>
      </c>
      <c r="D827" s="6" t="s">
        <v>2245</v>
      </c>
      <c r="E827" s="6" t="s">
        <v>135</v>
      </c>
      <c r="F827" s="6" t="s">
        <v>40</v>
      </c>
      <c r="G827" s="7">
        <v>0.06</v>
      </c>
      <c r="H827" s="6" t="s">
        <v>283</v>
      </c>
      <c r="I827" s="6" t="s">
        <v>20</v>
      </c>
      <c r="J827" s="6">
        <v>2013.0</v>
      </c>
      <c r="L827" s="6">
        <v>4.0</v>
      </c>
      <c r="M827" s="8">
        <f t="shared" si="1"/>
        <v>0.24</v>
      </c>
      <c r="P827" s="9"/>
    </row>
    <row r="828">
      <c r="A828" s="6" t="s">
        <v>2246</v>
      </c>
      <c r="B828" s="6" t="s">
        <v>292</v>
      </c>
      <c r="C828" s="6" t="s">
        <v>204</v>
      </c>
      <c r="D828" s="6" t="s">
        <v>2247</v>
      </c>
      <c r="E828" s="6" t="s">
        <v>135</v>
      </c>
      <c r="F828" s="6" t="s">
        <v>40</v>
      </c>
      <c r="G828" s="7">
        <v>0.08</v>
      </c>
      <c r="H828" s="6" t="s">
        <v>631</v>
      </c>
      <c r="I828" s="6" t="s">
        <v>20</v>
      </c>
      <c r="J828" s="6">
        <v>1995.0</v>
      </c>
      <c r="L828" s="6">
        <v>3.0</v>
      </c>
      <c r="M828" s="8">
        <f t="shared" si="1"/>
        <v>0.24</v>
      </c>
      <c r="P828" s="9"/>
    </row>
    <row r="829">
      <c r="A829" s="6" t="s">
        <v>2246</v>
      </c>
      <c r="B829" s="6" t="s">
        <v>292</v>
      </c>
      <c r="C829" s="6" t="s">
        <v>204</v>
      </c>
      <c r="D829" s="6" t="s">
        <v>2248</v>
      </c>
      <c r="E829" s="6" t="s">
        <v>135</v>
      </c>
      <c r="F829" s="6" t="s">
        <v>40</v>
      </c>
      <c r="G829" s="7">
        <v>0.08</v>
      </c>
      <c r="H829" s="6" t="s">
        <v>259</v>
      </c>
      <c r="I829" s="6" t="s">
        <v>20</v>
      </c>
      <c r="J829" s="6">
        <v>1996.0</v>
      </c>
      <c r="L829" s="6">
        <v>1.0</v>
      </c>
      <c r="M829" s="8">
        <f t="shared" si="1"/>
        <v>0.08</v>
      </c>
      <c r="P829" s="9"/>
    </row>
    <row r="830">
      <c r="A830" s="6" t="s">
        <v>2249</v>
      </c>
      <c r="B830" s="6" t="s">
        <v>2250</v>
      </c>
      <c r="C830" s="6" t="s">
        <v>43</v>
      </c>
      <c r="D830" s="6" t="s">
        <v>2251</v>
      </c>
      <c r="E830" s="6" t="s">
        <v>554</v>
      </c>
      <c r="F830" s="6" t="s">
        <v>40</v>
      </c>
      <c r="G830" s="7">
        <v>0.06</v>
      </c>
      <c r="H830" s="6" t="s">
        <v>2087</v>
      </c>
      <c r="I830" s="6" t="s">
        <v>20</v>
      </c>
      <c r="J830" s="6">
        <v>2000.0</v>
      </c>
      <c r="K830" s="10">
        <v>46055.0</v>
      </c>
      <c r="L830" s="6">
        <v>1.0</v>
      </c>
      <c r="M830" s="8">
        <f t="shared" si="1"/>
        <v>0.06</v>
      </c>
      <c r="P830" s="9"/>
    </row>
    <row r="831">
      <c r="A831" s="6" t="s">
        <v>2252</v>
      </c>
      <c r="B831" s="6" t="s">
        <v>2253</v>
      </c>
      <c r="C831" s="6" t="s">
        <v>1488</v>
      </c>
      <c r="D831" s="6" t="s">
        <v>2254</v>
      </c>
      <c r="E831" s="6" t="s">
        <v>311</v>
      </c>
      <c r="F831" s="6" t="s">
        <v>26</v>
      </c>
      <c r="G831" s="7">
        <v>0.89</v>
      </c>
      <c r="H831" s="6" t="s">
        <v>903</v>
      </c>
      <c r="I831" s="6" t="s">
        <v>20</v>
      </c>
      <c r="J831" s="6">
        <v>2016.0</v>
      </c>
      <c r="K831" s="10">
        <v>46210.0</v>
      </c>
      <c r="L831" s="6">
        <v>1.0</v>
      </c>
      <c r="M831" s="8">
        <f t="shared" si="1"/>
        <v>0.89</v>
      </c>
      <c r="P831" s="9"/>
    </row>
    <row r="832">
      <c r="A832" s="6" t="s">
        <v>2255</v>
      </c>
      <c r="B832" s="6" t="s">
        <v>2256</v>
      </c>
      <c r="C832" s="6" t="s">
        <v>23</v>
      </c>
      <c r="D832" s="6" t="s">
        <v>2257</v>
      </c>
      <c r="E832" s="6" t="s">
        <v>152</v>
      </c>
      <c r="F832" s="6" t="s">
        <v>40</v>
      </c>
      <c r="G832" s="7">
        <v>0.1</v>
      </c>
      <c r="H832" s="6" t="s">
        <v>780</v>
      </c>
      <c r="I832" s="6" t="s">
        <v>20</v>
      </c>
      <c r="J832" s="6">
        <v>2025.0</v>
      </c>
      <c r="K832" s="10">
        <v>46023.0</v>
      </c>
      <c r="L832" s="6">
        <v>1.0</v>
      </c>
      <c r="M832" s="8">
        <f t="shared" si="1"/>
        <v>0.1</v>
      </c>
      <c r="P832" s="9"/>
    </row>
    <row r="833">
      <c r="A833" s="6" t="s">
        <v>2258</v>
      </c>
      <c r="B833" s="6" t="s">
        <v>2259</v>
      </c>
      <c r="C833" s="6" t="s">
        <v>43</v>
      </c>
      <c r="D833" s="6" t="s">
        <v>2260</v>
      </c>
      <c r="E833" s="6" t="s">
        <v>1093</v>
      </c>
      <c r="F833" s="6" t="s">
        <v>77</v>
      </c>
      <c r="G833" s="7">
        <v>0.1</v>
      </c>
      <c r="H833" s="6" t="s">
        <v>297</v>
      </c>
      <c r="I833" s="6" t="s">
        <v>20</v>
      </c>
      <c r="J833" s="6">
        <v>2022.0</v>
      </c>
      <c r="K833" s="10">
        <v>46147.0</v>
      </c>
      <c r="L833" s="6">
        <v>1.0</v>
      </c>
      <c r="M833" s="8">
        <f t="shared" si="1"/>
        <v>0.1</v>
      </c>
      <c r="P833" s="9"/>
    </row>
    <row r="834">
      <c r="A834" s="6" t="s">
        <v>2258</v>
      </c>
      <c r="B834" s="6" t="s">
        <v>2259</v>
      </c>
      <c r="C834" s="6" t="s">
        <v>43</v>
      </c>
      <c r="D834" s="6" t="s">
        <v>2260</v>
      </c>
      <c r="E834" s="6" t="s">
        <v>1093</v>
      </c>
      <c r="F834" s="6" t="s">
        <v>77</v>
      </c>
      <c r="G834" s="7">
        <v>0.1</v>
      </c>
      <c r="H834" s="6" t="s">
        <v>297</v>
      </c>
      <c r="I834" s="6" t="s">
        <v>20</v>
      </c>
      <c r="J834" s="6">
        <v>2022.0</v>
      </c>
      <c r="K834" s="10">
        <v>46147.0</v>
      </c>
      <c r="L834" s="6">
        <v>1.0</v>
      </c>
      <c r="M834" s="8">
        <f t="shared" si="1"/>
        <v>0.1</v>
      </c>
      <c r="P834" s="9"/>
    </row>
    <row r="835">
      <c r="A835" s="6" t="s">
        <v>2261</v>
      </c>
      <c r="B835" s="6" t="s">
        <v>2262</v>
      </c>
      <c r="C835" s="6" t="s">
        <v>37</v>
      </c>
      <c r="D835" s="6" t="s">
        <v>2263</v>
      </c>
      <c r="E835" s="6" t="s">
        <v>76</v>
      </c>
      <c r="F835" s="6" t="s">
        <v>77</v>
      </c>
      <c r="G835" s="7">
        <v>0.15</v>
      </c>
      <c r="H835" s="6" t="s">
        <v>297</v>
      </c>
      <c r="I835" s="6" t="s">
        <v>20</v>
      </c>
      <c r="J835" s="6">
        <v>2022.0</v>
      </c>
      <c r="K835" s="10">
        <v>46024.0</v>
      </c>
      <c r="L835" s="6">
        <v>1.0</v>
      </c>
      <c r="M835" s="8">
        <f t="shared" si="1"/>
        <v>0.15</v>
      </c>
      <c r="P835" s="9"/>
    </row>
    <row r="836">
      <c r="A836" s="6" t="s">
        <v>2264</v>
      </c>
      <c r="B836" s="6" t="s">
        <v>2265</v>
      </c>
      <c r="C836" s="6" t="s">
        <v>37</v>
      </c>
      <c r="D836" s="6" t="s">
        <v>2266</v>
      </c>
      <c r="E836" s="6" t="s">
        <v>708</v>
      </c>
      <c r="F836" s="6" t="s">
        <v>112</v>
      </c>
      <c r="G836" s="7">
        <v>0.2</v>
      </c>
      <c r="H836" s="6" t="s">
        <v>428</v>
      </c>
      <c r="I836" s="6" t="s">
        <v>20</v>
      </c>
      <c r="J836" s="6">
        <v>2022.0</v>
      </c>
      <c r="K836" s="10">
        <v>46084.0</v>
      </c>
      <c r="L836" s="6">
        <v>1.0</v>
      </c>
      <c r="M836" s="8">
        <f t="shared" si="1"/>
        <v>0.2</v>
      </c>
      <c r="P836" s="9"/>
    </row>
    <row r="837">
      <c r="A837" s="6" t="s">
        <v>2267</v>
      </c>
      <c r="B837" s="6" t="s">
        <v>494</v>
      </c>
      <c r="C837" s="6" t="s">
        <v>37</v>
      </c>
      <c r="D837" s="6" t="s">
        <v>2268</v>
      </c>
      <c r="E837" s="6" t="s">
        <v>1147</v>
      </c>
      <c r="F837" s="6" t="s">
        <v>18</v>
      </c>
      <c r="G837" s="7">
        <v>0.1</v>
      </c>
      <c r="H837" s="6" t="s">
        <v>270</v>
      </c>
      <c r="I837" s="6" t="s">
        <v>20</v>
      </c>
      <c r="J837" s="6">
        <v>2022.0</v>
      </c>
      <c r="L837" s="6">
        <v>1.0</v>
      </c>
      <c r="M837" s="8">
        <f t="shared" si="1"/>
        <v>0.1</v>
      </c>
      <c r="P837" s="9"/>
    </row>
    <row r="838">
      <c r="A838" s="6" t="s">
        <v>2269</v>
      </c>
      <c r="B838" s="6" t="s">
        <v>2270</v>
      </c>
      <c r="C838" s="6" t="s">
        <v>43</v>
      </c>
      <c r="D838" s="6" t="s">
        <v>2271</v>
      </c>
      <c r="E838" s="6" t="s">
        <v>224</v>
      </c>
      <c r="F838" s="6" t="s">
        <v>18</v>
      </c>
      <c r="G838" s="7">
        <v>0.1</v>
      </c>
      <c r="H838" s="6" t="s">
        <v>136</v>
      </c>
      <c r="I838" s="6" t="s">
        <v>20</v>
      </c>
      <c r="J838" s="6">
        <v>2026.0</v>
      </c>
      <c r="K838" s="10">
        <v>46115.0</v>
      </c>
      <c r="L838" s="6">
        <v>3.0</v>
      </c>
      <c r="M838" s="8">
        <f t="shared" si="1"/>
        <v>0.3</v>
      </c>
      <c r="P838" s="9"/>
    </row>
    <row r="839">
      <c r="A839" s="6" t="s">
        <v>2272</v>
      </c>
      <c r="B839" s="6" t="s">
        <v>2270</v>
      </c>
      <c r="C839" s="6" t="s">
        <v>37</v>
      </c>
      <c r="D839" s="6" t="s">
        <v>2273</v>
      </c>
      <c r="E839" s="6" t="s">
        <v>98</v>
      </c>
      <c r="F839" s="6" t="s">
        <v>18</v>
      </c>
      <c r="G839" s="7">
        <v>0.1</v>
      </c>
      <c r="H839" s="6" t="s">
        <v>136</v>
      </c>
      <c r="I839" s="6" t="s">
        <v>20</v>
      </c>
      <c r="J839" s="6">
        <v>2026.0</v>
      </c>
      <c r="K839" s="10">
        <v>46054.0</v>
      </c>
      <c r="L839" s="6">
        <v>2.0</v>
      </c>
      <c r="M839" s="8">
        <f t="shared" si="1"/>
        <v>0.2</v>
      </c>
      <c r="P839" s="9"/>
    </row>
    <row r="840">
      <c r="A840" s="6" t="s">
        <v>2272</v>
      </c>
      <c r="B840" s="6" t="s">
        <v>2270</v>
      </c>
      <c r="C840" s="6" t="s">
        <v>37</v>
      </c>
      <c r="D840" s="6" t="s">
        <v>2273</v>
      </c>
      <c r="E840" s="6" t="s">
        <v>98</v>
      </c>
      <c r="F840" s="6" t="s">
        <v>18</v>
      </c>
      <c r="G840" s="7">
        <v>0.29</v>
      </c>
      <c r="H840" s="6" t="s">
        <v>136</v>
      </c>
      <c r="I840" s="6" t="s">
        <v>45</v>
      </c>
      <c r="J840" s="6">
        <v>2026.0</v>
      </c>
      <c r="K840" s="10">
        <v>46054.0</v>
      </c>
      <c r="L840" s="6">
        <v>1.0</v>
      </c>
      <c r="M840" s="8">
        <f t="shared" si="1"/>
        <v>0.29</v>
      </c>
      <c r="P840" s="9"/>
    </row>
    <row r="841">
      <c r="A841" s="6" t="s">
        <v>2274</v>
      </c>
      <c r="B841" s="6" t="s">
        <v>606</v>
      </c>
      <c r="C841" s="6" t="s">
        <v>15</v>
      </c>
      <c r="D841" s="6" t="s">
        <v>2275</v>
      </c>
      <c r="E841" s="6" t="s">
        <v>1364</v>
      </c>
      <c r="F841" s="6" t="s">
        <v>18</v>
      </c>
      <c r="G841" s="7">
        <v>1.29</v>
      </c>
      <c r="H841" s="6" t="s">
        <v>1784</v>
      </c>
      <c r="I841" s="6" t="s">
        <v>20</v>
      </c>
      <c r="J841" s="6">
        <v>2026.0</v>
      </c>
      <c r="L841" s="6">
        <v>2.0</v>
      </c>
      <c r="M841" s="8">
        <f t="shared" si="1"/>
        <v>2.58</v>
      </c>
      <c r="P841" s="9"/>
    </row>
    <row r="842">
      <c r="A842" s="6" t="s">
        <v>2276</v>
      </c>
      <c r="B842" s="6" t="s">
        <v>2277</v>
      </c>
      <c r="C842" s="6" t="s">
        <v>30</v>
      </c>
      <c r="D842" s="6" t="s">
        <v>2278</v>
      </c>
      <c r="E842" s="6" t="s">
        <v>891</v>
      </c>
      <c r="F842" s="6" t="s">
        <v>77</v>
      </c>
      <c r="G842" s="7">
        <v>0.33</v>
      </c>
      <c r="H842" s="6" t="s">
        <v>2279</v>
      </c>
      <c r="I842" s="6" t="s">
        <v>20</v>
      </c>
      <c r="J842" s="6">
        <v>2015.0</v>
      </c>
      <c r="K842" s="10">
        <v>46177.0</v>
      </c>
      <c r="L842" s="6">
        <v>1.0</v>
      </c>
      <c r="M842" s="8">
        <f t="shared" si="1"/>
        <v>0.33</v>
      </c>
      <c r="P842" s="9"/>
    </row>
    <row r="843">
      <c r="A843" s="6" t="s">
        <v>2280</v>
      </c>
      <c r="B843" s="6" t="s">
        <v>2281</v>
      </c>
      <c r="C843" s="6" t="s">
        <v>30</v>
      </c>
      <c r="D843" s="6" t="s">
        <v>2282</v>
      </c>
      <c r="E843" s="6" t="s">
        <v>2283</v>
      </c>
      <c r="F843" s="6" t="s">
        <v>2284</v>
      </c>
      <c r="G843" s="7">
        <v>1.5</v>
      </c>
      <c r="H843" s="6" t="s">
        <v>471</v>
      </c>
      <c r="I843" s="6" t="s">
        <v>20</v>
      </c>
      <c r="J843" s="6">
        <v>2026.0</v>
      </c>
      <c r="K843" s="6" t="s">
        <v>100</v>
      </c>
      <c r="L843" s="6">
        <v>1.0</v>
      </c>
      <c r="M843" s="8">
        <f t="shared" si="1"/>
        <v>1.5</v>
      </c>
      <c r="P843" s="9"/>
    </row>
    <row r="844">
      <c r="A844" s="6" t="s">
        <v>2285</v>
      </c>
      <c r="B844" s="6" t="s">
        <v>162</v>
      </c>
      <c r="C844" s="6" t="s">
        <v>43</v>
      </c>
      <c r="D844" s="6" t="s">
        <v>2286</v>
      </c>
      <c r="E844" s="6" t="s">
        <v>448</v>
      </c>
      <c r="F844" s="6" t="s">
        <v>112</v>
      </c>
      <c r="G844" s="7">
        <v>0.09</v>
      </c>
      <c r="H844" s="6" t="s">
        <v>2287</v>
      </c>
      <c r="I844" s="6" t="s">
        <v>20</v>
      </c>
      <c r="J844" s="6">
        <v>2005.0</v>
      </c>
      <c r="L844" s="6">
        <v>1.0</v>
      </c>
      <c r="M844" s="8">
        <f t="shared" si="1"/>
        <v>0.09</v>
      </c>
      <c r="P844" s="9"/>
    </row>
    <row r="845">
      <c r="A845" s="6" t="s">
        <v>2288</v>
      </c>
      <c r="B845" s="6" t="s">
        <v>74</v>
      </c>
      <c r="C845" s="6" t="s">
        <v>43</v>
      </c>
      <c r="D845" s="6" t="s">
        <v>2289</v>
      </c>
      <c r="E845" s="6" t="s">
        <v>2290</v>
      </c>
      <c r="F845" s="6" t="s">
        <v>1000</v>
      </c>
      <c r="G845" s="7">
        <v>0.24</v>
      </c>
      <c r="H845" s="6" t="s">
        <v>2291</v>
      </c>
      <c r="I845" s="6" t="s">
        <v>20</v>
      </c>
      <c r="J845" s="6">
        <v>2008.0</v>
      </c>
      <c r="L845" s="6">
        <v>1.0</v>
      </c>
      <c r="M845" s="8">
        <f t="shared" si="1"/>
        <v>0.24</v>
      </c>
      <c r="P845" s="9"/>
    </row>
    <row r="846">
      <c r="A846" s="6" t="s">
        <v>2292</v>
      </c>
      <c r="B846" s="6" t="s">
        <v>2207</v>
      </c>
      <c r="C846" s="6" t="s">
        <v>30</v>
      </c>
      <c r="D846" s="6" t="s">
        <v>2293</v>
      </c>
      <c r="E846" s="6" t="s">
        <v>420</v>
      </c>
      <c r="F846" s="6" t="s">
        <v>40</v>
      </c>
      <c r="G846" s="7">
        <v>0.2</v>
      </c>
      <c r="H846" s="6" t="s">
        <v>2041</v>
      </c>
      <c r="I846" s="6" t="s">
        <v>20</v>
      </c>
      <c r="J846" s="6">
        <v>1998.0</v>
      </c>
      <c r="L846" s="6">
        <v>1.0</v>
      </c>
      <c r="M846" s="8">
        <f t="shared" si="1"/>
        <v>0.2</v>
      </c>
      <c r="P846" s="9"/>
    </row>
    <row r="847">
      <c r="A847" s="6" t="s">
        <v>2294</v>
      </c>
      <c r="B847" s="6" t="s">
        <v>2295</v>
      </c>
      <c r="C847" s="6" t="s">
        <v>37</v>
      </c>
      <c r="D847" s="6" t="s">
        <v>2296</v>
      </c>
      <c r="E847" s="6" t="s">
        <v>248</v>
      </c>
      <c r="F847" s="6" t="s">
        <v>77</v>
      </c>
      <c r="G847" s="7">
        <v>0.09</v>
      </c>
      <c r="H847" s="6" t="s">
        <v>746</v>
      </c>
      <c r="I847" s="6" t="s">
        <v>20</v>
      </c>
      <c r="J847" s="6">
        <v>2024.0</v>
      </c>
      <c r="K847" s="10">
        <v>46057.0</v>
      </c>
      <c r="L847" s="6">
        <v>1.0</v>
      </c>
      <c r="M847" s="8">
        <f t="shared" si="1"/>
        <v>0.09</v>
      </c>
      <c r="P847" s="9"/>
    </row>
    <row r="848">
      <c r="A848" s="6" t="s">
        <v>2297</v>
      </c>
      <c r="B848" s="6" t="s">
        <v>1651</v>
      </c>
      <c r="C848" s="6" t="s">
        <v>37</v>
      </c>
      <c r="D848" s="6" t="s">
        <v>2298</v>
      </c>
      <c r="E848" s="6" t="s">
        <v>356</v>
      </c>
      <c r="F848" s="6" t="s">
        <v>87</v>
      </c>
      <c r="G848" s="7">
        <v>0.13</v>
      </c>
      <c r="H848" s="6" t="s">
        <v>651</v>
      </c>
      <c r="I848" s="6" t="s">
        <v>20</v>
      </c>
      <c r="J848" s="6">
        <v>2022.0</v>
      </c>
      <c r="L848" s="6">
        <v>1.0</v>
      </c>
      <c r="M848" s="8">
        <f t="shared" si="1"/>
        <v>0.13</v>
      </c>
      <c r="P848" s="9"/>
    </row>
    <row r="849">
      <c r="A849" s="6" t="s">
        <v>2299</v>
      </c>
      <c r="B849" s="6" t="s">
        <v>647</v>
      </c>
      <c r="C849" s="6" t="s">
        <v>43</v>
      </c>
      <c r="D849" s="6" t="s">
        <v>2300</v>
      </c>
      <c r="E849" s="6" t="s">
        <v>185</v>
      </c>
      <c r="F849" s="6" t="s">
        <v>26</v>
      </c>
      <c r="G849" s="7">
        <v>0.2</v>
      </c>
      <c r="H849" s="6" t="s">
        <v>324</v>
      </c>
      <c r="I849" s="6" t="s">
        <v>20</v>
      </c>
      <c r="J849" s="6">
        <v>1995.0</v>
      </c>
      <c r="K849" s="10">
        <v>46082.0</v>
      </c>
      <c r="L849" s="6">
        <v>1.0</v>
      </c>
      <c r="M849" s="8">
        <f t="shared" si="1"/>
        <v>0.2</v>
      </c>
      <c r="P849" s="9"/>
    </row>
    <row r="850">
      <c r="A850" s="6" t="s">
        <v>2301</v>
      </c>
      <c r="B850" s="6" t="s">
        <v>494</v>
      </c>
      <c r="C850" s="6" t="s">
        <v>37</v>
      </c>
      <c r="D850" s="6" t="s">
        <v>2302</v>
      </c>
      <c r="E850" s="6" t="s">
        <v>256</v>
      </c>
      <c r="F850" s="6" t="s">
        <v>87</v>
      </c>
      <c r="G850" s="7">
        <v>0.06</v>
      </c>
      <c r="H850" s="6" t="s">
        <v>922</v>
      </c>
      <c r="I850" s="6" t="s">
        <v>20</v>
      </c>
      <c r="J850" s="6">
        <v>2014.0</v>
      </c>
      <c r="L850" s="6">
        <v>1.0</v>
      </c>
      <c r="M850" s="8">
        <f t="shared" si="1"/>
        <v>0.06</v>
      </c>
      <c r="P850" s="9"/>
    </row>
    <row r="851">
      <c r="A851" s="6" t="s">
        <v>2303</v>
      </c>
      <c r="B851" s="6" t="s">
        <v>1947</v>
      </c>
      <c r="C851" s="6" t="s">
        <v>37</v>
      </c>
      <c r="D851" s="6" t="s">
        <v>2304</v>
      </c>
      <c r="E851" s="6" t="s">
        <v>757</v>
      </c>
      <c r="F851" s="6" t="s">
        <v>87</v>
      </c>
      <c r="G851" s="7">
        <v>0.1</v>
      </c>
      <c r="H851" s="6" t="s">
        <v>324</v>
      </c>
      <c r="I851" s="6" t="s">
        <v>20</v>
      </c>
      <c r="J851" s="6">
        <v>1995.0</v>
      </c>
      <c r="K851" s="10">
        <v>46083.0</v>
      </c>
      <c r="L851" s="6">
        <v>3.0</v>
      </c>
      <c r="M851" s="8">
        <f t="shared" si="1"/>
        <v>0.3</v>
      </c>
      <c r="P851" s="9"/>
    </row>
    <row r="852">
      <c r="A852" s="6" t="s">
        <v>2303</v>
      </c>
      <c r="B852" s="6" t="s">
        <v>1947</v>
      </c>
      <c r="C852" s="6" t="s">
        <v>37</v>
      </c>
      <c r="D852" s="6" t="s">
        <v>2304</v>
      </c>
      <c r="E852" s="6" t="s">
        <v>757</v>
      </c>
      <c r="F852" s="6" t="s">
        <v>87</v>
      </c>
      <c r="G852" s="7">
        <v>0.5</v>
      </c>
      <c r="H852" s="6" t="s">
        <v>316</v>
      </c>
      <c r="I852" s="6" t="s">
        <v>20</v>
      </c>
      <c r="J852" s="6">
        <v>1995.0</v>
      </c>
      <c r="K852" s="10">
        <v>46083.0</v>
      </c>
      <c r="L852" s="6">
        <v>1.0</v>
      </c>
      <c r="M852" s="8">
        <f t="shared" si="1"/>
        <v>0.5</v>
      </c>
      <c r="P852" s="9"/>
    </row>
    <row r="853">
      <c r="A853" s="6" t="s">
        <v>2305</v>
      </c>
      <c r="B853" s="6" t="s">
        <v>953</v>
      </c>
      <c r="C853" s="6" t="s">
        <v>43</v>
      </c>
      <c r="D853" s="6" t="s">
        <v>2306</v>
      </c>
      <c r="E853" s="6" t="s">
        <v>57</v>
      </c>
      <c r="F853" s="6" t="s">
        <v>40</v>
      </c>
      <c r="G853" s="7">
        <v>0.06</v>
      </c>
      <c r="H853" s="6" t="s">
        <v>297</v>
      </c>
      <c r="I853" s="6" t="s">
        <v>20</v>
      </c>
      <c r="J853" s="6">
        <v>2022.0</v>
      </c>
      <c r="K853" s="10">
        <v>46056.0</v>
      </c>
      <c r="L853" s="6">
        <v>1.0</v>
      </c>
      <c r="M853" s="8">
        <f t="shared" si="1"/>
        <v>0.06</v>
      </c>
      <c r="P853" s="9"/>
    </row>
    <row r="854">
      <c r="A854" s="6" t="s">
        <v>2307</v>
      </c>
      <c r="B854" s="6" t="s">
        <v>2308</v>
      </c>
      <c r="C854" s="6" t="s">
        <v>37</v>
      </c>
      <c r="D854" s="6" t="s">
        <v>2309</v>
      </c>
      <c r="E854" s="6" t="s">
        <v>964</v>
      </c>
      <c r="F854" s="6" t="s">
        <v>50</v>
      </c>
      <c r="G854" s="7">
        <v>0.24</v>
      </c>
      <c r="H854" s="6" t="s">
        <v>34</v>
      </c>
      <c r="I854" s="6" t="s">
        <v>20</v>
      </c>
      <c r="J854" s="6">
        <v>2025.0</v>
      </c>
      <c r="K854" s="6" t="s">
        <v>2310</v>
      </c>
      <c r="L854" s="6">
        <v>1.0</v>
      </c>
      <c r="M854" s="8">
        <f t="shared" si="1"/>
        <v>0.24</v>
      </c>
      <c r="P854" s="9"/>
    </row>
    <row r="855">
      <c r="A855" s="6" t="s">
        <v>2311</v>
      </c>
      <c r="B855" s="6" t="s">
        <v>219</v>
      </c>
      <c r="C855" s="6" t="s">
        <v>37</v>
      </c>
      <c r="D855" s="6" t="s">
        <v>2312</v>
      </c>
      <c r="E855" s="6" t="s">
        <v>86</v>
      </c>
      <c r="F855" s="6" t="s">
        <v>87</v>
      </c>
      <c r="G855" s="7">
        <v>0.1</v>
      </c>
      <c r="H855" s="6" t="s">
        <v>297</v>
      </c>
      <c r="I855" s="6" t="s">
        <v>20</v>
      </c>
      <c r="J855" s="6">
        <v>2022.0</v>
      </c>
      <c r="L855" s="6">
        <v>1.0</v>
      </c>
      <c r="M855" s="8">
        <f t="shared" si="1"/>
        <v>0.1</v>
      </c>
      <c r="P855" s="9"/>
    </row>
    <row r="856">
      <c r="A856" s="6" t="s">
        <v>2313</v>
      </c>
      <c r="B856" s="6" t="s">
        <v>657</v>
      </c>
      <c r="C856" s="6" t="s">
        <v>15</v>
      </c>
      <c r="D856" s="6" t="s">
        <v>2314</v>
      </c>
      <c r="E856" s="6" t="s">
        <v>152</v>
      </c>
      <c r="F856" s="6" t="s">
        <v>40</v>
      </c>
      <c r="G856" s="7">
        <v>0.15</v>
      </c>
      <c r="H856" s="6" t="s">
        <v>153</v>
      </c>
      <c r="I856" s="6" t="s">
        <v>20</v>
      </c>
      <c r="J856" s="6">
        <v>2025.0</v>
      </c>
      <c r="L856" s="6">
        <v>1.0</v>
      </c>
      <c r="M856" s="8">
        <f t="shared" si="1"/>
        <v>0.15</v>
      </c>
      <c r="P856" s="9"/>
    </row>
    <row r="857">
      <c r="A857" s="6" t="s">
        <v>2313</v>
      </c>
      <c r="B857" s="6" t="s">
        <v>657</v>
      </c>
      <c r="C857" s="6" t="s">
        <v>15</v>
      </c>
      <c r="D857" s="6" t="s">
        <v>2314</v>
      </c>
      <c r="E857" s="6" t="s">
        <v>152</v>
      </c>
      <c r="F857" s="6" t="s">
        <v>40</v>
      </c>
      <c r="G857" s="7">
        <v>0.5</v>
      </c>
      <c r="H857" s="6" t="s">
        <v>153</v>
      </c>
      <c r="I857" s="6" t="s">
        <v>45</v>
      </c>
      <c r="J857" s="6">
        <v>2025.0</v>
      </c>
      <c r="L857" s="6">
        <v>1.0</v>
      </c>
      <c r="M857" s="8">
        <f t="shared" si="1"/>
        <v>0.5</v>
      </c>
      <c r="P857" s="9"/>
    </row>
    <row r="858">
      <c r="A858" s="6" t="s">
        <v>2315</v>
      </c>
      <c r="B858" s="6" t="s">
        <v>2316</v>
      </c>
      <c r="C858" s="6" t="s">
        <v>23</v>
      </c>
      <c r="D858" s="6" t="s">
        <v>2317</v>
      </c>
      <c r="E858" s="6" t="s">
        <v>1936</v>
      </c>
      <c r="F858" s="6" t="s">
        <v>18</v>
      </c>
      <c r="G858" s="7">
        <v>0.05</v>
      </c>
      <c r="H858" s="6" t="s">
        <v>2318</v>
      </c>
      <c r="I858" s="6" t="s">
        <v>20</v>
      </c>
      <c r="J858" s="6">
        <v>2025.0</v>
      </c>
      <c r="K858" s="10">
        <v>46024.0</v>
      </c>
      <c r="L858" s="6">
        <v>3.0</v>
      </c>
      <c r="M858" s="8">
        <f t="shared" si="1"/>
        <v>0.15</v>
      </c>
      <c r="P858" s="9"/>
    </row>
    <row r="859">
      <c r="A859" s="6" t="s">
        <v>2319</v>
      </c>
      <c r="B859" s="6" t="s">
        <v>462</v>
      </c>
      <c r="C859" s="6" t="s">
        <v>43</v>
      </c>
      <c r="D859" s="6" t="s">
        <v>2320</v>
      </c>
      <c r="E859" s="6" t="s">
        <v>2321</v>
      </c>
      <c r="F859" s="6" t="s">
        <v>77</v>
      </c>
      <c r="G859" s="7">
        <v>0.05</v>
      </c>
      <c r="H859" s="6" t="s">
        <v>83</v>
      </c>
      <c r="I859" s="6" t="s">
        <v>20</v>
      </c>
      <c r="J859" s="6">
        <v>1995.0</v>
      </c>
      <c r="L859" s="6">
        <v>5.0</v>
      </c>
      <c r="M859" s="8">
        <f t="shared" si="1"/>
        <v>0.25</v>
      </c>
      <c r="P859" s="9"/>
    </row>
    <row r="860">
      <c r="A860" s="6" t="s">
        <v>2319</v>
      </c>
      <c r="B860" s="6" t="s">
        <v>462</v>
      </c>
      <c r="C860" s="6" t="s">
        <v>43</v>
      </c>
      <c r="D860" s="6" t="s">
        <v>2320</v>
      </c>
      <c r="E860" s="6" t="s">
        <v>2321</v>
      </c>
      <c r="F860" s="6" t="s">
        <v>77</v>
      </c>
      <c r="G860" s="7">
        <v>0.19</v>
      </c>
      <c r="H860" s="6" t="s">
        <v>1064</v>
      </c>
      <c r="I860" s="6" t="s">
        <v>20</v>
      </c>
      <c r="J860" s="6">
        <v>1995.0</v>
      </c>
      <c r="L860" s="6">
        <v>3.0</v>
      </c>
      <c r="M860" s="8">
        <f t="shared" si="1"/>
        <v>0.57</v>
      </c>
      <c r="P860" s="9"/>
    </row>
    <row r="861">
      <c r="A861" s="6" t="s">
        <v>2319</v>
      </c>
      <c r="B861" s="6" t="s">
        <v>462</v>
      </c>
      <c r="C861" s="6" t="s">
        <v>43</v>
      </c>
      <c r="D861" s="6" t="s">
        <v>2320</v>
      </c>
      <c r="E861" s="6" t="s">
        <v>2321</v>
      </c>
      <c r="F861" s="6" t="s">
        <v>77</v>
      </c>
      <c r="G861" s="7">
        <v>0.25</v>
      </c>
      <c r="H861" s="6" t="s">
        <v>453</v>
      </c>
      <c r="I861" s="6" t="s">
        <v>20</v>
      </c>
      <c r="J861" s="6">
        <v>1994.0</v>
      </c>
      <c r="L861" s="6">
        <v>4.0</v>
      </c>
      <c r="M861" s="8">
        <f t="shared" si="1"/>
        <v>1</v>
      </c>
      <c r="P861" s="9"/>
    </row>
    <row r="862">
      <c r="A862" s="6" t="s">
        <v>2322</v>
      </c>
      <c r="B862" s="6" t="s">
        <v>146</v>
      </c>
      <c r="C862" s="6" t="s">
        <v>30</v>
      </c>
      <c r="D862" s="6" t="s">
        <v>2323</v>
      </c>
      <c r="E862" s="6" t="s">
        <v>98</v>
      </c>
      <c r="F862" s="6" t="s">
        <v>18</v>
      </c>
      <c r="G862" s="7">
        <v>0.25</v>
      </c>
      <c r="H862" s="6" t="s">
        <v>531</v>
      </c>
      <c r="I862" s="6" t="s">
        <v>20</v>
      </c>
      <c r="J862" s="6">
        <v>2017.0</v>
      </c>
      <c r="L862" s="6">
        <v>1.0</v>
      </c>
      <c r="M862" s="8">
        <f t="shared" si="1"/>
        <v>0.25</v>
      </c>
      <c r="P862" s="9"/>
    </row>
    <row r="863">
      <c r="A863" s="6" t="s">
        <v>2324</v>
      </c>
      <c r="B863" s="6" t="s">
        <v>494</v>
      </c>
      <c r="C863" s="6" t="s">
        <v>43</v>
      </c>
      <c r="D863" s="6" t="s">
        <v>2325</v>
      </c>
      <c r="E863" s="6" t="s">
        <v>98</v>
      </c>
      <c r="F863" s="6" t="s">
        <v>18</v>
      </c>
      <c r="G863" s="7">
        <v>0.05</v>
      </c>
      <c r="H863" s="6" t="s">
        <v>238</v>
      </c>
      <c r="I863" s="6" t="s">
        <v>20</v>
      </c>
      <c r="J863" s="6">
        <v>2024.0</v>
      </c>
      <c r="L863" s="6">
        <v>1.0</v>
      </c>
      <c r="M863" s="8">
        <f t="shared" si="1"/>
        <v>0.05</v>
      </c>
      <c r="P863" s="9"/>
    </row>
    <row r="864">
      <c r="A864" s="6" t="s">
        <v>2326</v>
      </c>
      <c r="B864" s="6" t="s">
        <v>771</v>
      </c>
      <c r="C864" s="6" t="s">
        <v>43</v>
      </c>
      <c r="D864" s="6" t="s">
        <v>2327</v>
      </c>
      <c r="E864" s="6" t="s">
        <v>1917</v>
      </c>
      <c r="F864" s="6" t="s">
        <v>77</v>
      </c>
      <c r="G864" s="7">
        <v>0.05</v>
      </c>
      <c r="H864" s="6" t="s">
        <v>165</v>
      </c>
      <c r="I864" s="6" t="s">
        <v>20</v>
      </c>
      <c r="J864" s="6">
        <v>2020.0</v>
      </c>
      <c r="K864" s="10">
        <v>46056.0</v>
      </c>
      <c r="L864" s="6">
        <v>1.0</v>
      </c>
      <c r="M864" s="8">
        <f t="shared" si="1"/>
        <v>0.05</v>
      </c>
      <c r="P864" s="9"/>
    </row>
    <row r="865">
      <c r="A865" s="6" t="s">
        <v>2328</v>
      </c>
      <c r="B865" s="6" t="s">
        <v>2329</v>
      </c>
      <c r="C865" s="6" t="s">
        <v>30</v>
      </c>
      <c r="D865" s="6" t="s">
        <v>2330</v>
      </c>
      <c r="E865" s="6" t="s">
        <v>2331</v>
      </c>
      <c r="F865" s="6" t="s">
        <v>77</v>
      </c>
      <c r="G865" s="7">
        <v>0.32</v>
      </c>
      <c r="H865" s="6" t="s">
        <v>144</v>
      </c>
      <c r="I865" s="6" t="s">
        <v>20</v>
      </c>
      <c r="J865" s="6">
        <v>2018.0</v>
      </c>
      <c r="K865" s="10">
        <v>46084.0</v>
      </c>
      <c r="L865" s="6">
        <v>2.0</v>
      </c>
      <c r="M865" s="8">
        <f t="shared" si="1"/>
        <v>0.64</v>
      </c>
      <c r="P865" s="9"/>
    </row>
    <row r="866">
      <c r="A866" s="6" t="s">
        <v>2332</v>
      </c>
      <c r="B866" s="6" t="s">
        <v>2333</v>
      </c>
      <c r="C866" s="6" t="s">
        <v>43</v>
      </c>
      <c r="D866" s="6" t="s">
        <v>2334</v>
      </c>
      <c r="E866" s="6" t="s">
        <v>891</v>
      </c>
      <c r="F866" s="6" t="s">
        <v>77</v>
      </c>
      <c r="G866" s="7">
        <v>0.03</v>
      </c>
      <c r="H866" s="6" t="s">
        <v>2168</v>
      </c>
      <c r="I866" s="6" t="s">
        <v>20</v>
      </c>
      <c r="J866" s="6">
        <v>2019.0</v>
      </c>
      <c r="K866" s="10">
        <v>46057.0</v>
      </c>
      <c r="L866" s="6">
        <v>2.0</v>
      </c>
      <c r="M866" s="8">
        <f t="shared" si="1"/>
        <v>0.06</v>
      </c>
      <c r="P866" s="9"/>
    </row>
    <row r="867">
      <c r="A867" s="6" t="s">
        <v>2335</v>
      </c>
      <c r="B867" s="6" t="s">
        <v>2336</v>
      </c>
      <c r="C867" s="6" t="s">
        <v>37</v>
      </c>
      <c r="D867" s="6" t="s">
        <v>2337</v>
      </c>
      <c r="E867" s="6" t="s">
        <v>117</v>
      </c>
      <c r="F867" s="6" t="s">
        <v>77</v>
      </c>
      <c r="G867" s="7">
        <v>0.28</v>
      </c>
      <c r="H867" s="6" t="s">
        <v>136</v>
      </c>
      <c r="I867" s="6" t="s">
        <v>20</v>
      </c>
      <c r="J867" s="6">
        <v>2026.0</v>
      </c>
      <c r="K867" s="10">
        <v>46023.0</v>
      </c>
      <c r="L867" s="6">
        <v>1.0</v>
      </c>
      <c r="M867" s="8">
        <f t="shared" si="1"/>
        <v>0.28</v>
      </c>
      <c r="P867" s="9"/>
    </row>
    <row r="868">
      <c r="A868" s="6" t="s">
        <v>2338</v>
      </c>
      <c r="B868" s="6" t="s">
        <v>2339</v>
      </c>
      <c r="C868" s="6" t="s">
        <v>377</v>
      </c>
      <c r="D868" s="6" t="s">
        <v>2340</v>
      </c>
      <c r="E868" s="6" t="s">
        <v>248</v>
      </c>
      <c r="F868" s="6" t="s">
        <v>77</v>
      </c>
      <c r="G868" s="7">
        <v>0.05</v>
      </c>
      <c r="H868" s="6" t="s">
        <v>471</v>
      </c>
      <c r="I868" s="6" t="s">
        <v>20</v>
      </c>
      <c r="J868" s="6">
        <v>2026.0</v>
      </c>
      <c r="K868" s="10">
        <v>46056.0</v>
      </c>
      <c r="L868" s="6">
        <v>1.0</v>
      </c>
      <c r="M868" s="8">
        <f t="shared" si="1"/>
        <v>0.05</v>
      </c>
      <c r="P868" s="9"/>
    </row>
    <row r="869">
      <c r="A869" s="6" t="s">
        <v>2341</v>
      </c>
      <c r="B869" s="6" t="s">
        <v>606</v>
      </c>
      <c r="C869" s="6" t="s">
        <v>23</v>
      </c>
      <c r="D869" s="6" t="s">
        <v>2342</v>
      </c>
      <c r="E869" s="6" t="s">
        <v>659</v>
      </c>
      <c r="F869" s="6" t="s">
        <v>18</v>
      </c>
      <c r="G869" s="7">
        <v>0.05</v>
      </c>
      <c r="H869" s="6" t="s">
        <v>153</v>
      </c>
      <c r="I869" s="6" t="s">
        <v>20</v>
      </c>
      <c r="J869" s="6">
        <v>2025.0</v>
      </c>
      <c r="L869" s="6">
        <v>8.0</v>
      </c>
      <c r="M869" s="8">
        <f t="shared" si="1"/>
        <v>0.4</v>
      </c>
      <c r="P869" s="9"/>
    </row>
    <row r="870">
      <c r="A870" s="6" t="s">
        <v>2341</v>
      </c>
      <c r="B870" s="6" t="s">
        <v>606</v>
      </c>
      <c r="C870" s="6" t="s">
        <v>23</v>
      </c>
      <c r="D870" s="6" t="s">
        <v>2342</v>
      </c>
      <c r="E870" s="6" t="s">
        <v>659</v>
      </c>
      <c r="F870" s="6" t="s">
        <v>18</v>
      </c>
      <c r="G870" s="7">
        <v>0.25</v>
      </c>
      <c r="H870" s="6" t="s">
        <v>153</v>
      </c>
      <c r="I870" s="6" t="s">
        <v>45</v>
      </c>
      <c r="J870" s="6">
        <v>2025.0</v>
      </c>
      <c r="L870" s="6">
        <v>1.0</v>
      </c>
      <c r="M870" s="8">
        <f t="shared" si="1"/>
        <v>0.25</v>
      </c>
      <c r="P870" s="9"/>
    </row>
    <row r="871">
      <c r="A871" s="6" t="s">
        <v>2343</v>
      </c>
      <c r="B871" s="6" t="s">
        <v>854</v>
      </c>
      <c r="C871" s="6" t="s">
        <v>30</v>
      </c>
      <c r="D871" s="6" t="s">
        <v>2344</v>
      </c>
      <c r="E871" s="6" t="s">
        <v>210</v>
      </c>
      <c r="F871" s="6" t="s">
        <v>18</v>
      </c>
      <c r="G871" s="7">
        <v>0.3</v>
      </c>
      <c r="H871" s="6" t="s">
        <v>89</v>
      </c>
      <c r="I871" s="6" t="s">
        <v>20</v>
      </c>
      <c r="J871" s="6">
        <v>2021.0</v>
      </c>
      <c r="K871" s="10">
        <v>46025.0</v>
      </c>
      <c r="L871" s="6">
        <v>1.0</v>
      </c>
      <c r="M871" s="8">
        <f t="shared" si="1"/>
        <v>0.3</v>
      </c>
      <c r="P871" s="9"/>
    </row>
    <row r="872">
      <c r="A872" s="6" t="s">
        <v>2345</v>
      </c>
      <c r="B872" s="6" t="s">
        <v>396</v>
      </c>
      <c r="C872" s="6" t="s">
        <v>43</v>
      </c>
      <c r="D872" s="6" t="s">
        <v>2346</v>
      </c>
      <c r="E872" s="6" t="s">
        <v>25</v>
      </c>
      <c r="F872" s="6" t="s">
        <v>26</v>
      </c>
      <c r="G872" s="7">
        <v>0.2</v>
      </c>
      <c r="H872" s="6" t="s">
        <v>1004</v>
      </c>
      <c r="I872" s="6" t="s">
        <v>45</v>
      </c>
      <c r="J872" s="6">
        <v>2022.0</v>
      </c>
      <c r="L872" s="6">
        <v>1.0</v>
      </c>
      <c r="M872" s="8">
        <f t="shared" si="1"/>
        <v>0.2</v>
      </c>
      <c r="P872" s="9"/>
    </row>
    <row r="873">
      <c r="A873" s="6" t="s">
        <v>2347</v>
      </c>
      <c r="B873" s="6" t="s">
        <v>2348</v>
      </c>
      <c r="C873" s="6" t="s">
        <v>37</v>
      </c>
      <c r="D873" s="6" t="s">
        <v>2349</v>
      </c>
      <c r="E873" s="6" t="s">
        <v>76</v>
      </c>
      <c r="F873" s="6" t="s">
        <v>77</v>
      </c>
      <c r="G873" s="7">
        <v>0.05</v>
      </c>
      <c r="H873" s="6" t="s">
        <v>2033</v>
      </c>
      <c r="I873" s="6" t="s">
        <v>20</v>
      </c>
      <c r="J873" s="6">
        <v>2019.0</v>
      </c>
      <c r="K873" s="10">
        <v>46055.0</v>
      </c>
      <c r="L873" s="6">
        <v>3.0</v>
      </c>
      <c r="M873" s="8">
        <f t="shared" si="1"/>
        <v>0.15</v>
      </c>
      <c r="P873" s="9"/>
    </row>
    <row r="874">
      <c r="A874" s="6" t="s">
        <v>2350</v>
      </c>
      <c r="B874" s="6" t="s">
        <v>2351</v>
      </c>
      <c r="C874" s="6" t="s">
        <v>37</v>
      </c>
      <c r="D874" s="6" t="s">
        <v>2352</v>
      </c>
      <c r="E874" s="6" t="s">
        <v>891</v>
      </c>
      <c r="F874" s="6" t="s">
        <v>77</v>
      </c>
      <c r="G874" s="7">
        <v>0.18</v>
      </c>
      <c r="H874" s="6" t="s">
        <v>1287</v>
      </c>
      <c r="I874" s="6" t="s">
        <v>20</v>
      </c>
      <c r="J874" s="6">
        <v>2021.0</v>
      </c>
      <c r="K874" s="10">
        <v>46085.0</v>
      </c>
      <c r="L874" s="6">
        <v>1.0</v>
      </c>
      <c r="M874" s="8">
        <f t="shared" si="1"/>
        <v>0.18</v>
      </c>
      <c r="P874" s="9"/>
    </row>
    <row r="875">
      <c r="A875" s="6" t="s">
        <v>2353</v>
      </c>
      <c r="B875" s="6" t="s">
        <v>208</v>
      </c>
      <c r="C875" s="6" t="s">
        <v>43</v>
      </c>
      <c r="D875" s="6" t="s">
        <v>2354</v>
      </c>
      <c r="E875" s="6" t="s">
        <v>125</v>
      </c>
      <c r="F875" s="6" t="s">
        <v>40</v>
      </c>
      <c r="G875" s="7">
        <v>0.08</v>
      </c>
      <c r="H875" s="6" t="s">
        <v>701</v>
      </c>
      <c r="I875" s="6" t="s">
        <v>20</v>
      </c>
      <c r="J875" s="6">
        <v>2015.0</v>
      </c>
      <c r="K875" s="6" t="s">
        <v>233</v>
      </c>
      <c r="L875" s="6">
        <v>1.0</v>
      </c>
      <c r="M875" s="8">
        <f t="shared" si="1"/>
        <v>0.08</v>
      </c>
      <c r="P875" s="9"/>
    </row>
    <row r="876">
      <c r="A876" s="6" t="s">
        <v>2355</v>
      </c>
      <c r="B876" s="6" t="s">
        <v>2356</v>
      </c>
      <c r="C876" s="6" t="s">
        <v>43</v>
      </c>
      <c r="E876" s="6" t="s">
        <v>135</v>
      </c>
      <c r="F876" s="6" t="s">
        <v>40</v>
      </c>
      <c r="G876" s="7">
        <v>0.05</v>
      </c>
      <c r="H876" s="6" t="s">
        <v>701</v>
      </c>
      <c r="I876" s="6" t="s">
        <v>20</v>
      </c>
      <c r="J876" s="6">
        <v>2015.0</v>
      </c>
      <c r="K876" s="10">
        <v>46025.0</v>
      </c>
      <c r="L876" s="6">
        <v>1.0</v>
      </c>
      <c r="M876" s="8">
        <f t="shared" si="1"/>
        <v>0.05</v>
      </c>
      <c r="P876" s="9"/>
    </row>
    <row r="877">
      <c r="A877" s="6" t="s">
        <v>2357</v>
      </c>
      <c r="B877" s="6" t="s">
        <v>219</v>
      </c>
      <c r="C877" s="6" t="s">
        <v>43</v>
      </c>
      <c r="D877" s="6" t="s">
        <v>2358</v>
      </c>
      <c r="E877" s="6" t="s">
        <v>215</v>
      </c>
      <c r="F877" s="6" t="s">
        <v>77</v>
      </c>
      <c r="G877" s="7">
        <v>0.04</v>
      </c>
      <c r="H877" s="6" t="s">
        <v>787</v>
      </c>
      <c r="I877" s="6" t="s">
        <v>20</v>
      </c>
      <c r="J877" s="6">
        <v>2023.0</v>
      </c>
      <c r="L877" s="6">
        <v>1.0</v>
      </c>
      <c r="M877" s="8">
        <f t="shared" si="1"/>
        <v>0.04</v>
      </c>
      <c r="P877" s="9"/>
    </row>
    <row r="878">
      <c r="A878" s="6" t="s">
        <v>2359</v>
      </c>
      <c r="B878" s="6" t="s">
        <v>552</v>
      </c>
      <c r="C878" s="6" t="s">
        <v>61</v>
      </c>
      <c r="D878" s="6" t="s">
        <v>2360</v>
      </c>
      <c r="E878" s="6" t="s">
        <v>282</v>
      </c>
      <c r="F878" s="6" t="s">
        <v>40</v>
      </c>
      <c r="G878" s="7">
        <v>0.13</v>
      </c>
      <c r="H878" s="6" t="s">
        <v>187</v>
      </c>
      <c r="I878" s="6" t="s">
        <v>20</v>
      </c>
      <c r="J878" s="6">
        <v>1995.0</v>
      </c>
      <c r="L878" s="6">
        <v>1.0</v>
      </c>
      <c r="M878" s="8">
        <f t="shared" si="1"/>
        <v>0.13</v>
      </c>
      <c r="P878" s="9"/>
    </row>
    <row r="879">
      <c r="A879" s="6" t="s">
        <v>2361</v>
      </c>
      <c r="B879" s="6" t="s">
        <v>162</v>
      </c>
      <c r="C879" s="6" t="s">
        <v>43</v>
      </c>
      <c r="D879" s="6" t="s">
        <v>2362</v>
      </c>
      <c r="E879" s="6" t="s">
        <v>1027</v>
      </c>
      <c r="F879" s="6" t="s">
        <v>77</v>
      </c>
      <c r="G879" s="7">
        <v>3.5</v>
      </c>
      <c r="H879" s="6" t="s">
        <v>113</v>
      </c>
      <c r="I879" s="6" t="s">
        <v>20</v>
      </c>
      <c r="J879" s="6">
        <v>2023.0</v>
      </c>
      <c r="L879" s="6">
        <v>2.0</v>
      </c>
      <c r="M879" s="8">
        <f t="shared" si="1"/>
        <v>7</v>
      </c>
      <c r="N879" s="6" t="s">
        <v>122</v>
      </c>
      <c r="P879" s="9"/>
    </row>
    <row r="880">
      <c r="A880" s="6" t="s">
        <v>2363</v>
      </c>
      <c r="B880" s="6" t="s">
        <v>2364</v>
      </c>
      <c r="C880" s="6" t="s">
        <v>30</v>
      </c>
      <c r="D880" s="6" t="s">
        <v>2365</v>
      </c>
      <c r="E880" s="6" t="s">
        <v>2366</v>
      </c>
      <c r="F880" s="6" t="s">
        <v>18</v>
      </c>
      <c r="G880" s="7">
        <v>0.25</v>
      </c>
      <c r="H880" s="6" t="s">
        <v>460</v>
      </c>
      <c r="I880" s="6" t="s">
        <v>20</v>
      </c>
      <c r="J880" s="6">
        <v>2015.0</v>
      </c>
      <c r="K880" s="10">
        <v>46147.0</v>
      </c>
      <c r="L880" s="6">
        <v>1.0</v>
      </c>
      <c r="M880" s="8">
        <f t="shared" si="1"/>
        <v>0.25</v>
      </c>
      <c r="P880" s="9"/>
    </row>
    <row r="881">
      <c r="A881" s="6" t="s">
        <v>2367</v>
      </c>
      <c r="B881" s="6" t="s">
        <v>2368</v>
      </c>
      <c r="C881" s="6" t="s">
        <v>43</v>
      </c>
      <c r="D881" s="6" t="s">
        <v>2369</v>
      </c>
      <c r="E881" s="6" t="s">
        <v>76</v>
      </c>
      <c r="F881" s="6" t="s">
        <v>77</v>
      </c>
      <c r="G881" s="7">
        <v>0.04</v>
      </c>
      <c r="H881" s="6" t="s">
        <v>83</v>
      </c>
      <c r="I881" s="6" t="s">
        <v>20</v>
      </c>
      <c r="J881" s="6">
        <v>1995.0</v>
      </c>
      <c r="K881" s="10">
        <v>46023.0</v>
      </c>
      <c r="L881" s="6">
        <v>4.0</v>
      </c>
      <c r="M881" s="8">
        <f t="shared" si="1"/>
        <v>0.16</v>
      </c>
      <c r="P881" s="9"/>
    </row>
    <row r="882">
      <c r="A882" s="6" t="s">
        <v>2367</v>
      </c>
      <c r="B882" s="6" t="s">
        <v>2368</v>
      </c>
      <c r="C882" s="6" t="s">
        <v>43</v>
      </c>
      <c r="D882" s="6" t="s">
        <v>2369</v>
      </c>
      <c r="E882" s="6" t="s">
        <v>76</v>
      </c>
      <c r="F882" s="6" t="s">
        <v>77</v>
      </c>
      <c r="G882" s="7">
        <v>0.15</v>
      </c>
      <c r="H882" s="6" t="s">
        <v>1064</v>
      </c>
      <c r="I882" s="6" t="s">
        <v>20</v>
      </c>
      <c r="J882" s="6">
        <v>1995.0</v>
      </c>
      <c r="K882" s="10">
        <v>46023.0</v>
      </c>
      <c r="L882" s="6">
        <v>9.0</v>
      </c>
      <c r="M882" s="8">
        <f t="shared" si="1"/>
        <v>1.35</v>
      </c>
      <c r="P882" s="9"/>
    </row>
    <row r="883">
      <c r="A883" s="6" t="s">
        <v>2367</v>
      </c>
      <c r="B883" s="6" t="s">
        <v>2368</v>
      </c>
      <c r="C883" s="6" t="s">
        <v>43</v>
      </c>
      <c r="D883" s="6" t="s">
        <v>2369</v>
      </c>
      <c r="E883" s="6" t="s">
        <v>76</v>
      </c>
      <c r="F883" s="6" t="s">
        <v>77</v>
      </c>
      <c r="G883" s="7">
        <v>0.15</v>
      </c>
      <c r="H883" s="6" t="s">
        <v>453</v>
      </c>
      <c r="I883" s="6" t="s">
        <v>20</v>
      </c>
      <c r="J883" s="6">
        <v>1994.0</v>
      </c>
      <c r="K883" s="10">
        <v>46023.0</v>
      </c>
      <c r="L883" s="6">
        <v>5.0</v>
      </c>
      <c r="M883" s="8">
        <f t="shared" si="1"/>
        <v>0.75</v>
      </c>
      <c r="P883" s="9"/>
    </row>
    <row r="884">
      <c r="A884" s="6" t="s">
        <v>2370</v>
      </c>
      <c r="B884" s="6" t="s">
        <v>440</v>
      </c>
      <c r="C884" s="6" t="s">
        <v>37</v>
      </c>
      <c r="D884" s="6" t="s">
        <v>2371</v>
      </c>
      <c r="E884" s="6" t="s">
        <v>822</v>
      </c>
      <c r="F884" s="6" t="s">
        <v>77</v>
      </c>
      <c r="G884" s="7">
        <v>0.1</v>
      </c>
      <c r="H884" s="6" t="s">
        <v>58</v>
      </c>
      <c r="I884" s="6" t="s">
        <v>20</v>
      </c>
      <c r="J884" s="6">
        <v>1995.0</v>
      </c>
      <c r="L884" s="6">
        <v>2.0</v>
      </c>
      <c r="M884" s="8">
        <f t="shared" si="1"/>
        <v>0.2</v>
      </c>
      <c r="P884" s="9"/>
    </row>
    <row r="885">
      <c r="A885" s="6" t="s">
        <v>2372</v>
      </c>
      <c r="B885" s="6" t="s">
        <v>462</v>
      </c>
      <c r="C885" s="6" t="s">
        <v>43</v>
      </c>
      <c r="D885" s="6" t="s">
        <v>2373</v>
      </c>
      <c r="E885" s="6" t="s">
        <v>76</v>
      </c>
      <c r="F885" s="6" t="s">
        <v>77</v>
      </c>
      <c r="G885" s="7">
        <v>0.08</v>
      </c>
      <c r="H885" s="6" t="s">
        <v>58</v>
      </c>
      <c r="I885" s="6" t="s">
        <v>20</v>
      </c>
      <c r="J885" s="6">
        <v>1995.0</v>
      </c>
      <c r="L885" s="6">
        <v>3.0</v>
      </c>
      <c r="M885" s="8">
        <f t="shared" si="1"/>
        <v>0.24</v>
      </c>
      <c r="P885" s="9"/>
    </row>
    <row r="886">
      <c r="A886" s="6" t="s">
        <v>2374</v>
      </c>
      <c r="B886" s="6" t="s">
        <v>162</v>
      </c>
      <c r="C886" s="6" t="s">
        <v>37</v>
      </c>
      <c r="D886" s="6" t="s">
        <v>2375</v>
      </c>
      <c r="E886" s="6" t="s">
        <v>140</v>
      </c>
      <c r="F886" s="6" t="s">
        <v>87</v>
      </c>
      <c r="G886" s="7">
        <v>1.45</v>
      </c>
      <c r="H886" s="6" t="s">
        <v>148</v>
      </c>
      <c r="I886" s="6" t="s">
        <v>45</v>
      </c>
      <c r="J886" s="6">
        <v>2026.0</v>
      </c>
      <c r="L886" s="6">
        <v>1.0</v>
      </c>
      <c r="M886" s="8">
        <f t="shared" si="1"/>
        <v>1.45</v>
      </c>
      <c r="P886" s="9"/>
    </row>
    <row r="887">
      <c r="A887" s="6" t="s">
        <v>2376</v>
      </c>
      <c r="B887" s="6" t="s">
        <v>2377</v>
      </c>
      <c r="C887" s="6" t="s">
        <v>377</v>
      </c>
      <c r="D887" s="6" t="s">
        <v>2378</v>
      </c>
      <c r="E887" s="6" t="s">
        <v>76</v>
      </c>
      <c r="F887" s="6" t="s">
        <v>2232</v>
      </c>
      <c r="G887" s="7">
        <v>0.24</v>
      </c>
      <c r="H887" s="6" t="s">
        <v>1833</v>
      </c>
      <c r="I887" s="6" t="s">
        <v>20</v>
      </c>
      <c r="J887" s="6">
        <v>2018.0</v>
      </c>
      <c r="K887" s="10">
        <v>46023.0</v>
      </c>
      <c r="L887" s="6">
        <v>2.0</v>
      </c>
      <c r="M887" s="8">
        <f t="shared" si="1"/>
        <v>0.48</v>
      </c>
      <c r="P887" s="9"/>
    </row>
    <row r="888">
      <c r="A888" s="6" t="s">
        <v>2379</v>
      </c>
      <c r="B888" s="6" t="s">
        <v>2380</v>
      </c>
      <c r="C888" s="6" t="s">
        <v>37</v>
      </c>
      <c r="D888" s="6" t="s">
        <v>2381</v>
      </c>
      <c r="E888" s="6" t="s">
        <v>2382</v>
      </c>
      <c r="F888" s="6" t="s">
        <v>77</v>
      </c>
      <c r="G888" s="7">
        <v>0.15</v>
      </c>
      <c r="H888" s="6" t="s">
        <v>734</v>
      </c>
      <c r="I888" s="6" t="s">
        <v>20</v>
      </c>
      <c r="J888" s="6">
        <v>2022.0</v>
      </c>
      <c r="K888" s="10">
        <v>46117.0</v>
      </c>
      <c r="L888" s="6">
        <v>1.0</v>
      </c>
      <c r="M888" s="8">
        <f t="shared" si="1"/>
        <v>0.15</v>
      </c>
      <c r="P888" s="9"/>
    </row>
    <row r="889">
      <c r="A889" s="6" t="s">
        <v>2379</v>
      </c>
      <c r="B889" s="6" t="s">
        <v>2380</v>
      </c>
      <c r="C889" s="6" t="s">
        <v>37</v>
      </c>
      <c r="D889" s="6" t="s">
        <v>2381</v>
      </c>
      <c r="E889" s="6" t="s">
        <v>2382</v>
      </c>
      <c r="F889" s="6" t="s">
        <v>77</v>
      </c>
      <c r="G889" s="7">
        <v>0.15</v>
      </c>
      <c r="H889" s="6" t="s">
        <v>734</v>
      </c>
      <c r="I889" s="6" t="s">
        <v>20</v>
      </c>
      <c r="J889" s="6">
        <v>2022.0</v>
      </c>
      <c r="K889" s="10">
        <v>46117.0</v>
      </c>
      <c r="L889" s="6">
        <v>1.0</v>
      </c>
      <c r="M889" s="8">
        <f t="shared" si="1"/>
        <v>0.15</v>
      </c>
      <c r="P889" s="9"/>
    </row>
    <row r="890">
      <c r="A890" s="6" t="s">
        <v>2383</v>
      </c>
      <c r="B890" s="6" t="s">
        <v>2192</v>
      </c>
      <c r="C890" s="6" t="s">
        <v>43</v>
      </c>
      <c r="E890" s="6" t="s">
        <v>39</v>
      </c>
      <c r="F890" s="6" t="s">
        <v>40</v>
      </c>
      <c r="G890" s="7">
        <v>0.03</v>
      </c>
      <c r="H890" s="6" t="s">
        <v>1856</v>
      </c>
      <c r="I890" s="6" t="s">
        <v>20</v>
      </c>
      <c r="J890" s="6">
        <v>2017.0</v>
      </c>
      <c r="K890" s="10">
        <v>46144.0</v>
      </c>
      <c r="L890" s="6">
        <v>2.0</v>
      </c>
      <c r="M890" s="8">
        <f t="shared" si="1"/>
        <v>0.06</v>
      </c>
      <c r="P890" s="9"/>
    </row>
    <row r="891">
      <c r="A891" s="6" t="s">
        <v>2384</v>
      </c>
      <c r="B891" s="6" t="s">
        <v>2385</v>
      </c>
      <c r="C891" s="6" t="s">
        <v>61</v>
      </c>
      <c r="D891" s="6" t="s">
        <v>2386</v>
      </c>
      <c r="E891" s="6" t="s">
        <v>86</v>
      </c>
      <c r="F891" s="6" t="s">
        <v>87</v>
      </c>
      <c r="G891" s="7">
        <v>26.9</v>
      </c>
      <c r="H891" s="6" t="s">
        <v>464</v>
      </c>
      <c r="I891" s="6" t="s">
        <v>20</v>
      </c>
      <c r="J891" s="6">
        <v>2002.0</v>
      </c>
      <c r="K891" s="10">
        <v>46023.0</v>
      </c>
      <c r="L891" s="6">
        <v>1.0</v>
      </c>
      <c r="M891" s="8">
        <f t="shared" si="1"/>
        <v>26.9</v>
      </c>
      <c r="P891" s="9"/>
    </row>
    <row r="892">
      <c r="A892" s="6" t="s">
        <v>2387</v>
      </c>
      <c r="B892" s="6" t="s">
        <v>2388</v>
      </c>
      <c r="C892" s="6" t="s">
        <v>23</v>
      </c>
      <c r="D892" s="6" t="s">
        <v>2389</v>
      </c>
      <c r="E892" s="6" t="s">
        <v>2390</v>
      </c>
      <c r="F892" s="6" t="s">
        <v>40</v>
      </c>
      <c r="G892" s="7">
        <v>0.2</v>
      </c>
      <c r="H892" s="6" t="s">
        <v>2391</v>
      </c>
      <c r="I892" s="6" t="s">
        <v>45</v>
      </c>
      <c r="J892" s="6">
        <v>2025.0</v>
      </c>
      <c r="K892" s="10">
        <v>46024.0</v>
      </c>
      <c r="L892" s="6">
        <v>1.0</v>
      </c>
      <c r="M892" s="8">
        <f t="shared" si="1"/>
        <v>0.2</v>
      </c>
      <c r="P892" s="9"/>
    </row>
    <row r="893">
      <c r="A893" s="6" t="s">
        <v>2387</v>
      </c>
      <c r="B893" s="6" t="s">
        <v>2388</v>
      </c>
      <c r="C893" s="6" t="s">
        <v>23</v>
      </c>
      <c r="D893" s="6" t="s">
        <v>2389</v>
      </c>
      <c r="E893" s="6" t="s">
        <v>2390</v>
      </c>
      <c r="F893" s="6" t="s">
        <v>40</v>
      </c>
      <c r="G893" s="7">
        <v>0.05</v>
      </c>
      <c r="H893" s="6" t="s">
        <v>2391</v>
      </c>
      <c r="I893" s="6" t="s">
        <v>20</v>
      </c>
      <c r="J893" s="6">
        <v>2025.0</v>
      </c>
      <c r="K893" s="10">
        <v>46024.0</v>
      </c>
      <c r="L893" s="6">
        <v>12.0</v>
      </c>
      <c r="M893" s="8">
        <f t="shared" si="1"/>
        <v>0.6</v>
      </c>
      <c r="P893" s="9"/>
    </row>
    <row r="894">
      <c r="A894" s="6" t="s">
        <v>2392</v>
      </c>
      <c r="B894" s="6" t="s">
        <v>52</v>
      </c>
      <c r="C894" s="6" t="s">
        <v>30</v>
      </c>
      <c r="D894" s="6" t="s">
        <v>2393</v>
      </c>
      <c r="F894" s="6" t="s">
        <v>87</v>
      </c>
      <c r="G894" s="7">
        <v>3.39</v>
      </c>
      <c r="H894" s="6" t="s">
        <v>2394</v>
      </c>
      <c r="I894" s="6" t="s">
        <v>20</v>
      </c>
      <c r="J894" s="6">
        <v>1997.0</v>
      </c>
      <c r="L894" s="6">
        <v>1.0</v>
      </c>
      <c r="M894" s="8">
        <f t="shared" si="1"/>
        <v>3.39</v>
      </c>
      <c r="N894" s="6" t="s">
        <v>122</v>
      </c>
      <c r="P894" s="9"/>
    </row>
    <row r="895">
      <c r="A895" s="6" t="s">
        <v>2395</v>
      </c>
      <c r="B895" s="6" t="s">
        <v>2388</v>
      </c>
      <c r="C895" s="6" t="s">
        <v>37</v>
      </c>
      <c r="D895" s="6" t="s">
        <v>2396</v>
      </c>
      <c r="E895" s="6" t="s">
        <v>2397</v>
      </c>
      <c r="F895" s="6" t="s">
        <v>87</v>
      </c>
      <c r="G895" s="7">
        <v>0.45</v>
      </c>
      <c r="H895" s="6" t="s">
        <v>194</v>
      </c>
      <c r="I895" s="6" t="s">
        <v>20</v>
      </c>
      <c r="J895" s="6">
        <v>1994.0</v>
      </c>
      <c r="K895" s="10">
        <v>46054.0</v>
      </c>
      <c r="L895" s="6">
        <v>1.0</v>
      </c>
      <c r="M895" s="8">
        <f t="shared" si="1"/>
        <v>0.45</v>
      </c>
      <c r="P895" s="9"/>
    </row>
    <row r="896">
      <c r="A896" s="6" t="s">
        <v>2398</v>
      </c>
      <c r="B896" s="6" t="s">
        <v>2388</v>
      </c>
      <c r="C896" s="6" t="s">
        <v>43</v>
      </c>
      <c r="D896" s="6" t="s">
        <v>2399</v>
      </c>
      <c r="E896" s="6" t="s">
        <v>86</v>
      </c>
      <c r="F896" s="6" t="s">
        <v>87</v>
      </c>
      <c r="G896" s="7">
        <v>0.2</v>
      </c>
      <c r="H896" s="6" t="s">
        <v>194</v>
      </c>
      <c r="I896" s="6" t="s">
        <v>20</v>
      </c>
      <c r="J896" s="6">
        <v>1994.0</v>
      </c>
      <c r="K896" s="10">
        <v>46024.0</v>
      </c>
      <c r="L896" s="6">
        <v>1.0</v>
      </c>
      <c r="M896" s="8">
        <f t="shared" si="1"/>
        <v>0.2</v>
      </c>
      <c r="P896" s="9"/>
    </row>
    <row r="897">
      <c r="A897" s="6" t="s">
        <v>2400</v>
      </c>
      <c r="B897" s="6" t="s">
        <v>2401</v>
      </c>
      <c r="C897" s="6" t="s">
        <v>43</v>
      </c>
      <c r="E897" s="6" t="s">
        <v>140</v>
      </c>
      <c r="F897" s="6" t="s">
        <v>87</v>
      </c>
      <c r="G897" s="7">
        <v>0.09</v>
      </c>
      <c r="H897" s="6" t="s">
        <v>58</v>
      </c>
      <c r="I897" s="6" t="s">
        <v>20</v>
      </c>
      <c r="J897" s="6">
        <v>1995.0</v>
      </c>
      <c r="K897" s="10">
        <v>46023.0</v>
      </c>
      <c r="L897" s="6">
        <v>3.0</v>
      </c>
      <c r="M897" s="8">
        <f t="shared" si="1"/>
        <v>0.27</v>
      </c>
      <c r="P897" s="9"/>
    </row>
    <row r="898">
      <c r="A898" s="6" t="s">
        <v>2402</v>
      </c>
      <c r="B898" s="6" t="s">
        <v>1929</v>
      </c>
      <c r="C898" s="6" t="s">
        <v>377</v>
      </c>
      <c r="D898" s="6" t="s">
        <v>2403</v>
      </c>
      <c r="E898" s="6" t="s">
        <v>164</v>
      </c>
      <c r="F898" s="6" t="s">
        <v>112</v>
      </c>
      <c r="G898" s="7">
        <v>0.14</v>
      </c>
      <c r="H898" s="6" t="s">
        <v>88</v>
      </c>
      <c r="I898" s="6" t="s">
        <v>20</v>
      </c>
      <c r="J898" s="6">
        <v>2024.0</v>
      </c>
      <c r="K898" s="10">
        <v>46055.0</v>
      </c>
      <c r="L898" s="6">
        <v>1.0</v>
      </c>
      <c r="M898" s="8">
        <f t="shared" si="1"/>
        <v>0.14</v>
      </c>
      <c r="P898" s="9"/>
    </row>
    <row r="899">
      <c r="A899" s="6" t="s">
        <v>2404</v>
      </c>
      <c r="B899" s="6" t="s">
        <v>2405</v>
      </c>
      <c r="C899" s="6" t="s">
        <v>37</v>
      </c>
      <c r="D899" s="6" t="s">
        <v>2406</v>
      </c>
      <c r="E899" s="6" t="s">
        <v>164</v>
      </c>
      <c r="F899" s="6" t="s">
        <v>112</v>
      </c>
      <c r="G899" s="7">
        <v>0.4</v>
      </c>
      <c r="H899" s="6" t="s">
        <v>1475</v>
      </c>
      <c r="I899" s="6" t="s">
        <v>20</v>
      </c>
      <c r="J899" s="6">
        <v>2020.0</v>
      </c>
      <c r="K899" s="10">
        <v>46055.0</v>
      </c>
      <c r="L899" s="6">
        <v>1.0</v>
      </c>
      <c r="M899" s="8">
        <f t="shared" si="1"/>
        <v>0.4</v>
      </c>
      <c r="P899" s="9"/>
    </row>
    <row r="900">
      <c r="A900" s="6" t="s">
        <v>2407</v>
      </c>
      <c r="B900" s="6" t="s">
        <v>2408</v>
      </c>
      <c r="C900" s="6" t="s">
        <v>43</v>
      </c>
      <c r="D900" s="6" t="s">
        <v>2409</v>
      </c>
      <c r="E900" s="6" t="s">
        <v>140</v>
      </c>
      <c r="F900" s="6" t="s">
        <v>87</v>
      </c>
      <c r="G900" s="7">
        <v>0.1</v>
      </c>
      <c r="H900" s="6" t="s">
        <v>228</v>
      </c>
      <c r="I900" s="6" t="s">
        <v>20</v>
      </c>
      <c r="J900" s="6">
        <v>2025.0</v>
      </c>
      <c r="K900" s="10">
        <v>46023.0</v>
      </c>
      <c r="L900" s="6">
        <v>1.0</v>
      </c>
      <c r="M900" s="8">
        <f t="shared" si="1"/>
        <v>0.1</v>
      </c>
      <c r="P900" s="9"/>
    </row>
    <row r="901">
      <c r="A901" s="6" t="s">
        <v>2410</v>
      </c>
      <c r="B901" s="6" t="s">
        <v>2411</v>
      </c>
      <c r="C901" s="6" t="s">
        <v>23</v>
      </c>
      <c r="D901" s="6" t="s">
        <v>2412</v>
      </c>
      <c r="E901" s="6" t="s">
        <v>201</v>
      </c>
      <c r="F901" s="6" t="s">
        <v>40</v>
      </c>
      <c r="G901" s="7">
        <v>0.05</v>
      </c>
      <c r="H901" s="6" t="s">
        <v>617</v>
      </c>
      <c r="I901" s="6" t="s">
        <v>20</v>
      </c>
      <c r="J901" s="6">
        <v>2026.0</v>
      </c>
      <c r="K901" s="10">
        <v>46084.0</v>
      </c>
      <c r="L901" s="6">
        <v>1.0</v>
      </c>
      <c r="M901" s="8">
        <f t="shared" si="1"/>
        <v>0.05</v>
      </c>
      <c r="P901" s="9"/>
    </row>
    <row r="902">
      <c r="A902" s="6" t="s">
        <v>2410</v>
      </c>
      <c r="B902" s="6" t="s">
        <v>2411</v>
      </c>
      <c r="C902" s="6" t="s">
        <v>23</v>
      </c>
      <c r="D902" s="6" t="s">
        <v>2412</v>
      </c>
      <c r="E902" s="6" t="s">
        <v>201</v>
      </c>
      <c r="F902" s="6" t="s">
        <v>40</v>
      </c>
      <c r="G902" s="7">
        <v>0.25</v>
      </c>
      <c r="H902" s="6" t="s">
        <v>617</v>
      </c>
      <c r="I902" s="6" t="s">
        <v>45</v>
      </c>
      <c r="J902" s="6">
        <v>2026.0</v>
      </c>
      <c r="K902" s="10">
        <v>46084.0</v>
      </c>
      <c r="L902" s="6">
        <v>1.0</v>
      </c>
      <c r="M902" s="8">
        <f t="shared" si="1"/>
        <v>0.25</v>
      </c>
      <c r="P902" s="9"/>
    </row>
    <row r="903">
      <c r="A903" s="6" t="s">
        <v>2413</v>
      </c>
      <c r="B903" s="6" t="s">
        <v>603</v>
      </c>
      <c r="C903" s="6" t="s">
        <v>43</v>
      </c>
      <c r="D903" s="6" t="s">
        <v>2414</v>
      </c>
      <c r="E903" s="6" t="s">
        <v>57</v>
      </c>
      <c r="F903" s="6" t="s">
        <v>40</v>
      </c>
      <c r="G903" s="7">
        <v>0.03</v>
      </c>
      <c r="H903" s="6" t="s">
        <v>249</v>
      </c>
      <c r="I903" s="6" t="s">
        <v>20</v>
      </c>
      <c r="J903" s="6">
        <v>2014.0</v>
      </c>
      <c r="K903" s="10">
        <v>46024.0</v>
      </c>
      <c r="L903" s="6">
        <v>3.0</v>
      </c>
      <c r="M903" s="8">
        <f t="shared" si="1"/>
        <v>0.09</v>
      </c>
      <c r="P903" s="9"/>
    </row>
    <row r="904">
      <c r="A904" s="6" t="s">
        <v>2415</v>
      </c>
      <c r="B904" s="6" t="s">
        <v>699</v>
      </c>
      <c r="C904" s="6" t="s">
        <v>43</v>
      </c>
      <c r="D904" s="6" t="s">
        <v>2416</v>
      </c>
      <c r="E904" s="6" t="s">
        <v>540</v>
      </c>
      <c r="F904" s="6" t="s">
        <v>40</v>
      </c>
      <c r="G904" s="7">
        <v>0.61</v>
      </c>
      <c r="H904" s="6" t="s">
        <v>19</v>
      </c>
      <c r="I904" s="6" t="s">
        <v>20</v>
      </c>
      <c r="J904" s="6">
        <v>2023.0</v>
      </c>
      <c r="K904" s="10">
        <v>46084.0</v>
      </c>
      <c r="L904" s="6">
        <v>2.0</v>
      </c>
      <c r="M904" s="8">
        <f t="shared" si="1"/>
        <v>1.22</v>
      </c>
      <c r="P904" s="9"/>
    </row>
    <row r="905">
      <c r="A905" s="6" t="s">
        <v>2417</v>
      </c>
      <c r="B905" s="6" t="s">
        <v>1002</v>
      </c>
      <c r="C905" s="6" t="s">
        <v>37</v>
      </c>
      <c r="E905" s="6" t="s">
        <v>1634</v>
      </c>
      <c r="F905" s="6" t="s">
        <v>87</v>
      </c>
      <c r="G905" s="7">
        <v>0.05</v>
      </c>
      <c r="H905" s="6" t="s">
        <v>2418</v>
      </c>
      <c r="I905" s="6" t="s">
        <v>20</v>
      </c>
      <c r="J905" s="6">
        <v>2007.0</v>
      </c>
      <c r="K905" s="10">
        <v>46146.0</v>
      </c>
      <c r="L905" s="6">
        <v>1.0</v>
      </c>
      <c r="M905" s="8">
        <f t="shared" si="1"/>
        <v>0.05</v>
      </c>
      <c r="P905" s="9"/>
    </row>
    <row r="906">
      <c r="A906" s="6" t="s">
        <v>2417</v>
      </c>
      <c r="B906" s="6" t="s">
        <v>1002</v>
      </c>
      <c r="C906" s="6" t="s">
        <v>37</v>
      </c>
      <c r="E906" s="6" t="s">
        <v>1634</v>
      </c>
      <c r="F906" s="6" t="s">
        <v>87</v>
      </c>
      <c r="G906" s="7">
        <v>0.05</v>
      </c>
      <c r="H906" s="6" t="s">
        <v>324</v>
      </c>
      <c r="I906" s="6" t="s">
        <v>20</v>
      </c>
      <c r="J906" s="6">
        <v>1995.0</v>
      </c>
      <c r="K906" s="10">
        <v>46146.0</v>
      </c>
      <c r="L906" s="6">
        <v>2.0</v>
      </c>
      <c r="M906" s="8">
        <f t="shared" si="1"/>
        <v>0.1</v>
      </c>
      <c r="P906" s="9"/>
    </row>
    <row r="907">
      <c r="A907" s="6" t="s">
        <v>2419</v>
      </c>
      <c r="B907" s="6" t="s">
        <v>2420</v>
      </c>
      <c r="C907" s="6" t="s">
        <v>37</v>
      </c>
      <c r="D907" s="6" t="s">
        <v>2421</v>
      </c>
      <c r="E907" s="6" t="s">
        <v>579</v>
      </c>
      <c r="F907" s="6" t="s">
        <v>112</v>
      </c>
      <c r="G907" s="7">
        <v>0.15</v>
      </c>
      <c r="H907" s="6" t="s">
        <v>34</v>
      </c>
      <c r="I907" s="6" t="s">
        <v>20</v>
      </c>
      <c r="J907" s="6">
        <v>2025.0</v>
      </c>
      <c r="K907" s="10">
        <v>46055.0</v>
      </c>
      <c r="L907" s="6">
        <v>1.0</v>
      </c>
      <c r="M907" s="8">
        <f t="shared" si="1"/>
        <v>0.15</v>
      </c>
      <c r="P907" s="9"/>
    </row>
    <row r="908">
      <c r="A908" s="6" t="s">
        <v>2422</v>
      </c>
      <c r="B908" s="6" t="s">
        <v>545</v>
      </c>
      <c r="C908" s="6" t="s">
        <v>43</v>
      </c>
      <c r="D908" s="6" t="s">
        <v>2423</v>
      </c>
      <c r="E908" s="6" t="s">
        <v>2424</v>
      </c>
      <c r="F908" s="6" t="s">
        <v>1244</v>
      </c>
      <c r="G908" s="7">
        <v>0.04</v>
      </c>
      <c r="H908" s="6" t="s">
        <v>34</v>
      </c>
      <c r="I908" s="6" t="s">
        <v>20</v>
      </c>
      <c r="J908" s="6">
        <v>2025.0</v>
      </c>
      <c r="K908" s="10">
        <v>46115.0</v>
      </c>
      <c r="L908" s="6">
        <v>3.0</v>
      </c>
      <c r="M908" s="8">
        <f t="shared" si="1"/>
        <v>0.12</v>
      </c>
      <c r="P908" s="9"/>
    </row>
    <row r="909">
      <c r="A909" s="6" t="s">
        <v>2425</v>
      </c>
      <c r="B909" s="6" t="s">
        <v>462</v>
      </c>
      <c r="C909" s="6" t="s">
        <v>37</v>
      </c>
      <c r="D909" s="6" t="s">
        <v>2426</v>
      </c>
      <c r="E909" s="6" t="s">
        <v>579</v>
      </c>
      <c r="F909" s="6" t="s">
        <v>112</v>
      </c>
      <c r="G909" s="7">
        <v>0.03</v>
      </c>
      <c r="H909" s="6" t="s">
        <v>34</v>
      </c>
      <c r="I909" s="6" t="s">
        <v>20</v>
      </c>
      <c r="J909" s="6">
        <v>2025.0</v>
      </c>
      <c r="L909" s="6">
        <v>2.0</v>
      </c>
      <c r="M909" s="8">
        <f t="shared" si="1"/>
        <v>0.06</v>
      </c>
      <c r="P909" s="9"/>
    </row>
    <row r="910">
      <c r="A910" s="6" t="s">
        <v>2427</v>
      </c>
      <c r="B910" s="6" t="s">
        <v>2428</v>
      </c>
      <c r="C910" s="6" t="s">
        <v>204</v>
      </c>
      <c r="D910" s="6" t="s">
        <v>2429</v>
      </c>
      <c r="E910" s="6" t="s">
        <v>2430</v>
      </c>
      <c r="F910" s="6" t="s">
        <v>2431</v>
      </c>
      <c r="G910" s="7">
        <v>0.04</v>
      </c>
      <c r="H910" s="6" t="s">
        <v>34</v>
      </c>
      <c r="I910" s="6" t="s">
        <v>20</v>
      </c>
      <c r="J910" s="6">
        <v>2025.0</v>
      </c>
      <c r="K910" s="10">
        <v>46115.0</v>
      </c>
      <c r="L910" s="6">
        <v>1.0</v>
      </c>
      <c r="M910" s="8">
        <f t="shared" si="1"/>
        <v>0.04</v>
      </c>
      <c r="P910" s="9"/>
    </row>
    <row r="911">
      <c r="A911" s="6" t="s">
        <v>2432</v>
      </c>
      <c r="B911" s="6" t="s">
        <v>2433</v>
      </c>
      <c r="C911" s="6" t="s">
        <v>43</v>
      </c>
      <c r="D911" s="6" t="s">
        <v>2434</v>
      </c>
      <c r="E911" s="6" t="s">
        <v>2435</v>
      </c>
      <c r="F911" s="6" t="s">
        <v>159</v>
      </c>
      <c r="G911" s="7">
        <v>0.05</v>
      </c>
      <c r="H911" s="6" t="s">
        <v>34</v>
      </c>
      <c r="I911" s="6" t="s">
        <v>20</v>
      </c>
      <c r="J911" s="6">
        <v>2025.0</v>
      </c>
      <c r="K911" s="10">
        <v>46025.0</v>
      </c>
      <c r="L911" s="6">
        <v>5.0</v>
      </c>
      <c r="M911" s="8">
        <f t="shared" si="1"/>
        <v>0.25</v>
      </c>
      <c r="P911" s="9"/>
    </row>
    <row r="912">
      <c r="A912" s="6" t="s">
        <v>2432</v>
      </c>
      <c r="B912" s="6" t="s">
        <v>2433</v>
      </c>
      <c r="C912" s="6" t="s">
        <v>43</v>
      </c>
      <c r="D912" s="6" t="s">
        <v>2434</v>
      </c>
      <c r="E912" s="6" t="s">
        <v>2435</v>
      </c>
      <c r="F912" s="6" t="s">
        <v>159</v>
      </c>
      <c r="G912" s="7">
        <v>0.25</v>
      </c>
      <c r="H912" s="6" t="s">
        <v>34</v>
      </c>
      <c r="I912" s="6" t="s">
        <v>45</v>
      </c>
      <c r="J912" s="6">
        <v>2025.0</v>
      </c>
      <c r="K912" s="10">
        <v>46025.0</v>
      </c>
      <c r="L912" s="6">
        <v>1.0</v>
      </c>
      <c r="M912" s="8">
        <f t="shared" si="1"/>
        <v>0.25</v>
      </c>
      <c r="P912" s="9"/>
    </row>
    <row r="913">
      <c r="A913" s="6" t="s">
        <v>2436</v>
      </c>
      <c r="B913" s="6" t="s">
        <v>440</v>
      </c>
      <c r="C913" s="6" t="s">
        <v>30</v>
      </c>
      <c r="D913" s="6" t="s">
        <v>2437</v>
      </c>
      <c r="E913" s="6" t="s">
        <v>329</v>
      </c>
      <c r="F913" s="6" t="s">
        <v>112</v>
      </c>
      <c r="G913" s="7">
        <v>19.19</v>
      </c>
      <c r="H913" s="6" t="s">
        <v>34</v>
      </c>
      <c r="I913" s="6" t="s">
        <v>20</v>
      </c>
      <c r="J913" s="6">
        <v>2025.0</v>
      </c>
      <c r="L913" s="6">
        <v>1.0</v>
      </c>
      <c r="M913" s="8">
        <f t="shared" si="1"/>
        <v>19.19</v>
      </c>
      <c r="P913" s="9"/>
    </row>
    <row r="914">
      <c r="A914" s="6" t="s">
        <v>2438</v>
      </c>
      <c r="B914" s="6" t="s">
        <v>2439</v>
      </c>
      <c r="C914" s="6" t="s">
        <v>43</v>
      </c>
      <c r="D914" s="6" t="s">
        <v>2440</v>
      </c>
      <c r="E914" s="6" t="s">
        <v>39</v>
      </c>
      <c r="F914" s="6" t="s">
        <v>40</v>
      </c>
      <c r="G914" s="7">
        <v>0.1</v>
      </c>
      <c r="H914" s="6" t="s">
        <v>136</v>
      </c>
      <c r="I914" s="6" t="s">
        <v>20</v>
      </c>
      <c r="J914" s="6">
        <v>2026.0</v>
      </c>
      <c r="K914" s="10">
        <v>46114.0</v>
      </c>
      <c r="L914" s="6">
        <v>4.0</v>
      </c>
      <c r="M914" s="8">
        <f t="shared" si="1"/>
        <v>0.4</v>
      </c>
      <c r="P914" s="9"/>
    </row>
    <row r="915">
      <c r="A915" s="6" t="s">
        <v>2438</v>
      </c>
      <c r="B915" s="6" t="s">
        <v>2439</v>
      </c>
      <c r="C915" s="6" t="s">
        <v>43</v>
      </c>
      <c r="D915" s="6" t="s">
        <v>2440</v>
      </c>
      <c r="E915" s="6" t="s">
        <v>39</v>
      </c>
      <c r="F915" s="6" t="s">
        <v>40</v>
      </c>
      <c r="G915" s="7">
        <v>0.2</v>
      </c>
      <c r="H915" s="6" t="s">
        <v>136</v>
      </c>
      <c r="I915" s="6" t="s">
        <v>45</v>
      </c>
      <c r="J915" s="6">
        <v>2026.0</v>
      </c>
      <c r="K915" s="10">
        <v>46114.0</v>
      </c>
      <c r="L915" s="6">
        <v>2.0</v>
      </c>
      <c r="M915" s="8">
        <f t="shared" si="1"/>
        <v>0.4</v>
      </c>
      <c r="P915" s="9"/>
    </row>
    <row r="916">
      <c r="A916" s="6" t="s">
        <v>2438</v>
      </c>
      <c r="B916" s="6" t="s">
        <v>2439</v>
      </c>
      <c r="C916" s="6" t="s">
        <v>43</v>
      </c>
      <c r="D916" s="6" t="s">
        <v>2440</v>
      </c>
      <c r="E916" s="6" t="s">
        <v>39</v>
      </c>
      <c r="F916" s="6" t="s">
        <v>40</v>
      </c>
      <c r="G916" s="7">
        <v>0.1</v>
      </c>
      <c r="H916" s="6" t="s">
        <v>136</v>
      </c>
      <c r="I916" s="6" t="s">
        <v>20</v>
      </c>
      <c r="J916" s="6">
        <v>2026.0</v>
      </c>
      <c r="K916" s="10">
        <v>46114.0</v>
      </c>
      <c r="L916" s="6">
        <v>3.0</v>
      </c>
      <c r="M916" s="8">
        <f t="shared" si="1"/>
        <v>0.3</v>
      </c>
      <c r="P916" s="9"/>
    </row>
    <row r="917">
      <c r="A917" s="6" t="s">
        <v>2441</v>
      </c>
      <c r="B917" s="6" t="s">
        <v>162</v>
      </c>
      <c r="C917" s="6" t="s">
        <v>43</v>
      </c>
      <c r="D917" s="6" t="s">
        <v>2442</v>
      </c>
      <c r="E917" s="6" t="s">
        <v>117</v>
      </c>
      <c r="F917" s="6" t="s">
        <v>77</v>
      </c>
      <c r="G917" s="7">
        <v>0.1</v>
      </c>
      <c r="H917" s="6" t="s">
        <v>88</v>
      </c>
      <c r="I917" s="6" t="s">
        <v>20</v>
      </c>
      <c r="J917" s="6">
        <v>2024.0</v>
      </c>
      <c r="L917" s="6">
        <v>1.0</v>
      </c>
      <c r="M917" s="8">
        <f t="shared" si="1"/>
        <v>0.1</v>
      </c>
      <c r="P917" s="9"/>
    </row>
    <row r="918">
      <c r="A918" s="6" t="s">
        <v>2443</v>
      </c>
      <c r="B918" s="6" t="s">
        <v>494</v>
      </c>
      <c r="C918" s="6" t="s">
        <v>37</v>
      </c>
      <c r="D918" s="6" t="s">
        <v>2444</v>
      </c>
      <c r="E918" s="6" t="s">
        <v>107</v>
      </c>
      <c r="F918" s="6" t="s">
        <v>18</v>
      </c>
      <c r="G918" s="7">
        <v>0.25</v>
      </c>
      <c r="H918" s="6" t="s">
        <v>582</v>
      </c>
      <c r="I918" s="6" t="s">
        <v>20</v>
      </c>
      <c r="J918" s="6">
        <v>2023.0</v>
      </c>
      <c r="L918" s="6">
        <v>1.0</v>
      </c>
      <c r="M918" s="8">
        <f t="shared" si="1"/>
        <v>0.25</v>
      </c>
      <c r="P918" s="9"/>
    </row>
    <row r="919">
      <c r="A919" s="6" t="s">
        <v>2445</v>
      </c>
      <c r="B919" s="6" t="s">
        <v>138</v>
      </c>
      <c r="C919" s="6" t="s">
        <v>43</v>
      </c>
      <c r="D919" s="6" t="s">
        <v>2446</v>
      </c>
      <c r="E919" s="6" t="s">
        <v>117</v>
      </c>
      <c r="F919" s="6" t="s">
        <v>77</v>
      </c>
      <c r="G919" s="7">
        <v>0.2</v>
      </c>
      <c r="H919" s="6" t="s">
        <v>259</v>
      </c>
      <c r="I919" s="6" t="s">
        <v>20</v>
      </c>
      <c r="J919" s="6">
        <v>1996.0</v>
      </c>
      <c r="L919" s="6">
        <v>1.0</v>
      </c>
      <c r="M919" s="8">
        <f t="shared" si="1"/>
        <v>0.2</v>
      </c>
      <c r="P919" s="9"/>
    </row>
    <row r="920">
      <c r="A920" s="6" t="s">
        <v>2447</v>
      </c>
      <c r="B920" s="6" t="s">
        <v>192</v>
      </c>
      <c r="C920" s="6" t="s">
        <v>30</v>
      </c>
      <c r="D920" s="6" t="s">
        <v>2448</v>
      </c>
      <c r="E920" s="6" t="s">
        <v>185</v>
      </c>
      <c r="F920" s="6" t="s">
        <v>26</v>
      </c>
      <c r="G920" s="7">
        <v>1.75</v>
      </c>
      <c r="H920" s="6" t="s">
        <v>320</v>
      </c>
      <c r="I920" s="6" t="s">
        <v>20</v>
      </c>
      <c r="J920" s="6">
        <v>1995.0</v>
      </c>
      <c r="L920" s="6">
        <v>2.0</v>
      </c>
      <c r="M920" s="8">
        <f t="shared" si="1"/>
        <v>3.5</v>
      </c>
      <c r="N920" s="6" t="s">
        <v>122</v>
      </c>
      <c r="P920" s="9"/>
    </row>
    <row r="921">
      <c r="A921" s="6" t="s">
        <v>2449</v>
      </c>
      <c r="B921" s="6" t="s">
        <v>2450</v>
      </c>
      <c r="C921" s="6" t="s">
        <v>43</v>
      </c>
      <c r="D921" s="6" t="s">
        <v>2451</v>
      </c>
      <c r="E921" s="6" t="s">
        <v>1713</v>
      </c>
      <c r="F921" s="6" t="s">
        <v>26</v>
      </c>
      <c r="G921" s="7">
        <v>0.1</v>
      </c>
      <c r="H921" s="6" t="s">
        <v>58</v>
      </c>
      <c r="I921" s="6" t="s">
        <v>20</v>
      </c>
      <c r="J921" s="6">
        <v>1995.0</v>
      </c>
      <c r="K921" s="10">
        <v>46146.0</v>
      </c>
      <c r="L921" s="6">
        <v>1.0</v>
      </c>
      <c r="M921" s="8">
        <f t="shared" si="1"/>
        <v>0.1</v>
      </c>
      <c r="P921" s="9"/>
    </row>
    <row r="922">
      <c r="A922" s="6" t="s">
        <v>2452</v>
      </c>
      <c r="B922" s="6" t="s">
        <v>219</v>
      </c>
      <c r="C922" s="6" t="s">
        <v>30</v>
      </c>
      <c r="D922" s="6" t="s">
        <v>2453</v>
      </c>
      <c r="E922" s="6" t="s">
        <v>994</v>
      </c>
      <c r="F922" s="6" t="s">
        <v>26</v>
      </c>
      <c r="G922" s="7">
        <v>0.55</v>
      </c>
      <c r="H922" s="6" t="s">
        <v>1584</v>
      </c>
      <c r="I922" s="6" t="s">
        <v>20</v>
      </c>
      <c r="J922" s="6">
        <v>1997.0</v>
      </c>
      <c r="L922" s="6">
        <v>1.0</v>
      </c>
      <c r="M922" s="8">
        <f t="shared" si="1"/>
        <v>0.55</v>
      </c>
      <c r="P922" s="9"/>
    </row>
    <row r="923">
      <c r="A923" s="6" t="s">
        <v>2454</v>
      </c>
      <c r="B923" s="6" t="s">
        <v>850</v>
      </c>
      <c r="C923" s="6" t="s">
        <v>23</v>
      </c>
      <c r="D923" s="6" t="s">
        <v>2455</v>
      </c>
      <c r="E923" s="6" t="s">
        <v>1936</v>
      </c>
      <c r="F923" s="6" t="s">
        <v>18</v>
      </c>
      <c r="G923" s="7">
        <v>0.25</v>
      </c>
      <c r="H923" s="6" t="s">
        <v>130</v>
      </c>
      <c r="I923" s="6" t="s">
        <v>20</v>
      </c>
      <c r="J923" s="6">
        <v>2014.0</v>
      </c>
      <c r="K923" s="10">
        <v>46055.0</v>
      </c>
      <c r="L923" s="6">
        <v>1.0</v>
      </c>
      <c r="M923" s="8">
        <f t="shared" si="1"/>
        <v>0.25</v>
      </c>
      <c r="P923" s="9"/>
    </row>
    <row r="924">
      <c r="A924" s="6" t="s">
        <v>2456</v>
      </c>
      <c r="B924" s="6" t="s">
        <v>170</v>
      </c>
      <c r="C924" s="6" t="s">
        <v>15</v>
      </c>
      <c r="D924" s="6" t="s">
        <v>2457</v>
      </c>
      <c r="E924" s="6" t="s">
        <v>172</v>
      </c>
      <c r="F924" s="6" t="s">
        <v>26</v>
      </c>
      <c r="G924" s="7">
        <v>0.25</v>
      </c>
      <c r="H924" s="6" t="s">
        <v>153</v>
      </c>
      <c r="I924" s="6" t="s">
        <v>20</v>
      </c>
      <c r="J924" s="6">
        <v>2025.0</v>
      </c>
      <c r="L924" s="6">
        <v>2.0</v>
      </c>
      <c r="M924" s="8">
        <f t="shared" si="1"/>
        <v>0.5</v>
      </c>
      <c r="P924" s="9"/>
    </row>
    <row r="925">
      <c r="A925" s="6" t="s">
        <v>2458</v>
      </c>
      <c r="B925" s="6" t="s">
        <v>2459</v>
      </c>
      <c r="C925" s="6" t="s">
        <v>156</v>
      </c>
      <c r="D925" s="6" t="s">
        <v>2460</v>
      </c>
      <c r="E925" s="6" t="s">
        <v>2461</v>
      </c>
      <c r="F925" s="6" t="s">
        <v>18</v>
      </c>
      <c r="G925" s="7">
        <v>0.73</v>
      </c>
      <c r="H925" s="6" t="s">
        <v>153</v>
      </c>
      <c r="I925" s="6" t="s">
        <v>20</v>
      </c>
      <c r="J925" s="6">
        <v>2025.0</v>
      </c>
      <c r="K925" s="10">
        <v>46146.0</v>
      </c>
      <c r="L925" s="6">
        <v>1.0</v>
      </c>
      <c r="M925" s="8">
        <f t="shared" si="1"/>
        <v>0.73</v>
      </c>
      <c r="P925" s="9"/>
    </row>
    <row r="926">
      <c r="A926" s="6" t="s">
        <v>2462</v>
      </c>
      <c r="B926" s="6" t="s">
        <v>494</v>
      </c>
      <c r="C926" s="6" t="s">
        <v>43</v>
      </c>
      <c r="D926" s="6" t="s">
        <v>2463</v>
      </c>
      <c r="E926" s="6" t="s">
        <v>894</v>
      </c>
      <c r="F926" s="6" t="s">
        <v>71</v>
      </c>
      <c r="G926" s="7">
        <v>0.32</v>
      </c>
      <c r="H926" s="6" t="s">
        <v>2291</v>
      </c>
      <c r="I926" s="6" t="s">
        <v>20</v>
      </c>
      <c r="J926" s="6">
        <v>2008.0</v>
      </c>
      <c r="L926" s="6">
        <v>2.0</v>
      </c>
      <c r="M926" s="8">
        <f t="shared" si="1"/>
        <v>0.64</v>
      </c>
      <c r="P926" s="9"/>
    </row>
    <row r="927">
      <c r="A927" s="6" t="s">
        <v>2464</v>
      </c>
      <c r="B927" s="6" t="s">
        <v>1520</v>
      </c>
      <c r="C927" s="6" t="s">
        <v>43</v>
      </c>
      <c r="D927" s="6" t="s">
        <v>2465</v>
      </c>
      <c r="E927" s="6" t="s">
        <v>329</v>
      </c>
      <c r="F927" s="6" t="s">
        <v>112</v>
      </c>
      <c r="G927" s="7">
        <v>0.09</v>
      </c>
      <c r="H927" s="6" t="s">
        <v>148</v>
      </c>
      <c r="I927" s="6" t="s">
        <v>20</v>
      </c>
      <c r="J927" s="6">
        <v>2026.0</v>
      </c>
      <c r="L927" s="6">
        <v>1.0</v>
      </c>
      <c r="M927" s="8">
        <f t="shared" si="1"/>
        <v>0.09</v>
      </c>
      <c r="P927" s="9"/>
    </row>
    <row r="928">
      <c r="A928" s="6" t="s">
        <v>2466</v>
      </c>
      <c r="B928" s="6" t="s">
        <v>2467</v>
      </c>
      <c r="C928" s="6" t="s">
        <v>37</v>
      </c>
      <c r="D928" s="6" t="s">
        <v>2468</v>
      </c>
      <c r="E928" s="6" t="s">
        <v>57</v>
      </c>
      <c r="F928" s="6" t="s">
        <v>40</v>
      </c>
      <c r="G928" s="7">
        <v>6.5</v>
      </c>
      <c r="H928" s="6" t="s">
        <v>249</v>
      </c>
      <c r="I928" s="6" t="s">
        <v>20</v>
      </c>
      <c r="J928" s="6">
        <v>2014.0</v>
      </c>
      <c r="K928" s="10">
        <v>46113.0</v>
      </c>
      <c r="L928" s="6">
        <v>2.0</v>
      </c>
      <c r="M928" s="8">
        <f t="shared" si="1"/>
        <v>13</v>
      </c>
      <c r="P928" s="9"/>
    </row>
    <row r="929">
      <c r="A929" s="6" t="s">
        <v>2469</v>
      </c>
      <c r="B929" s="6" t="s">
        <v>2470</v>
      </c>
      <c r="C929" s="6" t="s">
        <v>43</v>
      </c>
      <c r="D929" s="6" t="s">
        <v>2471</v>
      </c>
      <c r="E929" s="6" t="s">
        <v>135</v>
      </c>
      <c r="F929" s="6" t="s">
        <v>40</v>
      </c>
      <c r="G929" s="7">
        <v>0.06</v>
      </c>
      <c r="H929" s="6" t="s">
        <v>297</v>
      </c>
      <c r="I929" s="6" t="s">
        <v>20</v>
      </c>
      <c r="J929" s="6">
        <v>2022.0</v>
      </c>
      <c r="K929" s="10">
        <v>46024.0</v>
      </c>
      <c r="L929" s="6">
        <v>1.0</v>
      </c>
      <c r="M929" s="8">
        <f t="shared" si="1"/>
        <v>0.06</v>
      </c>
      <c r="P929" s="9"/>
    </row>
    <row r="930">
      <c r="A930" s="6" t="s">
        <v>2472</v>
      </c>
      <c r="B930" s="6" t="s">
        <v>606</v>
      </c>
      <c r="C930" s="6" t="s">
        <v>15</v>
      </c>
      <c r="D930" s="6" t="s">
        <v>2473</v>
      </c>
      <c r="E930" s="6" t="s">
        <v>17</v>
      </c>
      <c r="F930" s="6" t="s">
        <v>18</v>
      </c>
      <c r="G930" s="7">
        <v>0.14</v>
      </c>
      <c r="H930" s="6" t="s">
        <v>153</v>
      </c>
      <c r="I930" s="6" t="s">
        <v>20</v>
      </c>
      <c r="J930" s="6">
        <v>2025.0</v>
      </c>
      <c r="L930" s="6">
        <v>3.0</v>
      </c>
      <c r="M930" s="8">
        <f t="shared" si="1"/>
        <v>0.42</v>
      </c>
      <c r="P930" s="9"/>
    </row>
    <row r="931">
      <c r="A931" s="6" t="s">
        <v>2474</v>
      </c>
      <c r="B931" s="6" t="s">
        <v>1115</v>
      </c>
      <c r="C931" s="6" t="s">
        <v>43</v>
      </c>
      <c r="D931" s="6" t="s">
        <v>2475</v>
      </c>
      <c r="E931" s="6" t="s">
        <v>256</v>
      </c>
      <c r="F931" s="6" t="s">
        <v>87</v>
      </c>
      <c r="G931" s="7">
        <v>0.1</v>
      </c>
      <c r="H931" s="6" t="s">
        <v>471</v>
      </c>
      <c r="I931" s="6" t="s">
        <v>20</v>
      </c>
      <c r="J931" s="6">
        <v>2026.0</v>
      </c>
      <c r="K931" s="10">
        <v>46055.0</v>
      </c>
      <c r="L931" s="6">
        <v>1.0</v>
      </c>
      <c r="M931" s="8">
        <f t="shared" si="1"/>
        <v>0.1</v>
      </c>
      <c r="P931" s="9"/>
    </row>
    <row r="932">
      <c r="A932" s="6" t="s">
        <v>2474</v>
      </c>
      <c r="B932" s="6" t="s">
        <v>1115</v>
      </c>
      <c r="C932" s="6" t="s">
        <v>43</v>
      </c>
      <c r="D932" s="6" t="s">
        <v>2475</v>
      </c>
      <c r="E932" s="6" t="s">
        <v>256</v>
      </c>
      <c r="F932" s="6" t="s">
        <v>87</v>
      </c>
      <c r="G932" s="7">
        <v>0.25</v>
      </c>
      <c r="H932" s="6" t="s">
        <v>471</v>
      </c>
      <c r="I932" s="6" t="s">
        <v>45</v>
      </c>
      <c r="J932" s="6">
        <v>2026.0</v>
      </c>
      <c r="K932" s="10">
        <v>46055.0</v>
      </c>
      <c r="L932" s="6">
        <v>1.0</v>
      </c>
      <c r="M932" s="8">
        <f t="shared" si="1"/>
        <v>0.25</v>
      </c>
      <c r="P932" s="9"/>
    </row>
    <row r="933">
      <c r="A933" s="6" t="s">
        <v>2476</v>
      </c>
      <c r="B933" s="6" t="s">
        <v>988</v>
      </c>
      <c r="C933" s="6" t="s">
        <v>43</v>
      </c>
      <c r="D933" s="6" t="s">
        <v>2477</v>
      </c>
      <c r="E933" s="6" t="s">
        <v>256</v>
      </c>
      <c r="F933" s="6" t="s">
        <v>87</v>
      </c>
      <c r="G933" s="7">
        <v>0.04</v>
      </c>
      <c r="H933" s="6" t="s">
        <v>407</v>
      </c>
      <c r="I933" s="6" t="s">
        <v>20</v>
      </c>
      <c r="J933" s="6">
        <v>2016.0</v>
      </c>
      <c r="K933" s="10">
        <v>46083.0</v>
      </c>
      <c r="L933" s="6">
        <v>1.0</v>
      </c>
      <c r="M933" s="8">
        <f t="shared" si="1"/>
        <v>0.04</v>
      </c>
      <c r="P933" s="9"/>
    </row>
    <row r="934">
      <c r="A934" s="6" t="s">
        <v>2478</v>
      </c>
      <c r="B934" s="6" t="s">
        <v>74</v>
      </c>
      <c r="C934" s="6" t="s">
        <v>43</v>
      </c>
      <c r="D934" s="6" t="s">
        <v>2479</v>
      </c>
      <c r="E934" s="6" t="s">
        <v>140</v>
      </c>
      <c r="F934" s="6" t="s">
        <v>87</v>
      </c>
      <c r="G934" s="7">
        <v>0.38</v>
      </c>
      <c r="H934" s="6" t="s">
        <v>586</v>
      </c>
      <c r="I934" s="6" t="s">
        <v>20</v>
      </c>
      <c r="J934" s="6">
        <v>2012.0</v>
      </c>
      <c r="L934" s="6">
        <v>4.0</v>
      </c>
      <c r="M934" s="8">
        <f t="shared" si="1"/>
        <v>1.52</v>
      </c>
      <c r="P934" s="9"/>
    </row>
    <row r="935">
      <c r="A935" s="6" t="s">
        <v>2480</v>
      </c>
      <c r="B935" s="6" t="s">
        <v>74</v>
      </c>
      <c r="C935" s="6" t="s">
        <v>43</v>
      </c>
      <c r="D935" s="6" t="s">
        <v>2481</v>
      </c>
      <c r="E935" s="6" t="s">
        <v>389</v>
      </c>
      <c r="F935" s="6" t="s">
        <v>87</v>
      </c>
      <c r="G935" s="7">
        <v>0.03</v>
      </c>
      <c r="H935" s="6" t="s">
        <v>531</v>
      </c>
      <c r="I935" s="6" t="s">
        <v>20</v>
      </c>
      <c r="J935" s="6">
        <v>2017.0</v>
      </c>
      <c r="L935" s="6">
        <v>1.0</v>
      </c>
      <c r="M935" s="8">
        <f t="shared" si="1"/>
        <v>0.03</v>
      </c>
      <c r="P935" s="9"/>
    </row>
    <row r="936">
      <c r="A936" s="6" t="s">
        <v>2482</v>
      </c>
      <c r="B936" s="6" t="s">
        <v>74</v>
      </c>
      <c r="C936" s="6" t="s">
        <v>37</v>
      </c>
      <c r="D936" s="6" t="s">
        <v>2483</v>
      </c>
      <c r="E936" s="6" t="s">
        <v>964</v>
      </c>
      <c r="F936" s="6" t="s">
        <v>50</v>
      </c>
      <c r="G936" s="7">
        <v>0.25</v>
      </c>
      <c r="H936" s="6" t="s">
        <v>424</v>
      </c>
      <c r="I936" s="6" t="s">
        <v>20</v>
      </c>
      <c r="J936" s="6">
        <v>2017.0</v>
      </c>
      <c r="L936" s="6">
        <v>4.0</v>
      </c>
      <c r="M936" s="8">
        <f t="shared" si="1"/>
        <v>1</v>
      </c>
      <c r="P936" s="9"/>
    </row>
    <row r="937">
      <c r="A937" s="6" t="s">
        <v>2484</v>
      </c>
      <c r="B937" s="6" t="s">
        <v>2485</v>
      </c>
      <c r="C937" s="6" t="s">
        <v>204</v>
      </c>
      <c r="D937" s="6" t="s">
        <v>2486</v>
      </c>
      <c r="E937" s="6" t="s">
        <v>2487</v>
      </c>
      <c r="F937" s="6" t="s">
        <v>40</v>
      </c>
      <c r="G937" s="7">
        <v>0.05</v>
      </c>
      <c r="H937" s="6" t="s">
        <v>475</v>
      </c>
      <c r="I937" s="6" t="s">
        <v>20</v>
      </c>
      <c r="J937" s="6">
        <v>2024.0</v>
      </c>
      <c r="L937" s="6">
        <v>1.0</v>
      </c>
      <c r="M937" s="8">
        <f t="shared" si="1"/>
        <v>0.05</v>
      </c>
      <c r="P937" s="9"/>
    </row>
    <row r="938">
      <c r="A938" s="6" t="s">
        <v>2488</v>
      </c>
      <c r="B938" s="6" t="s">
        <v>2489</v>
      </c>
      <c r="C938" s="6" t="s">
        <v>23</v>
      </c>
      <c r="D938" s="6" t="s">
        <v>2490</v>
      </c>
      <c r="E938" s="6" t="s">
        <v>2491</v>
      </c>
      <c r="F938" s="6" t="s">
        <v>665</v>
      </c>
      <c r="G938" s="7">
        <v>0.05</v>
      </c>
      <c r="H938" s="6" t="s">
        <v>617</v>
      </c>
      <c r="I938" s="6" t="s">
        <v>20</v>
      </c>
      <c r="J938" s="6">
        <v>2026.0</v>
      </c>
      <c r="K938" s="10">
        <v>46113.0</v>
      </c>
      <c r="L938" s="6">
        <v>1.0</v>
      </c>
      <c r="M938" s="8">
        <f t="shared" si="1"/>
        <v>0.05</v>
      </c>
      <c r="P938" s="9"/>
    </row>
    <row r="939">
      <c r="A939" s="6" t="s">
        <v>2492</v>
      </c>
      <c r="B939" s="6" t="s">
        <v>74</v>
      </c>
      <c r="C939" s="6" t="s">
        <v>37</v>
      </c>
      <c r="D939" s="6" t="s">
        <v>2493</v>
      </c>
      <c r="E939" s="6" t="s">
        <v>76</v>
      </c>
      <c r="F939" s="6" t="s">
        <v>77</v>
      </c>
      <c r="G939" s="7">
        <v>0.72</v>
      </c>
      <c r="H939" s="6" t="s">
        <v>1396</v>
      </c>
      <c r="I939" s="6" t="s">
        <v>45</v>
      </c>
      <c r="J939" s="6">
        <v>2020.0</v>
      </c>
      <c r="L939" s="6">
        <v>1.0</v>
      </c>
      <c r="M939" s="8">
        <f t="shared" si="1"/>
        <v>0.72</v>
      </c>
      <c r="P939" s="9"/>
    </row>
    <row r="940">
      <c r="A940" s="6" t="s">
        <v>2494</v>
      </c>
      <c r="B940" s="6" t="s">
        <v>2495</v>
      </c>
      <c r="C940" s="6" t="s">
        <v>43</v>
      </c>
      <c r="D940" s="6" t="s">
        <v>2496</v>
      </c>
      <c r="E940" s="6" t="s">
        <v>2497</v>
      </c>
      <c r="F940" s="6" t="s">
        <v>40</v>
      </c>
      <c r="G940" s="7">
        <v>0.07</v>
      </c>
      <c r="H940" s="6" t="s">
        <v>72</v>
      </c>
      <c r="I940" s="6" t="s">
        <v>20</v>
      </c>
      <c r="J940" s="6">
        <v>2026.0</v>
      </c>
      <c r="K940" s="10">
        <v>46054.0</v>
      </c>
      <c r="L940" s="6">
        <v>1.0</v>
      </c>
      <c r="M940" s="8">
        <f t="shared" si="1"/>
        <v>0.07</v>
      </c>
      <c r="P940" s="9"/>
    </row>
    <row r="941">
      <c r="A941" s="6" t="s">
        <v>2498</v>
      </c>
      <c r="B941" s="6" t="s">
        <v>192</v>
      </c>
      <c r="C941" s="6" t="s">
        <v>15</v>
      </c>
      <c r="D941" s="6" t="s">
        <v>2499</v>
      </c>
      <c r="E941" s="6">
        <v>1.0</v>
      </c>
      <c r="F941" s="6" t="s">
        <v>26</v>
      </c>
      <c r="G941" s="7">
        <v>0.25</v>
      </c>
      <c r="H941" s="6" t="s">
        <v>2391</v>
      </c>
      <c r="I941" s="6" t="s">
        <v>20</v>
      </c>
      <c r="J941" s="6">
        <v>2025.0</v>
      </c>
      <c r="L941" s="6">
        <v>1.0</v>
      </c>
      <c r="M941" s="8">
        <f t="shared" si="1"/>
        <v>0.25</v>
      </c>
      <c r="P941" s="9"/>
    </row>
    <row r="942">
      <c r="A942" s="6" t="s">
        <v>2498</v>
      </c>
      <c r="B942" s="6" t="s">
        <v>192</v>
      </c>
      <c r="C942" s="6" t="s">
        <v>15</v>
      </c>
      <c r="D942" s="6" t="s">
        <v>2499</v>
      </c>
      <c r="E942" s="6">
        <v>1.0</v>
      </c>
      <c r="F942" s="6" t="s">
        <v>26</v>
      </c>
      <c r="G942" s="7">
        <v>0.24</v>
      </c>
      <c r="H942" s="6" t="s">
        <v>2391</v>
      </c>
      <c r="I942" s="6" t="s">
        <v>45</v>
      </c>
      <c r="J942" s="6">
        <v>2025.0</v>
      </c>
      <c r="L942" s="6">
        <v>1.0</v>
      </c>
      <c r="M942" s="8">
        <f t="shared" si="1"/>
        <v>0.24</v>
      </c>
      <c r="P942" s="9"/>
    </row>
    <row r="943">
      <c r="A943" s="6" t="s">
        <v>2500</v>
      </c>
      <c r="B943" s="6" t="s">
        <v>1444</v>
      </c>
      <c r="C943" s="6" t="s">
        <v>15</v>
      </c>
      <c r="D943" s="6" t="s">
        <v>2501</v>
      </c>
      <c r="E943" s="6" t="s">
        <v>1364</v>
      </c>
      <c r="F943" s="6" t="s">
        <v>18</v>
      </c>
      <c r="G943" s="7">
        <v>0.39</v>
      </c>
      <c r="H943" s="6" t="s">
        <v>19</v>
      </c>
      <c r="I943" s="6" t="s">
        <v>20</v>
      </c>
      <c r="J943" s="6">
        <v>2023.0</v>
      </c>
      <c r="K943" s="10">
        <v>46056.0</v>
      </c>
      <c r="L943" s="6">
        <v>2.0</v>
      </c>
      <c r="M943" s="8">
        <f t="shared" si="1"/>
        <v>0.78</v>
      </c>
      <c r="P943" s="9"/>
    </row>
    <row r="944">
      <c r="A944" s="6" t="s">
        <v>2502</v>
      </c>
      <c r="B944" s="6" t="s">
        <v>2503</v>
      </c>
      <c r="C944" s="6" t="s">
        <v>43</v>
      </c>
      <c r="D944" s="6" t="s">
        <v>2504</v>
      </c>
      <c r="E944" s="6" t="s">
        <v>448</v>
      </c>
      <c r="F944" s="6" t="s">
        <v>112</v>
      </c>
      <c r="G944" s="7">
        <v>0.05</v>
      </c>
      <c r="H944" s="6" t="s">
        <v>1287</v>
      </c>
      <c r="I944" s="6" t="s">
        <v>20</v>
      </c>
      <c r="J944" s="6">
        <v>2021.0</v>
      </c>
      <c r="K944" s="10">
        <v>46026.0</v>
      </c>
      <c r="L944" s="6">
        <v>1.0</v>
      </c>
      <c r="M944" s="8">
        <f t="shared" si="1"/>
        <v>0.05</v>
      </c>
      <c r="P944" s="9"/>
    </row>
    <row r="945">
      <c r="A945" s="6" t="s">
        <v>2505</v>
      </c>
      <c r="B945" s="6" t="s">
        <v>2506</v>
      </c>
      <c r="C945" s="6" t="s">
        <v>37</v>
      </c>
      <c r="D945" s="6" t="s">
        <v>2507</v>
      </c>
      <c r="E945" s="6" t="s">
        <v>329</v>
      </c>
      <c r="F945" s="6" t="s">
        <v>112</v>
      </c>
      <c r="G945" s="7">
        <v>0.04</v>
      </c>
      <c r="H945" s="6" t="s">
        <v>99</v>
      </c>
      <c r="I945" s="6" t="s">
        <v>20</v>
      </c>
      <c r="J945" s="6">
        <v>2022.0</v>
      </c>
      <c r="K945" s="10">
        <v>46056.0</v>
      </c>
      <c r="L945" s="6">
        <v>1.0</v>
      </c>
      <c r="M945" s="8">
        <f t="shared" si="1"/>
        <v>0.04</v>
      </c>
      <c r="P945" s="9"/>
    </row>
    <row r="946">
      <c r="A946" s="6" t="s">
        <v>2508</v>
      </c>
      <c r="B946" s="6" t="s">
        <v>2509</v>
      </c>
      <c r="C946" s="6" t="s">
        <v>43</v>
      </c>
      <c r="D946" s="6" t="s">
        <v>2510</v>
      </c>
      <c r="E946" s="6" t="s">
        <v>179</v>
      </c>
      <c r="F946" s="6" t="s">
        <v>112</v>
      </c>
      <c r="G946" s="7">
        <v>0.24</v>
      </c>
      <c r="H946" s="6" t="s">
        <v>464</v>
      </c>
      <c r="I946" s="6" t="s">
        <v>20</v>
      </c>
      <c r="J946" s="6">
        <v>2002.0</v>
      </c>
      <c r="K946" s="10">
        <v>46023.0</v>
      </c>
      <c r="L946" s="6">
        <v>1.0</v>
      </c>
      <c r="M946" s="8">
        <f t="shared" si="1"/>
        <v>0.24</v>
      </c>
      <c r="P946" s="9"/>
    </row>
    <row r="947">
      <c r="A947" s="6" t="s">
        <v>2511</v>
      </c>
      <c r="B947" s="6" t="s">
        <v>1095</v>
      </c>
      <c r="C947" s="6" t="s">
        <v>43</v>
      </c>
      <c r="D947" s="6" t="s">
        <v>2512</v>
      </c>
      <c r="E947" s="6" t="s">
        <v>329</v>
      </c>
      <c r="F947" s="6" t="s">
        <v>112</v>
      </c>
      <c r="G947" s="7">
        <v>0.34</v>
      </c>
      <c r="H947" s="7" t="s">
        <v>78</v>
      </c>
      <c r="I947" s="6" t="s">
        <v>45</v>
      </c>
      <c r="J947" s="6">
        <v>2018.0</v>
      </c>
      <c r="K947" s="10">
        <v>46023.0</v>
      </c>
      <c r="L947" s="6">
        <v>4.0</v>
      </c>
      <c r="M947" s="8">
        <f t="shared" si="1"/>
        <v>1.36</v>
      </c>
      <c r="P947" s="9"/>
    </row>
    <row r="948">
      <c r="A948" s="6" t="s">
        <v>2513</v>
      </c>
      <c r="B948" s="6" t="s">
        <v>462</v>
      </c>
      <c r="C948" s="6" t="s">
        <v>37</v>
      </c>
      <c r="D948" s="6" t="s">
        <v>2514</v>
      </c>
      <c r="E948" s="6" t="s">
        <v>1840</v>
      </c>
      <c r="F948" s="6" t="s">
        <v>18</v>
      </c>
      <c r="G948" s="7">
        <v>0.15</v>
      </c>
      <c r="H948" s="6" t="s">
        <v>34</v>
      </c>
      <c r="I948" s="6" t="s">
        <v>20</v>
      </c>
      <c r="J948" s="6">
        <v>2025.0</v>
      </c>
      <c r="L948" s="6">
        <v>1.0</v>
      </c>
      <c r="M948" s="8">
        <f t="shared" si="1"/>
        <v>0.15</v>
      </c>
      <c r="P948" s="9"/>
    </row>
    <row r="949">
      <c r="A949" s="6" t="s">
        <v>2515</v>
      </c>
      <c r="B949" s="6" t="s">
        <v>2516</v>
      </c>
      <c r="C949" s="6" t="s">
        <v>37</v>
      </c>
      <c r="D949" s="6" t="s">
        <v>2517</v>
      </c>
      <c r="E949" s="6" t="s">
        <v>389</v>
      </c>
      <c r="F949" s="6" t="s">
        <v>87</v>
      </c>
      <c r="G949" s="7">
        <v>0.18</v>
      </c>
      <c r="H949" s="6" t="s">
        <v>464</v>
      </c>
      <c r="I949" s="6" t="s">
        <v>20</v>
      </c>
      <c r="J949" s="6">
        <v>2002.0</v>
      </c>
      <c r="K949" s="10">
        <v>46023.0</v>
      </c>
      <c r="L949" s="6">
        <v>1.0</v>
      </c>
      <c r="M949" s="8">
        <f t="shared" si="1"/>
        <v>0.18</v>
      </c>
      <c r="P949" s="9"/>
    </row>
    <row r="950">
      <c r="A950" s="6" t="s">
        <v>2518</v>
      </c>
      <c r="B950" s="6" t="s">
        <v>2519</v>
      </c>
      <c r="C950" s="6" t="s">
        <v>43</v>
      </c>
      <c r="D950" s="6" t="s">
        <v>2520</v>
      </c>
      <c r="E950" s="6" t="s">
        <v>248</v>
      </c>
      <c r="F950" s="6" t="s">
        <v>77</v>
      </c>
      <c r="G950" s="7">
        <v>1.0</v>
      </c>
      <c r="H950" s="6" t="s">
        <v>297</v>
      </c>
      <c r="I950" s="6" t="s">
        <v>20</v>
      </c>
      <c r="J950" s="6">
        <v>2022.0</v>
      </c>
      <c r="K950" s="10">
        <v>46056.0</v>
      </c>
      <c r="L950" s="6">
        <v>1.0</v>
      </c>
      <c r="M950" s="8">
        <f t="shared" si="1"/>
        <v>1</v>
      </c>
      <c r="P950" s="9"/>
    </row>
    <row r="951">
      <c r="A951" s="6" t="s">
        <v>2521</v>
      </c>
      <c r="B951" s="6" t="s">
        <v>115</v>
      </c>
      <c r="C951" s="6" t="s">
        <v>23</v>
      </c>
      <c r="D951" s="6" t="s">
        <v>2522</v>
      </c>
      <c r="E951" s="6" t="s">
        <v>117</v>
      </c>
      <c r="F951" s="6" t="s">
        <v>77</v>
      </c>
      <c r="G951" s="7">
        <v>0.24</v>
      </c>
      <c r="H951" s="6" t="s">
        <v>780</v>
      </c>
      <c r="I951" s="6" t="s">
        <v>45</v>
      </c>
      <c r="J951" s="6">
        <v>2025.0</v>
      </c>
      <c r="L951" s="6">
        <v>1.0</v>
      </c>
      <c r="M951" s="8">
        <f t="shared" si="1"/>
        <v>0.24</v>
      </c>
      <c r="P951" s="9"/>
    </row>
    <row r="952">
      <c r="A952" s="6" t="s">
        <v>2523</v>
      </c>
      <c r="B952" s="6" t="s">
        <v>138</v>
      </c>
      <c r="C952" s="6" t="s">
        <v>43</v>
      </c>
      <c r="D952" s="6" t="s">
        <v>2524</v>
      </c>
      <c r="E952" s="6" t="s">
        <v>2525</v>
      </c>
      <c r="F952" s="6" t="s">
        <v>977</v>
      </c>
      <c r="G952" s="7">
        <v>0.14</v>
      </c>
      <c r="H952" s="6" t="s">
        <v>72</v>
      </c>
      <c r="I952" s="6" t="s">
        <v>20</v>
      </c>
      <c r="J952" s="6">
        <v>2026.0</v>
      </c>
      <c r="L952" s="6">
        <v>4.0</v>
      </c>
      <c r="M952" s="8">
        <f t="shared" si="1"/>
        <v>0.56</v>
      </c>
      <c r="P952" s="9"/>
    </row>
    <row r="953">
      <c r="A953" s="6" t="s">
        <v>2526</v>
      </c>
      <c r="B953" s="6" t="s">
        <v>162</v>
      </c>
      <c r="C953" s="6" t="s">
        <v>43</v>
      </c>
      <c r="D953" s="6" t="s">
        <v>2527</v>
      </c>
      <c r="E953" s="6" t="s">
        <v>389</v>
      </c>
      <c r="F953" s="6" t="s">
        <v>87</v>
      </c>
      <c r="G953" s="7">
        <v>0.15</v>
      </c>
      <c r="H953" s="6" t="s">
        <v>488</v>
      </c>
      <c r="I953" s="6" t="s">
        <v>20</v>
      </c>
      <c r="J953" s="6">
        <v>2023.0</v>
      </c>
      <c r="L953" s="6">
        <v>1.0</v>
      </c>
      <c r="M953" s="8">
        <f t="shared" si="1"/>
        <v>0.15</v>
      </c>
      <c r="P953" s="9"/>
    </row>
    <row r="954">
      <c r="A954" s="6" t="s">
        <v>2528</v>
      </c>
      <c r="B954" s="6" t="s">
        <v>2529</v>
      </c>
      <c r="C954" s="6" t="s">
        <v>37</v>
      </c>
      <c r="D954" s="6" t="s">
        <v>2530</v>
      </c>
      <c r="E954" s="6" t="s">
        <v>1559</v>
      </c>
      <c r="F954" s="6" t="s">
        <v>519</v>
      </c>
      <c r="G954" s="7">
        <v>0.1</v>
      </c>
      <c r="H954" s="6" t="s">
        <v>88</v>
      </c>
      <c r="I954" s="6" t="s">
        <v>20</v>
      </c>
      <c r="J954" s="6">
        <v>2024.0</v>
      </c>
      <c r="K954" s="10">
        <v>46083.0</v>
      </c>
      <c r="L954" s="6">
        <v>2.0</v>
      </c>
      <c r="M954" s="8">
        <f t="shared" si="1"/>
        <v>0.2</v>
      </c>
      <c r="P954" s="9"/>
    </row>
    <row r="955">
      <c r="A955" s="6" t="s">
        <v>2531</v>
      </c>
      <c r="B955" s="6" t="s">
        <v>2532</v>
      </c>
      <c r="C955" s="6" t="s">
        <v>37</v>
      </c>
      <c r="D955" s="6" t="s">
        <v>2533</v>
      </c>
      <c r="E955" s="6" t="s">
        <v>98</v>
      </c>
      <c r="F955" s="6" t="s">
        <v>18</v>
      </c>
      <c r="G955" s="7">
        <v>0.18</v>
      </c>
      <c r="H955" s="6" t="s">
        <v>148</v>
      </c>
      <c r="I955" s="6" t="s">
        <v>20</v>
      </c>
      <c r="J955" s="6">
        <v>2026.0</v>
      </c>
      <c r="K955" s="10">
        <v>46083.0</v>
      </c>
      <c r="L955" s="6">
        <v>1.0</v>
      </c>
      <c r="M955" s="8">
        <f t="shared" si="1"/>
        <v>0.18</v>
      </c>
      <c r="P955" s="9"/>
    </row>
    <row r="956">
      <c r="A956" s="6" t="s">
        <v>2534</v>
      </c>
      <c r="B956" s="6" t="s">
        <v>440</v>
      </c>
      <c r="C956" s="6" t="s">
        <v>37</v>
      </c>
      <c r="D956" s="6" t="s">
        <v>2535</v>
      </c>
      <c r="E956" s="6" t="s">
        <v>579</v>
      </c>
      <c r="F956" s="6" t="s">
        <v>112</v>
      </c>
      <c r="G956" s="7">
        <v>0.11</v>
      </c>
      <c r="H956" s="6" t="s">
        <v>502</v>
      </c>
      <c r="I956" s="6" t="s">
        <v>20</v>
      </c>
      <c r="J956" s="6">
        <v>2025.0</v>
      </c>
      <c r="L956" s="6">
        <v>1.0</v>
      </c>
      <c r="M956" s="8">
        <f t="shared" si="1"/>
        <v>0.11</v>
      </c>
      <c r="P956" s="9"/>
    </row>
    <row r="957">
      <c r="A957" s="6" t="s">
        <v>2536</v>
      </c>
      <c r="B957" s="6" t="s">
        <v>2537</v>
      </c>
      <c r="C957" s="6" t="s">
        <v>37</v>
      </c>
      <c r="D957" s="6" t="s">
        <v>2538</v>
      </c>
      <c r="E957" s="6" t="s">
        <v>135</v>
      </c>
      <c r="F957" s="6" t="s">
        <v>40</v>
      </c>
      <c r="G957" s="7">
        <v>0.05</v>
      </c>
      <c r="H957" s="6" t="s">
        <v>471</v>
      </c>
      <c r="I957" s="6" t="s">
        <v>20</v>
      </c>
      <c r="J957" s="6">
        <v>2026.0</v>
      </c>
      <c r="K957" s="10">
        <v>46117.0</v>
      </c>
      <c r="L957" s="6">
        <v>1.0</v>
      </c>
      <c r="M957" s="8">
        <f t="shared" si="1"/>
        <v>0.05</v>
      </c>
      <c r="P957" s="9"/>
    </row>
    <row r="958">
      <c r="A958" s="6" t="s">
        <v>2539</v>
      </c>
      <c r="B958" s="6" t="s">
        <v>162</v>
      </c>
      <c r="C958" s="6" t="s">
        <v>37</v>
      </c>
      <c r="D958" s="6" t="s">
        <v>2540</v>
      </c>
      <c r="E958" s="6" t="s">
        <v>76</v>
      </c>
      <c r="F958" s="6" t="s">
        <v>77</v>
      </c>
      <c r="G958" s="7">
        <v>0.25</v>
      </c>
      <c r="H958" s="6" t="s">
        <v>148</v>
      </c>
      <c r="I958" s="6" t="s">
        <v>20</v>
      </c>
      <c r="J958" s="6">
        <v>2026.0</v>
      </c>
      <c r="L958" s="6">
        <v>1.0</v>
      </c>
      <c r="M958" s="8">
        <f t="shared" si="1"/>
        <v>0.25</v>
      </c>
      <c r="P958" s="9"/>
    </row>
    <row r="959">
      <c r="A959" s="6" t="s">
        <v>2541</v>
      </c>
      <c r="B959" s="6" t="s">
        <v>47</v>
      </c>
      <c r="C959" s="6" t="s">
        <v>37</v>
      </c>
      <c r="D959" s="6" t="s">
        <v>2542</v>
      </c>
      <c r="E959" s="6" t="s">
        <v>25</v>
      </c>
      <c r="F959" s="6" t="s">
        <v>26</v>
      </c>
      <c r="G959" s="7">
        <v>0.47</v>
      </c>
      <c r="H959" s="6" t="s">
        <v>34</v>
      </c>
      <c r="I959" s="6" t="s">
        <v>45</v>
      </c>
      <c r="J959" s="6">
        <v>2025.0</v>
      </c>
      <c r="L959" s="6">
        <v>1.0</v>
      </c>
      <c r="M959" s="8">
        <f t="shared" si="1"/>
        <v>0.47</v>
      </c>
      <c r="P959" s="9"/>
    </row>
    <row r="960">
      <c r="A960" s="6" t="s">
        <v>2543</v>
      </c>
      <c r="B960" s="6" t="s">
        <v>146</v>
      </c>
      <c r="C960" s="6" t="s">
        <v>37</v>
      </c>
      <c r="D960" s="6" t="s">
        <v>2544</v>
      </c>
      <c r="E960" s="6" t="s">
        <v>107</v>
      </c>
      <c r="F960" s="6" t="s">
        <v>18</v>
      </c>
      <c r="G960" s="7">
        <v>0.06</v>
      </c>
      <c r="H960" s="6" t="s">
        <v>1344</v>
      </c>
      <c r="I960" s="6" t="s">
        <v>20</v>
      </c>
      <c r="J960" s="6">
        <v>2018.0</v>
      </c>
      <c r="L960" s="6">
        <v>1.0</v>
      </c>
      <c r="M960" s="8">
        <f t="shared" si="1"/>
        <v>0.06</v>
      </c>
      <c r="N960" s="6" t="s">
        <v>374</v>
      </c>
      <c r="P960" s="9"/>
    </row>
    <row r="961">
      <c r="A961" s="6" t="s">
        <v>2545</v>
      </c>
      <c r="B961" s="6" t="s">
        <v>606</v>
      </c>
      <c r="C961" s="6" t="s">
        <v>15</v>
      </c>
      <c r="D961" s="6" t="s">
        <v>2546</v>
      </c>
      <c r="E961" s="6" t="s">
        <v>2547</v>
      </c>
      <c r="F961" s="6" t="s">
        <v>1335</v>
      </c>
      <c r="G961" s="7">
        <v>0.05</v>
      </c>
      <c r="H961" s="6" t="s">
        <v>342</v>
      </c>
      <c r="I961" s="6" t="s">
        <v>20</v>
      </c>
      <c r="J961" s="6">
        <v>2014.0</v>
      </c>
      <c r="L961" s="6">
        <v>1.0</v>
      </c>
      <c r="M961" s="8">
        <f t="shared" si="1"/>
        <v>0.05</v>
      </c>
      <c r="P961" s="9"/>
    </row>
    <row r="962">
      <c r="A962" s="6" t="s">
        <v>2548</v>
      </c>
      <c r="B962" s="6" t="s">
        <v>1844</v>
      </c>
      <c r="C962" s="6" t="s">
        <v>37</v>
      </c>
      <c r="D962" s="6" t="s">
        <v>2549</v>
      </c>
      <c r="E962" s="6" t="s">
        <v>964</v>
      </c>
      <c r="F962" s="6" t="s">
        <v>50</v>
      </c>
      <c r="G962" s="7">
        <v>0.1</v>
      </c>
      <c r="H962" s="6" t="s">
        <v>78</v>
      </c>
      <c r="I962" s="6" t="s">
        <v>20</v>
      </c>
      <c r="J962" s="6">
        <v>2018.0</v>
      </c>
      <c r="K962" s="6" t="s">
        <v>1847</v>
      </c>
      <c r="L962" s="6">
        <v>1.0</v>
      </c>
      <c r="M962" s="8">
        <f t="shared" si="1"/>
        <v>0.1</v>
      </c>
      <c r="P962" s="9"/>
    </row>
    <row r="963">
      <c r="A963" s="6" t="s">
        <v>2550</v>
      </c>
      <c r="B963" s="6" t="s">
        <v>2551</v>
      </c>
      <c r="C963" s="6" t="s">
        <v>43</v>
      </c>
      <c r="D963" s="6" t="s">
        <v>2552</v>
      </c>
      <c r="E963" s="6" t="s">
        <v>256</v>
      </c>
      <c r="F963" s="6" t="s">
        <v>87</v>
      </c>
      <c r="G963" s="7">
        <v>0.09</v>
      </c>
      <c r="H963" s="6" t="s">
        <v>206</v>
      </c>
      <c r="I963" s="6" t="s">
        <v>20</v>
      </c>
      <c r="J963" s="6">
        <v>1996.0</v>
      </c>
      <c r="K963" s="10">
        <v>46055.0</v>
      </c>
      <c r="L963" s="6">
        <v>1.0</v>
      </c>
      <c r="M963" s="8">
        <f t="shared" si="1"/>
        <v>0.09</v>
      </c>
      <c r="P963" s="9"/>
    </row>
    <row r="964">
      <c r="A964" s="6" t="s">
        <v>2553</v>
      </c>
      <c r="B964" s="6" t="s">
        <v>606</v>
      </c>
      <c r="C964" s="6" t="s">
        <v>15</v>
      </c>
      <c r="D964" s="6" t="s">
        <v>2554</v>
      </c>
      <c r="E964" s="6" t="s">
        <v>457</v>
      </c>
      <c r="F964" s="6" t="s">
        <v>112</v>
      </c>
      <c r="G964" s="7">
        <v>0.18</v>
      </c>
      <c r="H964" s="6" t="s">
        <v>19</v>
      </c>
      <c r="I964" s="6" t="s">
        <v>20</v>
      </c>
      <c r="J964" s="6">
        <v>2023.0</v>
      </c>
      <c r="L964" s="6">
        <v>1.0</v>
      </c>
      <c r="M964" s="8">
        <f t="shared" si="1"/>
        <v>0.18</v>
      </c>
      <c r="P964" s="9"/>
    </row>
    <row r="965">
      <c r="A965" s="6" t="s">
        <v>2555</v>
      </c>
      <c r="B965" s="6" t="s">
        <v>47</v>
      </c>
      <c r="C965" s="6" t="s">
        <v>37</v>
      </c>
      <c r="D965" s="6" t="s">
        <v>2556</v>
      </c>
      <c r="E965" s="6" t="s">
        <v>125</v>
      </c>
      <c r="F965" s="6" t="s">
        <v>40</v>
      </c>
      <c r="G965" s="7">
        <v>0.25</v>
      </c>
      <c r="H965" s="6" t="s">
        <v>34</v>
      </c>
      <c r="I965" s="6" t="s">
        <v>20</v>
      </c>
      <c r="J965" s="6">
        <v>2025.0</v>
      </c>
      <c r="L965" s="6">
        <v>1.0</v>
      </c>
      <c r="M965" s="8">
        <f t="shared" si="1"/>
        <v>0.25</v>
      </c>
      <c r="P965" s="9"/>
    </row>
    <row r="966">
      <c r="A966" s="6" t="s">
        <v>2557</v>
      </c>
      <c r="B966" s="6" t="s">
        <v>462</v>
      </c>
      <c r="C966" s="6" t="s">
        <v>43</v>
      </c>
      <c r="D966" s="6" t="s">
        <v>2558</v>
      </c>
      <c r="E966" s="6" t="s">
        <v>190</v>
      </c>
      <c r="F966" s="6" t="s">
        <v>18</v>
      </c>
      <c r="G966" s="7">
        <v>0.19</v>
      </c>
      <c r="H966" s="6" t="s">
        <v>475</v>
      </c>
      <c r="I966" s="6" t="s">
        <v>20</v>
      </c>
      <c r="J966" s="6">
        <v>2024.0</v>
      </c>
      <c r="L966" s="6">
        <v>1.0</v>
      </c>
      <c r="M966" s="8">
        <f t="shared" si="1"/>
        <v>0.19</v>
      </c>
      <c r="P966" s="9"/>
    </row>
    <row r="967">
      <c r="A967" s="6" t="s">
        <v>2559</v>
      </c>
      <c r="B967" s="6" t="s">
        <v>2560</v>
      </c>
      <c r="C967" s="6" t="s">
        <v>37</v>
      </c>
      <c r="D967" s="6" t="s">
        <v>2561</v>
      </c>
      <c r="E967" s="6" t="s">
        <v>93</v>
      </c>
      <c r="F967" s="6" t="s">
        <v>77</v>
      </c>
      <c r="G967" s="7">
        <v>0.1</v>
      </c>
      <c r="H967" s="6" t="s">
        <v>1475</v>
      </c>
      <c r="I967" s="6" t="s">
        <v>20</v>
      </c>
      <c r="J967" s="6">
        <v>2020.0</v>
      </c>
      <c r="K967" s="10">
        <v>46055.0</v>
      </c>
      <c r="L967" s="6">
        <v>1.0</v>
      </c>
      <c r="M967" s="8">
        <f t="shared" si="1"/>
        <v>0.1</v>
      </c>
      <c r="P967" s="9"/>
    </row>
    <row r="968">
      <c r="A968" s="6" t="s">
        <v>2562</v>
      </c>
      <c r="B968" s="6" t="s">
        <v>606</v>
      </c>
      <c r="C968" s="6" t="s">
        <v>15</v>
      </c>
      <c r="D968" s="6" t="s">
        <v>2563</v>
      </c>
      <c r="E968" s="6" t="s">
        <v>277</v>
      </c>
      <c r="F968" s="6" t="s">
        <v>112</v>
      </c>
      <c r="G968" s="7">
        <v>0.05</v>
      </c>
      <c r="H968" s="6" t="s">
        <v>342</v>
      </c>
      <c r="I968" s="6" t="s">
        <v>20</v>
      </c>
      <c r="J968" s="6">
        <v>2014.0</v>
      </c>
      <c r="L968" s="6">
        <v>1.0</v>
      </c>
      <c r="M968" s="8">
        <f t="shared" si="1"/>
        <v>0.05</v>
      </c>
      <c r="P968" s="9"/>
    </row>
    <row r="969">
      <c r="A969" s="6" t="s">
        <v>2564</v>
      </c>
      <c r="B969" s="6" t="s">
        <v>2565</v>
      </c>
      <c r="C969" s="6" t="s">
        <v>156</v>
      </c>
      <c r="D969" s="6" t="s">
        <v>2566</v>
      </c>
      <c r="E969" s="6" t="s">
        <v>1550</v>
      </c>
      <c r="F969" s="6" t="s">
        <v>77</v>
      </c>
      <c r="G969" s="7">
        <v>0.44</v>
      </c>
      <c r="H969" s="6" t="s">
        <v>780</v>
      </c>
      <c r="I969" s="6" t="s">
        <v>20</v>
      </c>
      <c r="J969" s="6">
        <v>2025.0</v>
      </c>
      <c r="K969" s="10">
        <v>46298.0</v>
      </c>
      <c r="L969" s="6">
        <v>1.0</v>
      </c>
      <c r="M969" s="8">
        <f t="shared" si="1"/>
        <v>0.44</v>
      </c>
      <c r="P969" s="9"/>
    </row>
    <row r="970">
      <c r="A970" s="6" t="s">
        <v>2567</v>
      </c>
      <c r="B970" s="6" t="s">
        <v>2568</v>
      </c>
      <c r="C970" s="6" t="s">
        <v>37</v>
      </c>
      <c r="D970" s="6" t="s">
        <v>2569</v>
      </c>
      <c r="E970" s="6" t="s">
        <v>164</v>
      </c>
      <c r="F970" s="6" t="s">
        <v>112</v>
      </c>
      <c r="G970" s="7">
        <v>0.17</v>
      </c>
      <c r="H970" s="6" t="s">
        <v>148</v>
      </c>
      <c r="I970" s="6" t="s">
        <v>20</v>
      </c>
      <c r="J970" s="6">
        <v>2026.0</v>
      </c>
      <c r="K970" s="10">
        <v>46055.0</v>
      </c>
      <c r="L970" s="6">
        <v>1.0</v>
      </c>
      <c r="M970" s="8">
        <f t="shared" si="1"/>
        <v>0.17</v>
      </c>
      <c r="P970" s="9"/>
    </row>
    <row r="971">
      <c r="A971" s="6" t="s">
        <v>2570</v>
      </c>
      <c r="B971" s="6" t="s">
        <v>150</v>
      </c>
      <c r="C971" s="6" t="s">
        <v>15</v>
      </c>
      <c r="D971" s="6" t="s">
        <v>2571</v>
      </c>
      <c r="E971" s="6" t="s">
        <v>2572</v>
      </c>
      <c r="F971" s="6" t="s">
        <v>87</v>
      </c>
      <c r="G971" s="7">
        <v>0.2</v>
      </c>
      <c r="H971" s="6" t="s">
        <v>19</v>
      </c>
      <c r="I971" s="6" t="s">
        <v>20</v>
      </c>
      <c r="J971" s="6">
        <v>2023.0</v>
      </c>
      <c r="K971" s="10">
        <v>46117.0</v>
      </c>
      <c r="L971" s="6">
        <v>1.0</v>
      </c>
      <c r="M971" s="8">
        <f t="shared" si="1"/>
        <v>0.2</v>
      </c>
      <c r="P971" s="9"/>
    </row>
    <row r="972">
      <c r="A972" s="6" t="s">
        <v>2573</v>
      </c>
      <c r="B972" s="6" t="s">
        <v>2574</v>
      </c>
      <c r="C972" s="6" t="s">
        <v>37</v>
      </c>
      <c r="D972" s="6" t="s">
        <v>2575</v>
      </c>
      <c r="E972" s="6" t="s">
        <v>57</v>
      </c>
      <c r="F972" s="6" t="s">
        <v>40</v>
      </c>
      <c r="G972" s="7">
        <v>0.25</v>
      </c>
      <c r="H972" s="6" t="s">
        <v>19</v>
      </c>
      <c r="I972" s="6" t="s">
        <v>20</v>
      </c>
      <c r="J972" s="6">
        <v>2023.0</v>
      </c>
      <c r="K972" s="10">
        <v>46114.0</v>
      </c>
      <c r="L972" s="6">
        <v>1.0</v>
      </c>
      <c r="M972" s="8">
        <f t="shared" si="1"/>
        <v>0.25</v>
      </c>
      <c r="P972" s="9"/>
    </row>
    <row r="973">
      <c r="A973" s="6" t="s">
        <v>2576</v>
      </c>
      <c r="B973" s="6" t="s">
        <v>545</v>
      </c>
      <c r="C973" s="6" t="s">
        <v>43</v>
      </c>
      <c r="D973" s="6" t="s">
        <v>2577</v>
      </c>
      <c r="E973" s="6" t="s">
        <v>2578</v>
      </c>
      <c r="F973" s="6" t="s">
        <v>1000</v>
      </c>
      <c r="G973" s="7">
        <v>0.05</v>
      </c>
      <c r="H973" s="6" t="s">
        <v>136</v>
      </c>
      <c r="I973" s="6" t="s">
        <v>20</v>
      </c>
      <c r="J973" s="6">
        <v>2026.0</v>
      </c>
      <c r="K973" s="10">
        <v>46024.0</v>
      </c>
      <c r="L973" s="6">
        <v>4.0</v>
      </c>
      <c r="M973" s="8">
        <f t="shared" si="1"/>
        <v>0.2</v>
      </c>
      <c r="P973" s="9"/>
    </row>
    <row r="974">
      <c r="A974" s="6" t="s">
        <v>2579</v>
      </c>
      <c r="B974" s="6" t="s">
        <v>2580</v>
      </c>
      <c r="C974" s="6" t="s">
        <v>43</v>
      </c>
      <c r="D974" s="6" t="s">
        <v>2581</v>
      </c>
      <c r="E974" s="6" t="s">
        <v>135</v>
      </c>
      <c r="F974" s="6" t="s">
        <v>40</v>
      </c>
      <c r="G974" s="7">
        <v>0.06</v>
      </c>
      <c r="H974" s="6" t="s">
        <v>297</v>
      </c>
      <c r="I974" s="6" t="s">
        <v>20</v>
      </c>
      <c r="J974" s="6">
        <v>2022.0</v>
      </c>
      <c r="K974" s="10">
        <v>46055.0</v>
      </c>
      <c r="L974" s="6">
        <v>1.0</v>
      </c>
      <c r="M974" s="8">
        <f t="shared" si="1"/>
        <v>0.06</v>
      </c>
      <c r="P974" s="9"/>
    </row>
    <row r="975">
      <c r="A975" s="6" t="s">
        <v>2582</v>
      </c>
      <c r="B975" s="6" t="s">
        <v>500</v>
      </c>
      <c r="C975" s="6" t="s">
        <v>43</v>
      </c>
      <c r="D975" s="6" t="s">
        <v>2583</v>
      </c>
      <c r="E975" s="6" t="s">
        <v>76</v>
      </c>
      <c r="F975" s="6" t="s">
        <v>77</v>
      </c>
      <c r="G975" s="7">
        <v>0.09</v>
      </c>
      <c r="H975" s="6" t="s">
        <v>324</v>
      </c>
      <c r="I975" s="6" t="s">
        <v>20</v>
      </c>
      <c r="J975" s="6">
        <v>1995.0</v>
      </c>
      <c r="K975" s="10">
        <v>46083.0</v>
      </c>
      <c r="L975" s="6">
        <v>4.0</v>
      </c>
      <c r="M975" s="8">
        <f t="shared" si="1"/>
        <v>0.36</v>
      </c>
      <c r="P975" s="9"/>
    </row>
    <row r="976">
      <c r="A976" s="6" t="s">
        <v>2582</v>
      </c>
      <c r="B976" s="6" t="s">
        <v>500</v>
      </c>
      <c r="C976" s="6" t="s">
        <v>43</v>
      </c>
      <c r="D976" s="6" t="s">
        <v>2583</v>
      </c>
      <c r="E976" s="6" t="s">
        <v>76</v>
      </c>
      <c r="F976" s="6" t="s">
        <v>77</v>
      </c>
      <c r="G976" s="7">
        <v>0.14</v>
      </c>
      <c r="H976" s="6" t="s">
        <v>316</v>
      </c>
      <c r="I976" s="6" t="s">
        <v>20</v>
      </c>
      <c r="J976" s="6">
        <v>1995.0</v>
      </c>
      <c r="K976" s="10">
        <v>46083.0</v>
      </c>
      <c r="L976" s="6">
        <v>2.0</v>
      </c>
      <c r="M976" s="8">
        <f t="shared" si="1"/>
        <v>0.28</v>
      </c>
      <c r="P976" s="9"/>
    </row>
    <row r="977">
      <c r="A977" s="6" t="s">
        <v>2582</v>
      </c>
      <c r="B977" s="6" t="s">
        <v>500</v>
      </c>
      <c r="C977" s="6" t="s">
        <v>43</v>
      </c>
      <c r="D977" s="6" t="s">
        <v>2583</v>
      </c>
      <c r="E977" s="6" t="s">
        <v>76</v>
      </c>
      <c r="F977" s="6" t="s">
        <v>77</v>
      </c>
      <c r="G977" s="7">
        <v>0.2</v>
      </c>
      <c r="H977" s="6" t="s">
        <v>453</v>
      </c>
      <c r="I977" s="6" t="s">
        <v>20</v>
      </c>
      <c r="J977" s="6">
        <v>1994.0</v>
      </c>
      <c r="K977" s="10">
        <v>46083.0</v>
      </c>
      <c r="L977" s="6">
        <v>1.0</v>
      </c>
      <c r="M977" s="8">
        <f t="shared" si="1"/>
        <v>0.2</v>
      </c>
      <c r="P977" s="9"/>
    </row>
    <row r="978">
      <c r="A978" s="6" t="s">
        <v>2584</v>
      </c>
      <c r="B978" s="6" t="s">
        <v>371</v>
      </c>
      <c r="C978" s="6" t="s">
        <v>43</v>
      </c>
      <c r="D978" s="6" t="s">
        <v>2585</v>
      </c>
      <c r="E978" s="6" t="s">
        <v>57</v>
      </c>
      <c r="F978" s="6" t="s">
        <v>40</v>
      </c>
      <c r="G978" s="7">
        <v>0.08</v>
      </c>
      <c r="H978" s="6" t="s">
        <v>19</v>
      </c>
      <c r="I978" s="6" t="s">
        <v>20</v>
      </c>
      <c r="J978" s="6">
        <v>2023.0</v>
      </c>
      <c r="K978" s="10">
        <v>46056.0</v>
      </c>
      <c r="L978" s="6">
        <v>1.0</v>
      </c>
      <c r="M978" s="8">
        <f t="shared" si="1"/>
        <v>0.08</v>
      </c>
      <c r="P978" s="9"/>
    </row>
    <row r="979">
      <c r="A979" s="6" t="s">
        <v>2586</v>
      </c>
      <c r="B979" s="6" t="s">
        <v>2587</v>
      </c>
      <c r="C979" s="6" t="s">
        <v>43</v>
      </c>
      <c r="D979" s="6" t="s">
        <v>2588</v>
      </c>
      <c r="E979" s="6" t="s">
        <v>135</v>
      </c>
      <c r="F979" s="6" t="s">
        <v>40</v>
      </c>
      <c r="G979" s="7">
        <v>0.06</v>
      </c>
      <c r="H979" s="6" t="s">
        <v>410</v>
      </c>
      <c r="I979" s="6" t="s">
        <v>20</v>
      </c>
      <c r="J979" s="6">
        <v>2021.0</v>
      </c>
      <c r="K979" s="10">
        <v>46023.0</v>
      </c>
      <c r="L979" s="6">
        <v>1.0</v>
      </c>
      <c r="M979" s="8">
        <f t="shared" si="1"/>
        <v>0.06</v>
      </c>
      <c r="N979" s="6" t="s">
        <v>374</v>
      </c>
      <c r="P979" s="9"/>
    </row>
    <row r="980">
      <c r="A980" s="6" t="s">
        <v>2589</v>
      </c>
      <c r="B980" s="6" t="s">
        <v>254</v>
      </c>
      <c r="C980" s="6" t="s">
        <v>43</v>
      </c>
      <c r="D980" s="6" t="s">
        <v>2590</v>
      </c>
      <c r="E980" s="6" t="s">
        <v>86</v>
      </c>
      <c r="F980" s="6" t="s">
        <v>87</v>
      </c>
      <c r="G980" s="7">
        <v>0.08</v>
      </c>
      <c r="H980" s="6" t="s">
        <v>187</v>
      </c>
      <c r="I980" s="6" t="s">
        <v>20</v>
      </c>
      <c r="J980" s="6">
        <v>1995.0</v>
      </c>
      <c r="L980" s="6">
        <v>3.0</v>
      </c>
      <c r="M980" s="8">
        <f t="shared" si="1"/>
        <v>0.24</v>
      </c>
      <c r="P980" s="9"/>
    </row>
    <row r="981">
      <c r="A981" s="6" t="s">
        <v>2591</v>
      </c>
      <c r="B981" s="6" t="s">
        <v>2592</v>
      </c>
      <c r="C981" s="6" t="s">
        <v>43</v>
      </c>
      <c r="D981" s="6" t="s">
        <v>2593</v>
      </c>
      <c r="E981" s="6" t="s">
        <v>98</v>
      </c>
      <c r="F981" s="6" t="s">
        <v>18</v>
      </c>
      <c r="G981" s="7">
        <v>0.05</v>
      </c>
      <c r="H981" s="6" t="s">
        <v>475</v>
      </c>
      <c r="I981" s="6" t="s">
        <v>20</v>
      </c>
      <c r="J981" s="6">
        <v>2024.0</v>
      </c>
      <c r="K981" s="10">
        <v>46082.0</v>
      </c>
      <c r="L981" s="6">
        <v>1.0</v>
      </c>
      <c r="M981" s="8">
        <f t="shared" si="1"/>
        <v>0.05</v>
      </c>
      <c r="P981" s="9"/>
    </row>
    <row r="982">
      <c r="A982" s="6" t="s">
        <v>2594</v>
      </c>
      <c r="B982" s="6" t="s">
        <v>74</v>
      </c>
      <c r="C982" s="6" t="s">
        <v>37</v>
      </c>
      <c r="D982" s="6" t="s">
        <v>2595</v>
      </c>
      <c r="E982" s="6" t="s">
        <v>210</v>
      </c>
      <c r="F982" s="6" t="s">
        <v>18</v>
      </c>
      <c r="G982" s="7">
        <v>0.1</v>
      </c>
      <c r="H982" s="6" t="s">
        <v>99</v>
      </c>
      <c r="I982" s="6" t="s">
        <v>20</v>
      </c>
      <c r="J982" s="6">
        <v>2022.0</v>
      </c>
      <c r="L982" s="6">
        <v>1.0</v>
      </c>
      <c r="M982" s="8">
        <f t="shared" si="1"/>
        <v>0.1</v>
      </c>
      <c r="P982" s="9"/>
    </row>
    <row r="983">
      <c r="A983" s="6" t="s">
        <v>2596</v>
      </c>
      <c r="B983" s="6" t="s">
        <v>74</v>
      </c>
      <c r="C983" s="6" t="s">
        <v>43</v>
      </c>
      <c r="D983" s="6" t="s">
        <v>124</v>
      </c>
      <c r="E983" s="6" t="s">
        <v>125</v>
      </c>
      <c r="F983" s="6" t="s">
        <v>40</v>
      </c>
      <c r="G983" s="7">
        <v>0.09</v>
      </c>
      <c r="H983" s="6" t="s">
        <v>19</v>
      </c>
      <c r="I983" s="6" t="s">
        <v>20</v>
      </c>
      <c r="J983" s="6">
        <v>2023.0</v>
      </c>
      <c r="L983" s="6">
        <v>1.0</v>
      </c>
      <c r="M983" s="8">
        <f t="shared" si="1"/>
        <v>0.09</v>
      </c>
      <c r="P983" s="9"/>
    </row>
    <row r="984">
      <c r="A984" s="6" t="s">
        <v>2597</v>
      </c>
      <c r="B984" s="6" t="s">
        <v>1577</v>
      </c>
      <c r="C984" s="6" t="s">
        <v>43</v>
      </c>
      <c r="D984" s="6" t="s">
        <v>2598</v>
      </c>
      <c r="F984" s="6" t="s">
        <v>26</v>
      </c>
      <c r="G984" s="7">
        <v>0.24</v>
      </c>
      <c r="H984" s="6" t="s">
        <v>136</v>
      </c>
      <c r="I984" s="6" t="s">
        <v>20</v>
      </c>
      <c r="J984" s="6">
        <v>2026.0</v>
      </c>
      <c r="L984" s="6">
        <v>1.0</v>
      </c>
      <c r="M984" s="8">
        <f t="shared" si="1"/>
        <v>0.24</v>
      </c>
      <c r="P984" s="9"/>
    </row>
    <row r="985">
      <c r="A985" s="6" t="s">
        <v>2597</v>
      </c>
      <c r="B985" s="6" t="s">
        <v>1577</v>
      </c>
      <c r="C985" s="6" t="s">
        <v>43</v>
      </c>
      <c r="D985" s="6" t="s">
        <v>2598</v>
      </c>
      <c r="F985" s="6" t="s">
        <v>26</v>
      </c>
      <c r="G985" s="7">
        <v>0.34</v>
      </c>
      <c r="H985" s="6" t="s">
        <v>136</v>
      </c>
      <c r="I985" s="6" t="s">
        <v>45</v>
      </c>
      <c r="J985" s="6">
        <v>2026.0</v>
      </c>
      <c r="L985" s="6">
        <v>1.0</v>
      </c>
      <c r="M985" s="8">
        <f t="shared" si="1"/>
        <v>0.34</v>
      </c>
      <c r="P985" s="9"/>
    </row>
    <row r="986">
      <c r="A986" s="6" t="s">
        <v>2599</v>
      </c>
      <c r="B986" s="6" t="s">
        <v>657</v>
      </c>
      <c r="C986" s="6" t="s">
        <v>15</v>
      </c>
      <c r="D986" s="6" t="s">
        <v>2600</v>
      </c>
      <c r="E986" s="6" t="s">
        <v>215</v>
      </c>
      <c r="F986" s="6" t="s">
        <v>26</v>
      </c>
      <c r="G986" s="7">
        <v>0.06</v>
      </c>
      <c r="H986" s="6" t="s">
        <v>431</v>
      </c>
      <c r="I986" s="6" t="s">
        <v>20</v>
      </c>
      <c r="J986" s="6">
        <v>2019.0</v>
      </c>
      <c r="L986" s="6">
        <v>4.0</v>
      </c>
      <c r="M986" s="8">
        <f t="shared" si="1"/>
        <v>0.24</v>
      </c>
      <c r="P986" s="9"/>
    </row>
    <row r="987">
      <c r="A987" s="6" t="s">
        <v>2601</v>
      </c>
      <c r="B987" s="6" t="s">
        <v>182</v>
      </c>
      <c r="C987" s="6" t="s">
        <v>204</v>
      </c>
      <c r="D987" s="6" t="s">
        <v>2602</v>
      </c>
      <c r="E987" s="6" t="s">
        <v>107</v>
      </c>
      <c r="F987" s="6" t="s">
        <v>18</v>
      </c>
      <c r="G987" s="7">
        <v>0.06</v>
      </c>
      <c r="H987" s="6" t="s">
        <v>297</v>
      </c>
      <c r="I987" s="6" t="s">
        <v>20</v>
      </c>
      <c r="J987" s="6">
        <v>2022.0</v>
      </c>
      <c r="L987" s="6">
        <v>1.0</v>
      </c>
      <c r="M987" s="8">
        <f t="shared" si="1"/>
        <v>0.06</v>
      </c>
      <c r="P987" s="9"/>
    </row>
    <row r="988">
      <c r="A988" s="6" t="s">
        <v>2603</v>
      </c>
      <c r="B988" s="6" t="s">
        <v>606</v>
      </c>
      <c r="C988" s="6" t="s">
        <v>23</v>
      </c>
      <c r="D988" s="6" t="s">
        <v>2604</v>
      </c>
      <c r="E988" s="6" t="s">
        <v>1007</v>
      </c>
      <c r="F988" s="6" t="s">
        <v>1335</v>
      </c>
      <c r="G988" s="7">
        <v>0.05</v>
      </c>
      <c r="H988" s="6" t="s">
        <v>342</v>
      </c>
      <c r="I988" s="6" t="s">
        <v>20</v>
      </c>
      <c r="J988" s="6">
        <v>2014.0</v>
      </c>
      <c r="L988" s="6">
        <v>3.0</v>
      </c>
      <c r="M988" s="8">
        <f t="shared" si="1"/>
        <v>0.15</v>
      </c>
      <c r="P988" s="9"/>
    </row>
    <row r="989">
      <c r="A989" s="6" t="s">
        <v>2605</v>
      </c>
      <c r="B989" s="6" t="s">
        <v>292</v>
      </c>
      <c r="C989" s="6" t="s">
        <v>204</v>
      </c>
      <c r="D989" s="6" t="s">
        <v>2606</v>
      </c>
      <c r="E989" s="6" t="s">
        <v>140</v>
      </c>
      <c r="F989" s="6" t="s">
        <v>87</v>
      </c>
      <c r="G989" s="7">
        <v>0.05</v>
      </c>
      <c r="H989" s="6" t="s">
        <v>1511</v>
      </c>
      <c r="I989" s="6" t="s">
        <v>20</v>
      </c>
      <c r="J989" s="6">
        <v>2014.0</v>
      </c>
      <c r="L989" s="6">
        <v>1.0</v>
      </c>
      <c r="M989" s="8">
        <f t="shared" si="1"/>
        <v>0.05</v>
      </c>
      <c r="P989" s="9"/>
    </row>
    <row r="990">
      <c r="A990" s="6" t="s">
        <v>2607</v>
      </c>
      <c r="B990" s="6" t="s">
        <v>2608</v>
      </c>
      <c r="C990" s="6" t="s">
        <v>23</v>
      </c>
      <c r="D990" s="6" t="s">
        <v>2609</v>
      </c>
      <c r="E990" s="6" t="s">
        <v>185</v>
      </c>
      <c r="F990" s="6" t="s">
        <v>26</v>
      </c>
      <c r="G990" s="7">
        <v>0.13</v>
      </c>
      <c r="H990" s="6" t="s">
        <v>1048</v>
      </c>
      <c r="I990" s="6" t="s">
        <v>20</v>
      </c>
      <c r="J990" s="6">
        <v>2008.0</v>
      </c>
      <c r="K990" s="10">
        <v>46055.0</v>
      </c>
      <c r="L990" s="6">
        <v>2.0</v>
      </c>
      <c r="M990" s="8">
        <f t="shared" si="1"/>
        <v>0.26</v>
      </c>
      <c r="P990" s="9"/>
    </row>
    <row r="991">
      <c r="A991" s="6" t="s">
        <v>2610</v>
      </c>
      <c r="B991" s="6" t="s">
        <v>2608</v>
      </c>
      <c r="C991" s="6" t="s">
        <v>23</v>
      </c>
      <c r="D991" s="6" t="s">
        <v>2611</v>
      </c>
      <c r="E991" s="6">
        <v>2.0</v>
      </c>
      <c r="F991" s="6" t="s">
        <v>26</v>
      </c>
      <c r="G991" s="7">
        <v>0.05</v>
      </c>
      <c r="H991" s="6" t="s">
        <v>19</v>
      </c>
      <c r="I991" s="6" t="s">
        <v>20</v>
      </c>
      <c r="J991" s="6">
        <v>2023.0</v>
      </c>
      <c r="K991" s="6" t="s">
        <v>1924</v>
      </c>
      <c r="L991" s="6">
        <v>1.0</v>
      </c>
      <c r="M991" s="8">
        <f t="shared" si="1"/>
        <v>0.05</v>
      </c>
      <c r="P991" s="9"/>
    </row>
    <row r="992">
      <c r="A992" s="6" t="s">
        <v>2612</v>
      </c>
      <c r="B992" s="6" t="s">
        <v>2608</v>
      </c>
      <c r="C992" s="6" t="s">
        <v>23</v>
      </c>
      <c r="D992" s="6" t="s">
        <v>2613</v>
      </c>
      <c r="E992" s="6" t="s">
        <v>994</v>
      </c>
      <c r="F992" s="6" t="s">
        <v>26</v>
      </c>
      <c r="G992" s="7">
        <v>0.05</v>
      </c>
      <c r="H992" s="6" t="s">
        <v>104</v>
      </c>
      <c r="I992" s="6" t="s">
        <v>20</v>
      </c>
      <c r="J992" s="6">
        <v>2019.0</v>
      </c>
      <c r="K992" s="10">
        <v>46114.0</v>
      </c>
      <c r="L992" s="6">
        <v>1.0</v>
      </c>
      <c r="M992" s="8">
        <f t="shared" si="1"/>
        <v>0.05</v>
      </c>
      <c r="P992" s="9"/>
    </row>
    <row r="993">
      <c r="A993" s="6" t="s">
        <v>2614</v>
      </c>
      <c r="B993" s="6" t="s">
        <v>2615</v>
      </c>
      <c r="C993" s="6" t="s">
        <v>61</v>
      </c>
      <c r="D993" s="6" t="s">
        <v>2616</v>
      </c>
      <c r="E993" s="6" t="s">
        <v>176</v>
      </c>
      <c r="F993" s="6" t="s">
        <v>77</v>
      </c>
      <c r="G993" s="7">
        <v>0.35</v>
      </c>
      <c r="H993" s="6" t="s">
        <v>431</v>
      </c>
      <c r="I993" s="6" t="s">
        <v>20</v>
      </c>
      <c r="J993" s="6">
        <v>2019.0</v>
      </c>
      <c r="K993" s="10">
        <v>46056.0</v>
      </c>
      <c r="L993" s="6">
        <v>2.0</v>
      </c>
      <c r="M993" s="8">
        <f t="shared" si="1"/>
        <v>0.7</v>
      </c>
      <c r="P993" s="9"/>
    </row>
    <row r="994">
      <c r="A994" s="6" t="s">
        <v>2617</v>
      </c>
      <c r="B994" s="6" t="s">
        <v>2618</v>
      </c>
      <c r="C994" s="6" t="s">
        <v>204</v>
      </c>
      <c r="D994" s="6" t="s">
        <v>2619</v>
      </c>
      <c r="E994" s="6" t="s">
        <v>76</v>
      </c>
      <c r="F994" s="6" t="s">
        <v>77</v>
      </c>
      <c r="G994" s="7">
        <v>0.06</v>
      </c>
      <c r="H994" s="6" t="s">
        <v>687</v>
      </c>
      <c r="I994" s="6" t="s">
        <v>20</v>
      </c>
      <c r="J994" s="6">
        <v>2011.0</v>
      </c>
      <c r="K994" s="10">
        <v>46023.0</v>
      </c>
      <c r="L994" s="6">
        <v>4.0</v>
      </c>
      <c r="M994" s="8">
        <f t="shared" si="1"/>
        <v>0.24</v>
      </c>
      <c r="P994" s="9"/>
    </row>
    <row r="995">
      <c r="A995" s="6" t="s">
        <v>2620</v>
      </c>
      <c r="B995" s="6" t="s">
        <v>74</v>
      </c>
      <c r="C995" s="6" t="s">
        <v>37</v>
      </c>
      <c r="D995" s="6" t="s">
        <v>2621</v>
      </c>
      <c r="E995" s="6" t="s">
        <v>1859</v>
      </c>
      <c r="F995" s="6" t="s">
        <v>18</v>
      </c>
      <c r="G995" s="7">
        <v>0.07</v>
      </c>
      <c r="H995" s="6" t="s">
        <v>431</v>
      </c>
      <c r="I995" s="6" t="s">
        <v>20</v>
      </c>
      <c r="J995" s="6">
        <v>2019.0</v>
      </c>
      <c r="L995" s="6">
        <v>1.0</v>
      </c>
      <c r="M995" s="8">
        <f t="shared" si="1"/>
        <v>0.07</v>
      </c>
      <c r="P995" s="9"/>
    </row>
    <row r="996">
      <c r="A996" s="6" t="s">
        <v>2622</v>
      </c>
      <c r="B996" s="6" t="s">
        <v>292</v>
      </c>
      <c r="C996" s="6" t="s">
        <v>61</v>
      </c>
      <c r="D996" s="6" t="s">
        <v>2623</v>
      </c>
      <c r="E996" s="6" t="s">
        <v>2624</v>
      </c>
      <c r="F996" s="6" t="s">
        <v>64</v>
      </c>
      <c r="G996" s="7">
        <v>0.19</v>
      </c>
      <c r="H996" s="6" t="s">
        <v>58</v>
      </c>
      <c r="I996" s="6" t="s">
        <v>20</v>
      </c>
      <c r="J996" s="6">
        <v>1995.0</v>
      </c>
      <c r="L996" s="6">
        <v>1.0</v>
      </c>
      <c r="M996" s="8">
        <f t="shared" si="1"/>
        <v>0.19</v>
      </c>
      <c r="P996" s="9"/>
    </row>
    <row r="997">
      <c r="A997" s="6" t="s">
        <v>2625</v>
      </c>
      <c r="B997" s="6" t="s">
        <v>2626</v>
      </c>
      <c r="C997" s="6" t="s">
        <v>15</v>
      </c>
      <c r="D997" s="6" t="s">
        <v>2627</v>
      </c>
      <c r="E997" s="6" t="s">
        <v>2628</v>
      </c>
      <c r="F997" s="6" t="s">
        <v>665</v>
      </c>
      <c r="G997" s="7">
        <v>0.32</v>
      </c>
      <c r="H997" s="6" t="s">
        <v>617</v>
      </c>
      <c r="I997" s="6" t="s">
        <v>20</v>
      </c>
      <c r="J997" s="6">
        <v>2026.0</v>
      </c>
      <c r="K997" s="10">
        <v>46025.0</v>
      </c>
      <c r="L997" s="6">
        <v>1.0</v>
      </c>
      <c r="M997" s="8">
        <f t="shared" si="1"/>
        <v>0.32</v>
      </c>
      <c r="P997" s="9"/>
    </row>
    <row r="998">
      <c r="A998" s="6" t="s">
        <v>2629</v>
      </c>
      <c r="B998" s="6" t="s">
        <v>219</v>
      </c>
      <c r="C998" s="6" t="s">
        <v>43</v>
      </c>
      <c r="D998" s="6" t="s">
        <v>2630</v>
      </c>
      <c r="E998" s="6" t="s">
        <v>185</v>
      </c>
      <c r="F998" s="6" t="s">
        <v>26</v>
      </c>
      <c r="G998" s="7">
        <v>0.08</v>
      </c>
      <c r="H998" s="6" t="s">
        <v>922</v>
      </c>
      <c r="I998" s="6" t="s">
        <v>20</v>
      </c>
      <c r="J998" s="6">
        <v>2014.0</v>
      </c>
      <c r="L998" s="6">
        <v>1.0</v>
      </c>
      <c r="M998" s="8">
        <f t="shared" si="1"/>
        <v>0.08</v>
      </c>
      <c r="P998" s="9"/>
    </row>
    <row r="999">
      <c r="A999" s="6" t="s">
        <v>2631</v>
      </c>
      <c r="B999" s="6" t="s">
        <v>2632</v>
      </c>
      <c r="C999" s="6" t="s">
        <v>37</v>
      </c>
      <c r="D999" s="6" t="s">
        <v>2633</v>
      </c>
      <c r="E999" s="6" t="s">
        <v>25</v>
      </c>
      <c r="F999" s="6" t="s">
        <v>26</v>
      </c>
      <c r="G999" s="7">
        <v>0.12</v>
      </c>
      <c r="H999" s="6" t="s">
        <v>734</v>
      </c>
      <c r="I999" s="6" t="s">
        <v>20</v>
      </c>
      <c r="J999" s="6">
        <v>2022.0</v>
      </c>
      <c r="K999" s="6" t="s">
        <v>445</v>
      </c>
      <c r="L999" s="6">
        <v>1.0</v>
      </c>
      <c r="M999" s="8">
        <f t="shared" si="1"/>
        <v>0.12</v>
      </c>
      <c r="P999" s="9"/>
    </row>
    <row r="1000">
      <c r="A1000" s="6" t="s">
        <v>2634</v>
      </c>
      <c r="B1000" s="6" t="s">
        <v>2635</v>
      </c>
      <c r="C1000" s="6" t="s">
        <v>23</v>
      </c>
      <c r="D1000" s="6" t="s">
        <v>2636</v>
      </c>
      <c r="E1000" s="6" t="s">
        <v>852</v>
      </c>
      <c r="F1000" s="6" t="s">
        <v>18</v>
      </c>
      <c r="G1000" s="7">
        <v>0.03</v>
      </c>
      <c r="H1000" s="6" t="s">
        <v>342</v>
      </c>
      <c r="I1000" s="6" t="s">
        <v>20</v>
      </c>
      <c r="J1000" s="6">
        <v>2014.0</v>
      </c>
      <c r="K1000" s="6" t="s">
        <v>1924</v>
      </c>
      <c r="L1000" s="6">
        <v>5.0</v>
      </c>
      <c r="M1000" s="8">
        <f t="shared" si="1"/>
        <v>0.15</v>
      </c>
      <c r="P1000" s="9"/>
    </row>
    <row r="1001">
      <c r="A1001" s="6" t="s">
        <v>2637</v>
      </c>
      <c r="B1001" s="6" t="s">
        <v>292</v>
      </c>
      <c r="C1001" s="6" t="s">
        <v>61</v>
      </c>
      <c r="D1001" s="6" t="s">
        <v>2638</v>
      </c>
      <c r="E1001" s="6" t="s">
        <v>2639</v>
      </c>
      <c r="F1001" s="6" t="s">
        <v>2640</v>
      </c>
      <c r="G1001" s="7">
        <v>0.05</v>
      </c>
      <c r="H1001" s="6" t="s">
        <v>431</v>
      </c>
      <c r="I1001" s="6" t="s">
        <v>20</v>
      </c>
      <c r="J1001" s="6">
        <v>2019.0</v>
      </c>
      <c r="L1001" s="6">
        <v>1.0</v>
      </c>
      <c r="M1001" s="8">
        <f t="shared" si="1"/>
        <v>0.05</v>
      </c>
      <c r="P1001" s="9"/>
    </row>
    <row r="1002">
      <c r="A1002" s="6" t="s">
        <v>2641</v>
      </c>
      <c r="B1002" s="6" t="s">
        <v>521</v>
      </c>
      <c r="C1002" s="6" t="s">
        <v>30</v>
      </c>
      <c r="D1002" s="6" t="s">
        <v>2642</v>
      </c>
      <c r="E1002" s="6" t="s">
        <v>185</v>
      </c>
      <c r="F1002" s="6" t="s">
        <v>26</v>
      </c>
      <c r="G1002" s="7">
        <v>1.7</v>
      </c>
      <c r="H1002" s="6" t="s">
        <v>468</v>
      </c>
      <c r="I1002" s="6" t="s">
        <v>20</v>
      </c>
      <c r="J1002" s="6">
        <v>2015.0</v>
      </c>
      <c r="K1002" s="10">
        <v>46055.0</v>
      </c>
      <c r="L1002" s="6">
        <v>1.0</v>
      </c>
      <c r="M1002" s="8">
        <f t="shared" si="1"/>
        <v>1.7</v>
      </c>
      <c r="N1002" s="6" t="s">
        <v>122</v>
      </c>
      <c r="P1002" s="9"/>
    </row>
    <row r="1003">
      <c r="A1003" s="6" t="s">
        <v>2643</v>
      </c>
      <c r="B1003" s="6" t="s">
        <v>254</v>
      </c>
      <c r="C1003" s="6" t="s">
        <v>43</v>
      </c>
      <c r="D1003" s="6" t="s">
        <v>2644</v>
      </c>
      <c r="E1003" s="6" t="s">
        <v>140</v>
      </c>
      <c r="F1003" s="6" t="s">
        <v>87</v>
      </c>
      <c r="G1003" s="7">
        <v>0.05</v>
      </c>
      <c r="H1003" s="6" t="s">
        <v>83</v>
      </c>
      <c r="I1003" s="6" t="s">
        <v>20</v>
      </c>
      <c r="J1003" s="6">
        <v>1995.0</v>
      </c>
      <c r="L1003" s="6">
        <v>2.0</v>
      </c>
      <c r="M1003" s="8">
        <f t="shared" si="1"/>
        <v>0.1</v>
      </c>
      <c r="P1003" s="9"/>
    </row>
    <row r="1004">
      <c r="A1004" s="6" t="s">
        <v>2643</v>
      </c>
      <c r="B1004" s="6" t="s">
        <v>254</v>
      </c>
      <c r="C1004" s="6" t="s">
        <v>43</v>
      </c>
      <c r="D1004" s="6" t="s">
        <v>2644</v>
      </c>
      <c r="E1004" s="6" t="s">
        <v>140</v>
      </c>
      <c r="F1004" s="6" t="s">
        <v>87</v>
      </c>
      <c r="G1004" s="7">
        <v>0.17</v>
      </c>
      <c r="H1004" s="6" t="s">
        <v>1064</v>
      </c>
      <c r="I1004" s="6" t="s">
        <v>20</v>
      </c>
      <c r="J1004" s="6">
        <v>1995.0</v>
      </c>
      <c r="L1004" s="6">
        <v>4.0</v>
      </c>
      <c r="M1004" s="8">
        <f t="shared" si="1"/>
        <v>0.68</v>
      </c>
      <c r="P1004" s="9"/>
    </row>
    <row r="1005">
      <c r="A1005" s="6" t="s">
        <v>2645</v>
      </c>
      <c r="B1005" s="6" t="s">
        <v>556</v>
      </c>
      <c r="C1005" s="6" t="s">
        <v>37</v>
      </c>
      <c r="D1005" s="6" t="s">
        <v>2646</v>
      </c>
      <c r="E1005" s="6" t="s">
        <v>2647</v>
      </c>
      <c r="F1005" s="6" t="s">
        <v>112</v>
      </c>
      <c r="G1005" s="7">
        <v>4.95</v>
      </c>
      <c r="H1005" s="6" t="s">
        <v>2648</v>
      </c>
      <c r="I1005" s="6" t="s">
        <v>45</v>
      </c>
      <c r="J1005" s="6">
        <v>2023.0</v>
      </c>
      <c r="K1005" s="10">
        <v>46024.0</v>
      </c>
      <c r="L1005" s="6">
        <v>1.0</v>
      </c>
      <c r="M1005" s="8">
        <f t="shared" si="1"/>
        <v>4.95</v>
      </c>
      <c r="P1005" s="9"/>
    </row>
    <row r="1006">
      <c r="A1006" s="6" t="s">
        <v>2649</v>
      </c>
      <c r="B1006" s="6" t="s">
        <v>213</v>
      </c>
      <c r="C1006" s="6" t="s">
        <v>15</v>
      </c>
      <c r="D1006" s="6" t="s">
        <v>2650</v>
      </c>
      <c r="E1006" s="6" t="s">
        <v>17</v>
      </c>
      <c r="F1006" s="6" t="s">
        <v>18</v>
      </c>
      <c r="G1006" s="7">
        <v>0.2</v>
      </c>
      <c r="H1006" s="6" t="s">
        <v>153</v>
      </c>
      <c r="I1006" s="6" t="s">
        <v>20</v>
      </c>
      <c r="J1006" s="6">
        <v>2025.0</v>
      </c>
      <c r="L1006" s="6">
        <v>1.0</v>
      </c>
      <c r="M1006" s="8">
        <f t="shared" si="1"/>
        <v>0.2</v>
      </c>
      <c r="P1006" s="9"/>
    </row>
    <row r="1007">
      <c r="A1007" s="6" t="s">
        <v>2651</v>
      </c>
      <c r="B1007" s="6" t="s">
        <v>533</v>
      </c>
      <c r="C1007" s="6" t="s">
        <v>43</v>
      </c>
      <c r="D1007" s="6" t="s">
        <v>2652</v>
      </c>
      <c r="E1007" s="6" t="s">
        <v>98</v>
      </c>
      <c r="F1007" s="6" t="s">
        <v>18</v>
      </c>
      <c r="G1007" s="7">
        <v>0.1</v>
      </c>
      <c r="H1007" s="6" t="s">
        <v>121</v>
      </c>
      <c r="I1007" s="6" t="s">
        <v>20</v>
      </c>
      <c r="J1007" s="6">
        <v>2021.0</v>
      </c>
      <c r="K1007" s="10">
        <v>46024.0</v>
      </c>
      <c r="L1007" s="6">
        <v>4.0</v>
      </c>
      <c r="M1007" s="8">
        <f t="shared" si="1"/>
        <v>0.4</v>
      </c>
      <c r="P1007" s="9"/>
    </row>
    <row r="1008">
      <c r="A1008" s="6" t="s">
        <v>2653</v>
      </c>
      <c r="B1008" s="6" t="s">
        <v>778</v>
      </c>
      <c r="C1008" s="6" t="s">
        <v>15</v>
      </c>
      <c r="D1008" s="6" t="s">
        <v>2654</v>
      </c>
      <c r="E1008" s="6" t="s">
        <v>818</v>
      </c>
      <c r="F1008" s="6" t="s">
        <v>112</v>
      </c>
      <c r="G1008" s="7">
        <v>0.15</v>
      </c>
      <c r="H1008" s="6" t="s">
        <v>780</v>
      </c>
      <c r="I1008" s="6" t="s">
        <v>20</v>
      </c>
      <c r="J1008" s="6">
        <v>2025.0</v>
      </c>
      <c r="L1008" s="6">
        <v>1.0</v>
      </c>
      <c r="M1008" s="8">
        <f t="shared" si="1"/>
        <v>0.15</v>
      </c>
      <c r="P1008" s="9"/>
    </row>
    <row r="1009">
      <c r="A1009" s="6" t="s">
        <v>2655</v>
      </c>
      <c r="B1009" s="6" t="s">
        <v>400</v>
      </c>
      <c r="C1009" s="6" t="s">
        <v>37</v>
      </c>
      <c r="D1009" s="6" t="s">
        <v>2656</v>
      </c>
      <c r="E1009" s="6" t="s">
        <v>25</v>
      </c>
      <c r="F1009" s="6" t="s">
        <v>2657</v>
      </c>
      <c r="G1009" s="7">
        <v>0.1</v>
      </c>
      <c r="H1009" s="6" t="s">
        <v>136</v>
      </c>
      <c r="I1009" s="6" t="s">
        <v>20</v>
      </c>
      <c r="J1009" s="6">
        <v>2026.0</v>
      </c>
      <c r="L1009" s="6">
        <v>1.0</v>
      </c>
      <c r="M1009" s="8">
        <f t="shared" si="1"/>
        <v>0.1</v>
      </c>
      <c r="P1009" s="9"/>
    </row>
    <row r="1010">
      <c r="A1010" s="6" t="s">
        <v>2658</v>
      </c>
      <c r="B1010" s="6" t="s">
        <v>494</v>
      </c>
      <c r="C1010" s="6" t="s">
        <v>37</v>
      </c>
      <c r="D1010" s="6" t="s">
        <v>2659</v>
      </c>
      <c r="E1010" s="6" t="s">
        <v>117</v>
      </c>
      <c r="F1010" s="6" t="s">
        <v>77</v>
      </c>
      <c r="G1010" s="7">
        <v>0.2</v>
      </c>
      <c r="H1010" s="6" t="s">
        <v>313</v>
      </c>
      <c r="I1010" s="6" t="s">
        <v>20</v>
      </c>
      <c r="J1010" s="6">
        <v>1995.0</v>
      </c>
      <c r="L1010" s="6">
        <v>2.0</v>
      </c>
      <c r="M1010" s="8">
        <f t="shared" si="1"/>
        <v>0.4</v>
      </c>
      <c r="P1010" s="9"/>
    </row>
    <row r="1011">
      <c r="A1011" s="6" t="s">
        <v>2658</v>
      </c>
      <c r="B1011" s="6" t="s">
        <v>494</v>
      </c>
      <c r="C1011" s="6" t="s">
        <v>37</v>
      </c>
      <c r="D1011" s="6" t="s">
        <v>2659</v>
      </c>
      <c r="E1011" s="6" t="s">
        <v>117</v>
      </c>
      <c r="F1011" s="6" t="s">
        <v>77</v>
      </c>
      <c r="G1011" s="7">
        <v>0.13</v>
      </c>
      <c r="H1011" s="6" t="s">
        <v>2660</v>
      </c>
      <c r="I1011" s="6" t="s">
        <v>20</v>
      </c>
      <c r="J1011" s="6">
        <v>2011.0</v>
      </c>
      <c r="L1011" s="6">
        <v>1.0</v>
      </c>
      <c r="M1011" s="8">
        <f t="shared" si="1"/>
        <v>0.13</v>
      </c>
      <c r="P1011" s="9"/>
    </row>
    <row r="1012">
      <c r="A1012" s="6" t="s">
        <v>2661</v>
      </c>
      <c r="B1012" s="6" t="s">
        <v>115</v>
      </c>
      <c r="C1012" s="6" t="s">
        <v>15</v>
      </c>
      <c r="D1012" s="6" t="s">
        <v>2662</v>
      </c>
      <c r="E1012" s="6" t="s">
        <v>2663</v>
      </c>
      <c r="F1012" s="6" t="s">
        <v>77</v>
      </c>
      <c r="G1012" s="7">
        <v>0.2</v>
      </c>
      <c r="H1012" s="6" t="s">
        <v>153</v>
      </c>
      <c r="I1012" s="6" t="s">
        <v>20</v>
      </c>
      <c r="J1012" s="6">
        <v>2025.0</v>
      </c>
      <c r="L1012" s="6">
        <v>1.0</v>
      </c>
      <c r="M1012" s="8">
        <f t="shared" si="1"/>
        <v>0.2</v>
      </c>
      <c r="P1012" s="9"/>
    </row>
    <row r="1013">
      <c r="A1013" s="6" t="s">
        <v>2664</v>
      </c>
      <c r="B1013" s="6" t="s">
        <v>1577</v>
      </c>
      <c r="C1013" s="6" t="s">
        <v>43</v>
      </c>
      <c r="D1013" s="6" t="s">
        <v>2665</v>
      </c>
      <c r="F1013" s="6" t="s">
        <v>26</v>
      </c>
      <c r="G1013" s="7">
        <v>4.9</v>
      </c>
      <c r="H1013" s="6" t="s">
        <v>1287</v>
      </c>
      <c r="I1013" s="6" t="s">
        <v>45</v>
      </c>
      <c r="J1013" s="6">
        <v>2021.0</v>
      </c>
      <c r="L1013" s="6">
        <v>1.0</v>
      </c>
      <c r="M1013" s="8">
        <f t="shared" si="1"/>
        <v>4.9</v>
      </c>
      <c r="P1013" s="9"/>
    </row>
    <row r="1014">
      <c r="A1014" s="6" t="s">
        <v>2664</v>
      </c>
      <c r="B1014" s="6" t="s">
        <v>1577</v>
      </c>
      <c r="C1014" s="6" t="s">
        <v>43</v>
      </c>
      <c r="D1014" s="6" t="s">
        <v>2666</v>
      </c>
      <c r="F1014" s="6" t="s">
        <v>26</v>
      </c>
      <c r="G1014" s="7">
        <v>0.17</v>
      </c>
      <c r="H1014" s="6" t="s">
        <v>2279</v>
      </c>
      <c r="I1014" s="6" t="s">
        <v>20</v>
      </c>
      <c r="J1014" s="6">
        <v>2015.0</v>
      </c>
      <c r="L1014" s="6">
        <v>4.0</v>
      </c>
      <c r="M1014" s="8">
        <f t="shared" si="1"/>
        <v>0.68</v>
      </c>
      <c r="P1014" s="9"/>
    </row>
    <row r="1015">
      <c r="A1015" s="6" t="s">
        <v>2664</v>
      </c>
      <c r="B1015" s="6" t="s">
        <v>1577</v>
      </c>
      <c r="C1015" s="6" t="s">
        <v>43</v>
      </c>
      <c r="D1015" s="6" t="s">
        <v>2667</v>
      </c>
      <c r="F1015" s="6" t="s">
        <v>26</v>
      </c>
      <c r="G1015" s="7">
        <v>0.06</v>
      </c>
      <c r="H1015" s="6" t="s">
        <v>131</v>
      </c>
      <c r="I1015" s="6" t="s">
        <v>20</v>
      </c>
      <c r="J1015" s="6">
        <v>2019.0</v>
      </c>
      <c r="L1015" s="6">
        <v>4.0</v>
      </c>
      <c r="M1015" s="8">
        <f t="shared" si="1"/>
        <v>0.24</v>
      </c>
      <c r="P1015" s="9"/>
    </row>
    <row r="1016">
      <c r="A1016" s="6" t="s">
        <v>2664</v>
      </c>
      <c r="B1016" s="6" t="s">
        <v>1577</v>
      </c>
      <c r="C1016" s="6" t="s">
        <v>43</v>
      </c>
      <c r="D1016" s="6" t="s">
        <v>2668</v>
      </c>
      <c r="F1016" s="6" t="s">
        <v>26</v>
      </c>
      <c r="G1016" s="7">
        <v>0.48</v>
      </c>
      <c r="H1016" s="6" t="s">
        <v>1076</v>
      </c>
      <c r="I1016" s="6" t="s">
        <v>20</v>
      </c>
      <c r="J1016" s="6">
        <v>2018.0</v>
      </c>
      <c r="L1016" s="6">
        <v>4.0</v>
      </c>
      <c r="M1016" s="8">
        <f t="shared" si="1"/>
        <v>1.92</v>
      </c>
      <c r="P1016" s="9"/>
    </row>
    <row r="1017">
      <c r="A1017" s="6" t="s">
        <v>2669</v>
      </c>
      <c r="B1017" s="6" t="s">
        <v>1731</v>
      </c>
      <c r="C1017" s="6" t="s">
        <v>23</v>
      </c>
      <c r="D1017" s="6" t="s">
        <v>2670</v>
      </c>
      <c r="E1017" s="6" t="s">
        <v>2671</v>
      </c>
      <c r="F1017" s="6" t="s">
        <v>26</v>
      </c>
      <c r="G1017" s="7">
        <v>0.19</v>
      </c>
      <c r="H1017" s="6" t="s">
        <v>130</v>
      </c>
      <c r="I1017" s="6" t="s">
        <v>20</v>
      </c>
      <c r="J1017" s="6">
        <v>2014.0</v>
      </c>
      <c r="L1017" s="6">
        <v>2.0</v>
      </c>
      <c r="M1017" s="8">
        <f t="shared" si="1"/>
        <v>0.38</v>
      </c>
      <c r="P1017" s="9"/>
    </row>
    <row r="1018">
      <c r="A1018" s="6" t="s">
        <v>2669</v>
      </c>
      <c r="B1018" s="6" t="s">
        <v>1731</v>
      </c>
      <c r="C1018" s="6" t="s">
        <v>23</v>
      </c>
      <c r="D1018" s="6" t="s">
        <v>2670</v>
      </c>
      <c r="E1018" s="6" t="s">
        <v>2671</v>
      </c>
      <c r="F1018" s="6" t="s">
        <v>26</v>
      </c>
      <c r="G1018" s="7">
        <v>0.12</v>
      </c>
      <c r="H1018" s="6" t="s">
        <v>2672</v>
      </c>
      <c r="I1018" s="6" t="s">
        <v>20</v>
      </c>
      <c r="J1018" s="6">
        <v>2020.0</v>
      </c>
      <c r="L1018" s="6">
        <v>2.0</v>
      </c>
      <c r="M1018" s="8">
        <f t="shared" si="1"/>
        <v>0.24</v>
      </c>
      <c r="P1018" s="9"/>
    </row>
    <row r="1019">
      <c r="A1019" s="6" t="s">
        <v>2673</v>
      </c>
      <c r="B1019" s="6" t="s">
        <v>74</v>
      </c>
      <c r="C1019" s="6" t="s">
        <v>43</v>
      </c>
      <c r="D1019" s="6" t="s">
        <v>2674</v>
      </c>
      <c r="E1019" s="6" t="s">
        <v>98</v>
      </c>
      <c r="F1019" s="6" t="s">
        <v>18</v>
      </c>
      <c r="G1019" s="7">
        <v>0.25</v>
      </c>
      <c r="H1019" s="6" t="s">
        <v>113</v>
      </c>
      <c r="I1019" s="6" t="s">
        <v>45</v>
      </c>
      <c r="J1019" s="6">
        <v>2023.0</v>
      </c>
      <c r="L1019" s="6">
        <v>1.0</v>
      </c>
      <c r="M1019" s="8"/>
      <c r="P1019" s="9"/>
    </row>
    <row r="1020">
      <c r="A1020" s="6" t="s">
        <v>2673</v>
      </c>
      <c r="B1020" s="6" t="s">
        <v>74</v>
      </c>
      <c r="C1020" s="6" t="s">
        <v>37</v>
      </c>
      <c r="D1020" s="6" t="s">
        <v>2674</v>
      </c>
      <c r="E1020" s="6" t="s">
        <v>98</v>
      </c>
      <c r="F1020" s="6" t="s">
        <v>18</v>
      </c>
      <c r="G1020" s="7">
        <v>0.25</v>
      </c>
      <c r="H1020" s="6" t="s">
        <v>1833</v>
      </c>
      <c r="I1020" s="6" t="s">
        <v>20</v>
      </c>
      <c r="J1020" s="6">
        <v>2018.0</v>
      </c>
      <c r="L1020" s="6">
        <v>1.0</v>
      </c>
      <c r="M1020" s="8">
        <f t="shared" ref="M1020:M1951" si="2">L1020*G1020</f>
        <v>0.25</v>
      </c>
      <c r="P1020" s="9"/>
    </row>
    <row r="1021">
      <c r="A1021" s="6" t="s">
        <v>2675</v>
      </c>
      <c r="B1021" s="6" t="s">
        <v>2676</v>
      </c>
      <c r="C1021" s="6" t="s">
        <v>15</v>
      </c>
      <c r="D1021" s="6" t="s">
        <v>2677</v>
      </c>
      <c r="E1021" s="6" t="s">
        <v>2678</v>
      </c>
      <c r="F1021" s="6" t="s">
        <v>2679</v>
      </c>
      <c r="G1021" s="7">
        <v>0.2</v>
      </c>
      <c r="H1021" s="6" t="s">
        <v>153</v>
      </c>
      <c r="I1021" s="6" t="s">
        <v>20</v>
      </c>
      <c r="J1021" s="6">
        <v>2025.0</v>
      </c>
      <c r="K1021" s="10">
        <v>46084.0</v>
      </c>
      <c r="L1021" s="6">
        <v>1.0</v>
      </c>
      <c r="M1021" s="8">
        <f t="shared" si="2"/>
        <v>0.2</v>
      </c>
      <c r="P1021" s="9"/>
    </row>
    <row r="1022">
      <c r="A1022" s="6" t="s">
        <v>2680</v>
      </c>
      <c r="B1022" s="6" t="s">
        <v>778</v>
      </c>
      <c r="C1022" s="6" t="s">
        <v>366</v>
      </c>
      <c r="D1022" s="6" t="s">
        <v>2681</v>
      </c>
      <c r="E1022" s="6" t="s">
        <v>1896</v>
      </c>
      <c r="F1022" s="6" t="s">
        <v>87</v>
      </c>
      <c r="G1022" s="7">
        <v>0.2</v>
      </c>
      <c r="H1022" s="6" t="s">
        <v>2682</v>
      </c>
      <c r="I1022" s="6" t="s">
        <v>20</v>
      </c>
      <c r="J1022" s="6">
        <v>2018.0</v>
      </c>
      <c r="L1022" s="6">
        <v>1.0</v>
      </c>
      <c r="M1022" s="8">
        <f t="shared" si="2"/>
        <v>0.2</v>
      </c>
      <c r="P1022" s="9"/>
    </row>
    <row r="1023">
      <c r="A1023" s="6" t="s">
        <v>2683</v>
      </c>
      <c r="B1023" s="6" t="s">
        <v>219</v>
      </c>
      <c r="C1023" s="6" t="s">
        <v>43</v>
      </c>
      <c r="D1023" s="6" t="s">
        <v>2684</v>
      </c>
      <c r="E1023" s="6" t="s">
        <v>140</v>
      </c>
      <c r="F1023" s="6" t="s">
        <v>87</v>
      </c>
      <c r="G1023" s="7">
        <v>4.0</v>
      </c>
      <c r="H1023" s="6" t="s">
        <v>297</v>
      </c>
      <c r="I1023" s="6" t="s">
        <v>20</v>
      </c>
      <c r="J1023" s="6">
        <v>2022.0</v>
      </c>
      <c r="L1023" s="6">
        <v>1.0</v>
      </c>
      <c r="M1023" s="8">
        <f t="shared" si="2"/>
        <v>4</v>
      </c>
      <c r="N1023" s="6" t="s">
        <v>122</v>
      </c>
      <c r="P1023" s="9"/>
    </row>
    <row r="1024">
      <c r="A1024" s="6" t="s">
        <v>2685</v>
      </c>
      <c r="B1024" s="6" t="s">
        <v>396</v>
      </c>
      <c r="C1024" s="6" t="s">
        <v>43</v>
      </c>
      <c r="D1024" s="6" t="s">
        <v>2686</v>
      </c>
      <c r="E1024" s="6" t="s">
        <v>215</v>
      </c>
      <c r="F1024" s="6" t="s">
        <v>26</v>
      </c>
      <c r="G1024" s="7">
        <v>0.7</v>
      </c>
      <c r="H1024" s="6" t="s">
        <v>113</v>
      </c>
      <c r="I1024" s="6" t="s">
        <v>20</v>
      </c>
      <c r="J1024" s="6">
        <v>2023.0</v>
      </c>
      <c r="L1024" s="6">
        <v>1.0</v>
      </c>
      <c r="M1024" s="8">
        <f t="shared" si="2"/>
        <v>0.7</v>
      </c>
      <c r="P1024" s="9"/>
    </row>
    <row r="1025">
      <c r="A1025" s="6" t="s">
        <v>2687</v>
      </c>
      <c r="B1025" s="6" t="s">
        <v>162</v>
      </c>
      <c r="C1025" s="6" t="s">
        <v>43</v>
      </c>
      <c r="D1025" s="6" t="s">
        <v>2688</v>
      </c>
      <c r="E1025" s="6" t="s">
        <v>86</v>
      </c>
      <c r="F1025" s="6" t="s">
        <v>87</v>
      </c>
      <c r="G1025" s="7">
        <v>0.06</v>
      </c>
      <c r="H1025" s="6" t="s">
        <v>297</v>
      </c>
      <c r="I1025" s="6" t="s">
        <v>20</v>
      </c>
      <c r="J1025" s="6">
        <v>2022.0</v>
      </c>
      <c r="L1025" s="6">
        <v>1.0</v>
      </c>
      <c r="M1025" s="8">
        <f t="shared" si="2"/>
        <v>0.06</v>
      </c>
      <c r="P1025" s="9"/>
    </row>
    <row r="1026">
      <c r="A1026" s="6" t="s">
        <v>2689</v>
      </c>
      <c r="B1026" s="6" t="s">
        <v>2690</v>
      </c>
      <c r="C1026" s="6" t="s">
        <v>43</v>
      </c>
      <c r="D1026" s="6" t="s">
        <v>2691</v>
      </c>
      <c r="E1026" s="6" t="s">
        <v>86</v>
      </c>
      <c r="F1026" s="6" t="s">
        <v>87</v>
      </c>
      <c r="G1026" s="7">
        <v>0.06</v>
      </c>
      <c r="H1026" s="6" t="s">
        <v>148</v>
      </c>
      <c r="I1026" s="6" t="s">
        <v>20</v>
      </c>
      <c r="J1026" s="6">
        <v>2026.0</v>
      </c>
      <c r="K1026" s="10">
        <v>46055.0</v>
      </c>
      <c r="L1026" s="6">
        <v>3.0</v>
      </c>
      <c r="M1026" s="8">
        <f t="shared" si="2"/>
        <v>0.18</v>
      </c>
      <c r="P1026" s="9"/>
    </row>
    <row r="1027">
      <c r="A1027" s="6" t="s">
        <v>2692</v>
      </c>
      <c r="B1027" s="6" t="s">
        <v>462</v>
      </c>
      <c r="C1027" s="6" t="s">
        <v>418</v>
      </c>
      <c r="D1027" s="6" t="s">
        <v>2693</v>
      </c>
      <c r="E1027" s="6" t="s">
        <v>2694</v>
      </c>
      <c r="F1027" s="6" t="s">
        <v>2232</v>
      </c>
      <c r="G1027" s="7">
        <v>3.41</v>
      </c>
      <c r="H1027" s="6" t="s">
        <v>88</v>
      </c>
      <c r="I1027" s="6" t="s">
        <v>20</v>
      </c>
      <c r="J1027" s="6">
        <v>2024.0</v>
      </c>
      <c r="L1027" s="6">
        <v>1.0</v>
      </c>
      <c r="M1027" s="8">
        <f t="shared" si="2"/>
        <v>3.41</v>
      </c>
      <c r="P1027" s="9"/>
    </row>
    <row r="1028">
      <c r="A1028" s="6" t="s">
        <v>2695</v>
      </c>
      <c r="B1028" s="6" t="s">
        <v>162</v>
      </c>
      <c r="C1028" s="6" t="s">
        <v>43</v>
      </c>
      <c r="D1028" s="6" t="s">
        <v>2696</v>
      </c>
      <c r="E1028" s="6" t="s">
        <v>76</v>
      </c>
      <c r="F1028" s="6" t="s">
        <v>77</v>
      </c>
      <c r="G1028" s="7">
        <v>0.25</v>
      </c>
      <c r="H1028" s="6" t="s">
        <v>238</v>
      </c>
      <c r="I1028" s="6" t="s">
        <v>20</v>
      </c>
      <c r="J1028" s="6">
        <v>2024.0</v>
      </c>
      <c r="L1028" s="6">
        <v>1.0</v>
      </c>
      <c r="M1028" s="8">
        <f t="shared" si="2"/>
        <v>0.25</v>
      </c>
      <c r="P1028" s="9"/>
    </row>
    <row r="1029">
      <c r="A1029" s="6" t="s">
        <v>2697</v>
      </c>
      <c r="B1029" s="6" t="s">
        <v>1875</v>
      </c>
      <c r="C1029" s="6" t="s">
        <v>30</v>
      </c>
      <c r="D1029" s="6" t="s">
        <v>2698</v>
      </c>
      <c r="E1029" s="6" t="s">
        <v>57</v>
      </c>
      <c r="F1029" s="6" t="s">
        <v>40</v>
      </c>
      <c r="G1029" s="7">
        <v>2.0</v>
      </c>
      <c r="H1029" s="6" t="s">
        <v>734</v>
      </c>
      <c r="I1029" s="6" t="s">
        <v>20</v>
      </c>
      <c r="J1029" s="6">
        <v>2022.0</v>
      </c>
      <c r="K1029" s="10">
        <v>46056.0</v>
      </c>
      <c r="L1029" s="6">
        <v>1.0</v>
      </c>
      <c r="M1029" s="8">
        <f t="shared" si="2"/>
        <v>2</v>
      </c>
      <c r="P1029" s="9"/>
    </row>
    <row r="1030">
      <c r="A1030" s="6" t="s">
        <v>2699</v>
      </c>
      <c r="B1030" s="6" t="s">
        <v>2700</v>
      </c>
      <c r="C1030" s="6" t="s">
        <v>204</v>
      </c>
      <c r="D1030" s="6" t="s">
        <v>2701</v>
      </c>
      <c r="E1030" s="6" t="s">
        <v>1027</v>
      </c>
      <c r="F1030" s="6" t="s">
        <v>77</v>
      </c>
      <c r="G1030" s="7">
        <v>41.9</v>
      </c>
      <c r="H1030" s="6" t="s">
        <v>2291</v>
      </c>
      <c r="I1030" s="6" t="s">
        <v>20</v>
      </c>
      <c r="J1030" s="6">
        <v>2008.0</v>
      </c>
      <c r="K1030" s="10">
        <v>46055.0</v>
      </c>
      <c r="L1030" s="6">
        <v>1.0</v>
      </c>
      <c r="M1030" s="8">
        <f t="shared" si="2"/>
        <v>41.9</v>
      </c>
      <c r="P1030" s="9"/>
    </row>
    <row r="1031">
      <c r="A1031" s="6" t="s">
        <v>2702</v>
      </c>
      <c r="B1031" s="6" t="s">
        <v>162</v>
      </c>
      <c r="C1031" s="6" t="s">
        <v>43</v>
      </c>
      <c r="D1031" s="6" t="s">
        <v>2703</v>
      </c>
      <c r="E1031" s="6" t="s">
        <v>329</v>
      </c>
      <c r="F1031" s="6" t="s">
        <v>112</v>
      </c>
      <c r="G1031" s="7">
        <v>0.06</v>
      </c>
      <c r="H1031" s="6" t="s">
        <v>297</v>
      </c>
      <c r="I1031" s="6" t="s">
        <v>20</v>
      </c>
      <c r="J1031" s="6">
        <v>2022.0</v>
      </c>
      <c r="L1031" s="6">
        <v>1.0</v>
      </c>
      <c r="M1031" s="8">
        <f t="shared" si="2"/>
        <v>0.06</v>
      </c>
      <c r="P1031" s="9"/>
    </row>
    <row r="1032">
      <c r="A1032" s="6" t="s">
        <v>2704</v>
      </c>
      <c r="B1032" s="6" t="s">
        <v>74</v>
      </c>
      <c r="C1032" s="6" t="s">
        <v>37</v>
      </c>
      <c r="D1032" s="6" t="s">
        <v>2705</v>
      </c>
      <c r="E1032" s="6" t="s">
        <v>190</v>
      </c>
      <c r="F1032" s="6" t="s">
        <v>18</v>
      </c>
      <c r="G1032" s="7">
        <v>1.0</v>
      </c>
      <c r="H1032" s="6" t="s">
        <v>1300</v>
      </c>
      <c r="I1032" s="6" t="s">
        <v>20</v>
      </c>
      <c r="J1032" s="6">
        <v>2021.0</v>
      </c>
      <c r="L1032" s="6">
        <v>2.0</v>
      </c>
      <c r="M1032" s="8">
        <f t="shared" si="2"/>
        <v>2</v>
      </c>
      <c r="P1032" s="9"/>
    </row>
    <row r="1033">
      <c r="A1033" s="6" t="s">
        <v>2706</v>
      </c>
      <c r="B1033" s="6" t="s">
        <v>2707</v>
      </c>
      <c r="C1033" s="6" t="s">
        <v>15</v>
      </c>
      <c r="D1033" s="6" t="s">
        <v>2708</v>
      </c>
      <c r="E1033" s="6" t="s">
        <v>2709</v>
      </c>
      <c r="F1033" s="6" t="s">
        <v>18</v>
      </c>
      <c r="G1033" s="7">
        <v>0.09</v>
      </c>
      <c r="H1033" s="6" t="s">
        <v>130</v>
      </c>
      <c r="I1033" s="6" t="s">
        <v>20</v>
      </c>
      <c r="J1033" s="6">
        <v>2014.0</v>
      </c>
      <c r="K1033" s="10">
        <v>46024.0</v>
      </c>
      <c r="L1033" s="6">
        <v>2.0</v>
      </c>
      <c r="M1033" s="8">
        <f t="shared" si="2"/>
        <v>0.18</v>
      </c>
      <c r="P1033" s="9"/>
    </row>
    <row r="1034">
      <c r="A1034" s="6" t="s">
        <v>2710</v>
      </c>
      <c r="B1034" s="6" t="s">
        <v>2707</v>
      </c>
      <c r="C1034" s="6" t="s">
        <v>23</v>
      </c>
      <c r="D1034" s="6" t="s">
        <v>2711</v>
      </c>
      <c r="E1034" s="6" t="s">
        <v>2153</v>
      </c>
      <c r="F1034" s="6" t="s">
        <v>18</v>
      </c>
      <c r="G1034" s="7">
        <v>0.06</v>
      </c>
      <c r="H1034" s="6" t="s">
        <v>130</v>
      </c>
      <c r="I1034" s="6" t="s">
        <v>20</v>
      </c>
      <c r="J1034" s="6">
        <v>2014.0</v>
      </c>
      <c r="K1034" s="10">
        <v>46084.0</v>
      </c>
      <c r="L1034" s="6">
        <v>1.0</v>
      </c>
      <c r="M1034" s="8">
        <f t="shared" si="2"/>
        <v>0.06</v>
      </c>
      <c r="P1034" s="9"/>
    </row>
    <row r="1035">
      <c r="A1035" s="6" t="s">
        <v>2712</v>
      </c>
      <c r="B1035" s="6" t="s">
        <v>74</v>
      </c>
      <c r="C1035" s="6" t="s">
        <v>37</v>
      </c>
      <c r="D1035" s="6" t="s">
        <v>2713</v>
      </c>
      <c r="E1035" s="6" t="s">
        <v>125</v>
      </c>
      <c r="F1035" s="6" t="s">
        <v>40</v>
      </c>
      <c r="G1035" s="7">
        <v>0.23</v>
      </c>
      <c r="H1035" s="6" t="s">
        <v>1148</v>
      </c>
      <c r="I1035" s="6" t="s">
        <v>20</v>
      </c>
      <c r="J1035" s="6">
        <v>2012.0</v>
      </c>
      <c r="L1035" s="6">
        <v>4.0</v>
      </c>
      <c r="M1035" s="8">
        <f t="shared" si="2"/>
        <v>0.92</v>
      </c>
      <c r="P1035" s="9"/>
    </row>
    <row r="1036">
      <c r="A1036" s="6" t="s">
        <v>2714</v>
      </c>
      <c r="B1036" s="6" t="s">
        <v>162</v>
      </c>
      <c r="C1036" s="6" t="s">
        <v>43</v>
      </c>
      <c r="D1036" s="6" t="s">
        <v>2715</v>
      </c>
      <c r="E1036" s="6" t="s">
        <v>140</v>
      </c>
      <c r="F1036" s="6" t="s">
        <v>87</v>
      </c>
      <c r="G1036" s="7">
        <v>3.07</v>
      </c>
      <c r="H1036" s="6" t="s">
        <v>1148</v>
      </c>
      <c r="I1036" s="6" t="s">
        <v>20</v>
      </c>
      <c r="J1036" s="6">
        <v>2012.0</v>
      </c>
      <c r="L1036" s="6">
        <v>1.0</v>
      </c>
      <c r="M1036" s="8">
        <f t="shared" si="2"/>
        <v>3.07</v>
      </c>
      <c r="P1036" s="9"/>
    </row>
    <row r="1037">
      <c r="A1037" s="6" t="s">
        <v>2716</v>
      </c>
      <c r="B1037" s="6" t="s">
        <v>74</v>
      </c>
      <c r="C1037" s="6" t="s">
        <v>43</v>
      </c>
      <c r="D1037" s="6" t="s">
        <v>2717</v>
      </c>
      <c r="E1037" s="6" t="s">
        <v>76</v>
      </c>
      <c r="F1037" s="6" t="s">
        <v>77</v>
      </c>
      <c r="G1037" s="7">
        <v>0.07</v>
      </c>
      <c r="H1037" s="6" t="s">
        <v>160</v>
      </c>
      <c r="I1037" s="6" t="s">
        <v>20</v>
      </c>
      <c r="J1037" s="6">
        <v>2024.0</v>
      </c>
      <c r="L1037" s="6">
        <v>1.0</v>
      </c>
      <c r="M1037" s="8">
        <f t="shared" si="2"/>
        <v>0.07</v>
      </c>
      <c r="P1037" s="9"/>
    </row>
    <row r="1038">
      <c r="A1038" s="6" t="s">
        <v>2718</v>
      </c>
      <c r="B1038" s="6" t="s">
        <v>2719</v>
      </c>
      <c r="C1038" s="6" t="s">
        <v>15</v>
      </c>
      <c r="D1038" s="6" t="s">
        <v>2720</v>
      </c>
      <c r="E1038" s="6" t="s">
        <v>2721</v>
      </c>
      <c r="F1038" s="6" t="s">
        <v>18</v>
      </c>
      <c r="G1038" s="7">
        <v>0.69</v>
      </c>
      <c r="H1038" s="6" t="s">
        <v>27</v>
      </c>
      <c r="I1038" s="6" t="s">
        <v>20</v>
      </c>
      <c r="J1038" s="6">
        <v>2026.0</v>
      </c>
      <c r="K1038" s="10">
        <v>46115.0</v>
      </c>
      <c r="L1038" s="6">
        <v>1.0</v>
      </c>
      <c r="M1038" s="8">
        <f t="shared" si="2"/>
        <v>0.69</v>
      </c>
      <c r="P1038" s="9"/>
    </row>
    <row r="1039">
      <c r="A1039" s="6" t="s">
        <v>2722</v>
      </c>
      <c r="B1039" s="6" t="s">
        <v>331</v>
      </c>
      <c r="C1039" s="6" t="s">
        <v>43</v>
      </c>
      <c r="D1039" s="6" t="s">
        <v>2723</v>
      </c>
      <c r="E1039" s="6" t="s">
        <v>356</v>
      </c>
      <c r="F1039" s="6" t="s">
        <v>87</v>
      </c>
      <c r="G1039" s="7">
        <v>0.09</v>
      </c>
      <c r="H1039" s="6" t="s">
        <v>89</v>
      </c>
      <c r="I1039" s="6" t="s">
        <v>20</v>
      </c>
      <c r="J1039" s="6">
        <v>2021.0</v>
      </c>
      <c r="K1039" s="10">
        <v>46116.0</v>
      </c>
      <c r="L1039" s="6">
        <v>1.0</v>
      </c>
      <c r="M1039" s="8">
        <f t="shared" si="2"/>
        <v>0.09</v>
      </c>
      <c r="P1039" s="9"/>
    </row>
    <row r="1040">
      <c r="A1040" s="6" t="s">
        <v>2724</v>
      </c>
      <c r="B1040" s="6" t="s">
        <v>331</v>
      </c>
      <c r="C1040" s="6" t="s">
        <v>43</v>
      </c>
      <c r="D1040" s="6" t="s">
        <v>2725</v>
      </c>
      <c r="E1040" s="6" t="s">
        <v>176</v>
      </c>
      <c r="F1040" s="6" t="s">
        <v>77</v>
      </c>
      <c r="G1040" s="7">
        <v>0.08</v>
      </c>
      <c r="H1040" s="6" t="s">
        <v>1148</v>
      </c>
      <c r="I1040" s="6" t="s">
        <v>20</v>
      </c>
      <c r="J1040" s="6">
        <v>2012.0</v>
      </c>
      <c r="K1040" s="10">
        <v>46024.0</v>
      </c>
      <c r="L1040" s="6">
        <v>1.0</v>
      </c>
      <c r="M1040" s="8">
        <f t="shared" si="2"/>
        <v>0.08</v>
      </c>
      <c r="P1040" s="9"/>
    </row>
    <row r="1041">
      <c r="A1041" s="6" t="s">
        <v>2726</v>
      </c>
      <c r="B1041" s="6" t="s">
        <v>462</v>
      </c>
      <c r="C1041" s="6" t="s">
        <v>309</v>
      </c>
      <c r="D1041" s="6" t="s">
        <v>2727</v>
      </c>
      <c r="E1041" s="6" t="s">
        <v>135</v>
      </c>
      <c r="F1041" s="6" t="s">
        <v>697</v>
      </c>
      <c r="G1041" s="7">
        <v>0.62</v>
      </c>
      <c r="H1041" s="6" t="s">
        <v>1687</v>
      </c>
      <c r="I1041" s="6" t="s">
        <v>20</v>
      </c>
      <c r="J1041" s="6">
        <v>2001.0</v>
      </c>
      <c r="L1041" s="6">
        <v>1.0</v>
      </c>
      <c r="M1041" s="8">
        <f t="shared" si="2"/>
        <v>0.62</v>
      </c>
      <c r="P1041" s="9"/>
    </row>
    <row r="1042">
      <c r="A1042" s="6" t="s">
        <v>2728</v>
      </c>
      <c r="B1042" s="6" t="s">
        <v>2729</v>
      </c>
      <c r="C1042" s="6" t="s">
        <v>23</v>
      </c>
      <c r="D1042" s="6" t="s">
        <v>2730</v>
      </c>
      <c r="E1042" s="6" t="s">
        <v>185</v>
      </c>
      <c r="F1042" s="6" t="s">
        <v>26</v>
      </c>
      <c r="G1042" s="7">
        <v>0.1</v>
      </c>
      <c r="H1042" s="6" t="s">
        <v>404</v>
      </c>
      <c r="I1042" s="6" t="s">
        <v>20</v>
      </c>
      <c r="J1042" s="6">
        <v>2020.0</v>
      </c>
      <c r="K1042" s="10">
        <v>46055.0</v>
      </c>
      <c r="L1042" s="6">
        <v>4.0</v>
      </c>
      <c r="M1042" s="8">
        <f t="shared" si="2"/>
        <v>0.4</v>
      </c>
      <c r="P1042" s="9"/>
    </row>
    <row r="1043">
      <c r="A1043" s="6" t="s">
        <v>2731</v>
      </c>
      <c r="B1043" s="6" t="s">
        <v>1835</v>
      </c>
      <c r="C1043" s="6" t="s">
        <v>204</v>
      </c>
      <c r="D1043" s="6" t="s">
        <v>2732</v>
      </c>
      <c r="E1043" s="6" t="s">
        <v>76</v>
      </c>
      <c r="F1043" s="6" t="s">
        <v>77</v>
      </c>
      <c r="G1043" s="7">
        <v>1.19</v>
      </c>
      <c r="H1043" s="6" t="s">
        <v>488</v>
      </c>
      <c r="I1043" s="6" t="s">
        <v>20</v>
      </c>
      <c r="J1043" s="6">
        <v>2023.0</v>
      </c>
      <c r="K1043" s="10">
        <v>46023.0</v>
      </c>
      <c r="L1043" s="6">
        <v>3.0</v>
      </c>
      <c r="M1043" s="8">
        <f t="shared" si="2"/>
        <v>3.57</v>
      </c>
      <c r="P1043" s="9"/>
    </row>
    <row r="1044">
      <c r="A1044" s="6" t="s">
        <v>2731</v>
      </c>
      <c r="B1044" s="6" t="s">
        <v>625</v>
      </c>
      <c r="C1044" s="6" t="s">
        <v>377</v>
      </c>
      <c r="D1044" s="6" t="s">
        <v>2733</v>
      </c>
      <c r="E1044" s="6" t="s">
        <v>76</v>
      </c>
      <c r="F1044" s="6" t="s">
        <v>2232</v>
      </c>
      <c r="G1044" s="7">
        <v>1.4</v>
      </c>
      <c r="H1044" s="6" t="s">
        <v>2734</v>
      </c>
      <c r="I1044" s="6" t="s">
        <v>20</v>
      </c>
      <c r="J1044" s="6">
        <v>2011.0</v>
      </c>
      <c r="K1044" s="10">
        <v>46023.0</v>
      </c>
      <c r="L1044" s="6">
        <v>1.0</v>
      </c>
      <c r="M1044" s="8">
        <f t="shared" si="2"/>
        <v>1.4</v>
      </c>
      <c r="P1044" s="9"/>
    </row>
    <row r="1045">
      <c r="A1045" s="6" t="s">
        <v>2735</v>
      </c>
      <c r="B1045" s="6" t="s">
        <v>2736</v>
      </c>
      <c r="C1045" s="6" t="s">
        <v>204</v>
      </c>
      <c r="D1045" s="6" t="s">
        <v>2737</v>
      </c>
      <c r="E1045" s="6" t="s">
        <v>107</v>
      </c>
      <c r="F1045" s="6" t="s">
        <v>18</v>
      </c>
      <c r="G1045" s="7">
        <v>0.09</v>
      </c>
      <c r="H1045" s="6" t="s">
        <v>297</v>
      </c>
      <c r="I1045" s="6" t="s">
        <v>20</v>
      </c>
      <c r="J1045" s="6">
        <v>2022.0</v>
      </c>
      <c r="K1045" s="10">
        <v>46024.0</v>
      </c>
      <c r="L1045" s="6">
        <v>1.0</v>
      </c>
      <c r="M1045" s="8">
        <f t="shared" si="2"/>
        <v>0.09</v>
      </c>
      <c r="P1045" s="9"/>
    </row>
    <row r="1046">
      <c r="A1046" s="6" t="s">
        <v>2738</v>
      </c>
      <c r="B1046" s="6" t="s">
        <v>2739</v>
      </c>
      <c r="C1046" s="6" t="s">
        <v>43</v>
      </c>
      <c r="D1046" s="6" t="s">
        <v>2740</v>
      </c>
      <c r="E1046" s="6" t="s">
        <v>140</v>
      </c>
      <c r="F1046" s="6" t="s">
        <v>87</v>
      </c>
      <c r="G1046" s="7">
        <v>0.06</v>
      </c>
      <c r="H1046" s="6" t="s">
        <v>1076</v>
      </c>
      <c r="I1046" s="6" t="s">
        <v>20</v>
      </c>
      <c r="J1046" s="6">
        <v>2018.0</v>
      </c>
      <c r="K1046" s="10">
        <v>46023.0</v>
      </c>
      <c r="L1046" s="6">
        <v>3.0</v>
      </c>
      <c r="M1046" s="8">
        <f t="shared" si="2"/>
        <v>0.18</v>
      </c>
      <c r="P1046" s="9"/>
    </row>
    <row r="1047">
      <c r="A1047" s="6" t="s">
        <v>2741</v>
      </c>
      <c r="B1047" s="6" t="s">
        <v>47</v>
      </c>
      <c r="C1047" s="6" t="s">
        <v>37</v>
      </c>
      <c r="D1047" s="6" t="s">
        <v>2742</v>
      </c>
      <c r="E1047" s="6" t="s">
        <v>57</v>
      </c>
      <c r="F1047" s="6" t="s">
        <v>40</v>
      </c>
      <c r="G1047" s="7">
        <v>0.1</v>
      </c>
      <c r="H1047" s="6" t="s">
        <v>34</v>
      </c>
      <c r="I1047" s="6" t="s">
        <v>20</v>
      </c>
      <c r="J1047" s="6">
        <v>2025.0</v>
      </c>
      <c r="L1047" s="6">
        <v>1.0</v>
      </c>
      <c r="M1047" s="8">
        <f t="shared" si="2"/>
        <v>0.1</v>
      </c>
      <c r="P1047" s="9"/>
    </row>
    <row r="1048">
      <c r="A1048" s="6" t="s">
        <v>2743</v>
      </c>
      <c r="B1048" s="6" t="s">
        <v>2744</v>
      </c>
      <c r="C1048" s="6" t="s">
        <v>37</v>
      </c>
      <c r="D1048" s="6" t="s">
        <v>2745</v>
      </c>
      <c r="E1048" s="6" t="s">
        <v>579</v>
      </c>
      <c r="F1048" s="6" t="s">
        <v>112</v>
      </c>
      <c r="G1048" s="7">
        <v>0.1</v>
      </c>
      <c r="H1048" s="6" t="s">
        <v>228</v>
      </c>
      <c r="I1048" s="6" t="s">
        <v>20</v>
      </c>
      <c r="J1048" s="6">
        <v>2025.0</v>
      </c>
      <c r="K1048" s="10">
        <v>46057.0</v>
      </c>
      <c r="L1048" s="6">
        <v>1.0</v>
      </c>
      <c r="M1048" s="8">
        <f t="shared" si="2"/>
        <v>0.1</v>
      </c>
      <c r="P1048" s="9"/>
    </row>
    <row r="1049">
      <c r="A1049" s="6" t="s">
        <v>2746</v>
      </c>
      <c r="B1049" s="6" t="s">
        <v>2747</v>
      </c>
      <c r="C1049" s="6" t="s">
        <v>15</v>
      </c>
      <c r="D1049" s="6" t="s">
        <v>2748</v>
      </c>
      <c r="E1049" s="6" t="s">
        <v>263</v>
      </c>
      <c r="F1049" s="6" t="s">
        <v>77</v>
      </c>
      <c r="G1049" s="7">
        <v>0.2</v>
      </c>
      <c r="H1049" s="6" t="s">
        <v>153</v>
      </c>
      <c r="I1049" s="6" t="s">
        <v>20</v>
      </c>
      <c r="J1049" s="6">
        <v>2025.0</v>
      </c>
      <c r="K1049" s="10">
        <v>46083.0</v>
      </c>
      <c r="L1049" s="6">
        <v>1.0</v>
      </c>
      <c r="M1049" s="8">
        <f t="shared" si="2"/>
        <v>0.2</v>
      </c>
      <c r="P1049" s="9"/>
    </row>
    <row r="1050">
      <c r="A1050" s="6" t="s">
        <v>2749</v>
      </c>
      <c r="B1050" s="6" t="s">
        <v>162</v>
      </c>
      <c r="C1050" s="6" t="s">
        <v>43</v>
      </c>
      <c r="D1050" s="6" t="s">
        <v>2750</v>
      </c>
      <c r="E1050" s="6" t="s">
        <v>86</v>
      </c>
      <c r="F1050" s="6" t="s">
        <v>87</v>
      </c>
      <c r="G1050" s="7">
        <v>0.28</v>
      </c>
      <c r="H1050" s="6" t="s">
        <v>363</v>
      </c>
      <c r="I1050" s="6" t="s">
        <v>20</v>
      </c>
      <c r="J1050" s="6">
        <v>2024.0</v>
      </c>
      <c r="L1050" s="6">
        <v>2.0</v>
      </c>
      <c r="M1050" s="8">
        <f t="shared" si="2"/>
        <v>0.56</v>
      </c>
      <c r="P1050" s="9"/>
    </row>
    <row r="1051">
      <c r="A1051" s="6" t="s">
        <v>2751</v>
      </c>
      <c r="B1051" s="6" t="s">
        <v>162</v>
      </c>
      <c r="C1051" s="6" t="s">
        <v>37</v>
      </c>
      <c r="D1051" s="6" t="s">
        <v>2752</v>
      </c>
      <c r="E1051" s="6" t="s">
        <v>164</v>
      </c>
      <c r="F1051" s="6" t="s">
        <v>112</v>
      </c>
      <c r="G1051" s="7">
        <v>0.15</v>
      </c>
      <c r="H1051" s="6" t="s">
        <v>363</v>
      </c>
      <c r="I1051" s="6" t="s">
        <v>20</v>
      </c>
      <c r="J1051" s="6">
        <v>2024.0</v>
      </c>
      <c r="L1051" s="6">
        <v>1.0</v>
      </c>
      <c r="M1051" s="8">
        <f t="shared" si="2"/>
        <v>0.15</v>
      </c>
      <c r="P1051" s="9"/>
    </row>
    <row r="1052">
      <c r="A1052" s="6" t="s">
        <v>2753</v>
      </c>
      <c r="B1052" s="6" t="s">
        <v>739</v>
      </c>
      <c r="C1052" s="6" t="s">
        <v>37</v>
      </c>
      <c r="D1052" s="6" t="s">
        <v>2754</v>
      </c>
      <c r="E1052" s="6" t="s">
        <v>39</v>
      </c>
      <c r="F1052" s="6" t="s">
        <v>40</v>
      </c>
      <c r="G1052" s="7">
        <v>0.2</v>
      </c>
      <c r="H1052" s="6" t="s">
        <v>19</v>
      </c>
      <c r="I1052" s="6" t="s">
        <v>20</v>
      </c>
      <c r="J1052" s="6">
        <v>2023.0</v>
      </c>
      <c r="K1052" s="10">
        <v>46084.0</v>
      </c>
      <c r="L1052" s="6">
        <v>1.0</v>
      </c>
      <c r="M1052" s="8">
        <f t="shared" si="2"/>
        <v>0.2</v>
      </c>
      <c r="P1052" s="9"/>
    </row>
    <row r="1053">
      <c r="A1053" s="6" t="s">
        <v>2755</v>
      </c>
      <c r="B1053" s="6" t="s">
        <v>1095</v>
      </c>
      <c r="C1053" s="6" t="s">
        <v>30</v>
      </c>
      <c r="D1053" s="6" t="s">
        <v>2756</v>
      </c>
      <c r="E1053" s="6" t="s">
        <v>329</v>
      </c>
      <c r="F1053" s="6" t="s">
        <v>112</v>
      </c>
      <c r="G1053" s="7">
        <v>1.0</v>
      </c>
      <c r="H1053" s="6" t="s">
        <v>2757</v>
      </c>
      <c r="I1053" s="6" t="s">
        <v>20</v>
      </c>
      <c r="J1053" s="6">
        <v>2026.0</v>
      </c>
      <c r="K1053" s="10">
        <v>46023.0</v>
      </c>
      <c r="L1053" s="6">
        <v>1.0</v>
      </c>
      <c r="M1053" s="8">
        <f t="shared" si="2"/>
        <v>1</v>
      </c>
      <c r="N1053" s="6" t="s">
        <v>122</v>
      </c>
      <c r="P1053" s="9"/>
    </row>
    <row r="1054">
      <c r="A1054" s="6" t="s">
        <v>2758</v>
      </c>
      <c r="B1054" s="6" t="s">
        <v>2759</v>
      </c>
      <c r="C1054" s="6" t="s">
        <v>418</v>
      </c>
      <c r="D1054" s="6" t="s">
        <v>2760</v>
      </c>
      <c r="G1054" s="7">
        <v>0.27</v>
      </c>
      <c r="H1054" s="6" t="s">
        <v>2761</v>
      </c>
      <c r="I1054" s="6" t="s">
        <v>20</v>
      </c>
      <c r="J1054" s="6">
        <v>1994.0</v>
      </c>
      <c r="L1054" s="6">
        <v>1.0</v>
      </c>
      <c r="M1054" s="8">
        <f t="shared" si="2"/>
        <v>0.27</v>
      </c>
      <c r="P1054" s="9"/>
    </row>
    <row r="1055">
      <c r="A1055" s="6" t="s">
        <v>2762</v>
      </c>
      <c r="B1055" s="6" t="s">
        <v>138</v>
      </c>
      <c r="C1055" s="6" t="s">
        <v>37</v>
      </c>
      <c r="D1055" s="6" t="s">
        <v>2763</v>
      </c>
      <c r="E1055" s="6" t="s">
        <v>76</v>
      </c>
      <c r="F1055" s="6" t="s">
        <v>77</v>
      </c>
      <c r="G1055" s="7">
        <v>0.07</v>
      </c>
      <c r="H1055" s="6" t="s">
        <v>34</v>
      </c>
      <c r="I1055" s="6" t="s">
        <v>20</v>
      </c>
      <c r="J1055" s="6">
        <v>2025.0</v>
      </c>
      <c r="L1055" s="6">
        <v>2.0</v>
      </c>
      <c r="M1055" s="8">
        <f t="shared" si="2"/>
        <v>0.14</v>
      </c>
      <c r="P1055" s="9"/>
    </row>
    <row r="1056">
      <c r="A1056" s="6" t="s">
        <v>2764</v>
      </c>
      <c r="B1056" s="6" t="s">
        <v>462</v>
      </c>
      <c r="C1056" s="6" t="s">
        <v>30</v>
      </c>
      <c r="D1056" s="6" t="s">
        <v>2765</v>
      </c>
      <c r="E1056" s="6" t="s">
        <v>93</v>
      </c>
      <c r="F1056" s="6" t="s">
        <v>77</v>
      </c>
      <c r="G1056" s="7">
        <v>2.48</v>
      </c>
      <c r="H1056" s="6" t="s">
        <v>206</v>
      </c>
      <c r="I1056" s="6" t="s">
        <v>20</v>
      </c>
      <c r="J1056" s="6">
        <v>1996.0</v>
      </c>
      <c r="L1056" s="6">
        <v>1.0</v>
      </c>
      <c r="M1056" s="8">
        <f t="shared" si="2"/>
        <v>2.48</v>
      </c>
      <c r="P1056" s="9"/>
    </row>
    <row r="1057">
      <c r="A1057" s="6" t="s">
        <v>2766</v>
      </c>
      <c r="B1057" s="6" t="s">
        <v>138</v>
      </c>
      <c r="C1057" s="6" t="s">
        <v>23</v>
      </c>
      <c r="D1057" s="6" t="s">
        <v>2767</v>
      </c>
      <c r="E1057" s="6" t="s">
        <v>2768</v>
      </c>
      <c r="F1057" s="6" t="s">
        <v>40</v>
      </c>
      <c r="G1057" s="7">
        <v>0.04</v>
      </c>
      <c r="H1057" s="6" t="s">
        <v>2769</v>
      </c>
      <c r="I1057" s="6" t="s">
        <v>20</v>
      </c>
      <c r="J1057" s="6">
        <v>2025.0</v>
      </c>
      <c r="L1057" s="6">
        <v>6.0</v>
      </c>
      <c r="M1057" s="8">
        <f t="shared" si="2"/>
        <v>0.24</v>
      </c>
      <c r="P1057" s="9"/>
    </row>
    <row r="1058">
      <c r="A1058" s="6" t="s">
        <v>2770</v>
      </c>
      <c r="B1058" s="6" t="s">
        <v>74</v>
      </c>
      <c r="C1058" s="6" t="s">
        <v>43</v>
      </c>
      <c r="D1058" s="6" t="s">
        <v>2771</v>
      </c>
      <c r="E1058" s="6" t="s">
        <v>2772</v>
      </c>
      <c r="F1058" s="6" t="s">
        <v>536</v>
      </c>
      <c r="G1058" s="7">
        <v>0.2</v>
      </c>
      <c r="H1058" s="6" t="s">
        <v>1048</v>
      </c>
      <c r="I1058" s="6" t="s">
        <v>20</v>
      </c>
      <c r="J1058" s="6">
        <v>2008.0</v>
      </c>
      <c r="L1058" s="6">
        <v>1.0</v>
      </c>
      <c r="M1058" s="8">
        <f t="shared" si="2"/>
        <v>0.2</v>
      </c>
      <c r="P1058" s="9"/>
    </row>
    <row r="1059">
      <c r="A1059" s="6" t="s">
        <v>2773</v>
      </c>
      <c r="B1059" s="6" t="s">
        <v>988</v>
      </c>
      <c r="C1059" s="6" t="s">
        <v>30</v>
      </c>
      <c r="D1059" s="6" t="s">
        <v>2774</v>
      </c>
      <c r="E1059" s="6" t="s">
        <v>2201</v>
      </c>
      <c r="F1059" s="6" t="s">
        <v>536</v>
      </c>
      <c r="G1059" s="7">
        <v>0.1</v>
      </c>
      <c r="H1059" s="6" t="s">
        <v>460</v>
      </c>
      <c r="I1059" s="6" t="s">
        <v>20</v>
      </c>
      <c r="J1059" s="6">
        <v>2015.0</v>
      </c>
      <c r="K1059" s="10">
        <v>46023.0</v>
      </c>
      <c r="L1059" s="6">
        <v>1.0</v>
      </c>
      <c r="M1059" s="8">
        <f t="shared" si="2"/>
        <v>0.1</v>
      </c>
      <c r="P1059" s="9"/>
    </row>
    <row r="1060">
      <c r="A1060" s="6" t="s">
        <v>2775</v>
      </c>
      <c r="B1060" s="6" t="s">
        <v>1217</v>
      </c>
      <c r="C1060" s="6" t="s">
        <v>43</v>
      </c>
      <c r="D1060" s="6" t="s">
        <v>2776</v>
      </c>
      <c r="E1060" s="6" t="s">
        <v>248</v>
      </c>
      <c r="F1060" s="6" t="s">
        <v>77</v>
      </c>
      <c r="G1060" s="7">
        <v>0.03</v>
      </c>
      <c r="H1060" s="6" t="s">
        <v>709</v>
      </c>
      <c r="I1060" s="6" t="s">
        <v>20</v>
      </c>
      <c r="J1060" s="6">
        <v>2017.0</v>
      </c>
      <c r="K1060" s="10">
        <v>46084.0</v>
      </c>
      <c r="L1060" s="6">
        <v>1.0</v>
      </c>
      <c r="M1060" s="8">
        <f t="shared" si="2"/>
        <v>0.03</v>
      </c>
      <c r="P1060" s="9"/>
    </row>
    <row r="1061">
      <c r="A1061" s="6" t="s">
        <v>2777</v>
      </c>
      <c r="B1061" s="6" t="s">
        <v>2778</v>
      </c>
      <c r="C1061" s="6" t="s">
        <v>23</v>
      </c>
      <c r="D1061" s="6" t="s">
        <v>2779</v>
      </c>
      <c r="E1061" s="6" t="s">
        <v>852</v>
      </c>
      <c r="F1061" s="6" t="s">
        <v>18</v>
      </c>
      <c r="G1061" s="7">
        <v>0.06</v>
      </c>
      <c r="H1061" s="6" t="s">
        <v>130</v>
      </c>
      <c r="I1061" s="6" t="s">
        <v>20</v>
      </c>
      <c r="J1061" s="6">
        <v>2014.0</v>
      </c>
      <c r="K1061" s="10">
        <v>46082.0</v>
      </c>
      <c r="L1061" s="6">
        <v>1.0</v>
      </c>
      <c r="M1061" s="8">
        <f t="shared" si="2"/>
        <v>0.06</v>
      </c>
      <c r="P1061" s="9"/>
    </row>
    <row r="1062">
      <c r="A1062" s="6" t="s">
        <v>2780</v>
      </c>
      <c r="B1062" s="6" t="s">
        <v>119</v>
      </c>
      <c r="C1062" s="6" t="s">
        <v>204</v>
      </c>
      <c r="D1062" s="6" t="s">
        <v>2781</v>
      </c>
      <c r="E1062" s="6" t="s">
        <v>891</v>
      </c>
      <c r="F1062" s="6" t="s">
        <v>77</v>
      </c>
      <c r="G1062" s="7">
        <v>0.05</v>
      </c>
      <c r="H1062" s="6" t="s">
        <v>65</v>
      </c>
      <c r="I1062" s="6" t="s">
        <v>20</v>
      </c>
      <c r="J1062" s="6">
        <v>2013.0</v>
      </c>
      <c r="L1062" s="6">
        <v>4.0</v>
      </c>
      <c r="M1062" s="8">
        <f t="shared" si="2"/>
        <v>0.2</v>
      </c>
      <c r="P1062" s="9"/>
    </row>
    <row r="1063">
      <c r="A1063" s="6" t="s">
        <v>2782</v>
      </c>
      <c r="B1063" s="6" t="s">
        <v>2783</v>
      </c>
      <c r="C1063" s="6" t="s">
        <v>30</v>
      </c>
      <c r="D1063" s="6" t="s">
        <v>2784</v>
      </c>
      <c r="E1063" s="6" t="s">
        <v>2060</v>
      </c>
      <c r="F1063" s="6" t="s">
        <v>159</v>
      </c>
      <c r="G1063" s="7">
        <v>0.11</v>
      </c>
      <c r="H1063" s="6" t="s">
        <v>918</v>
      </c>
      <c r="I1063" s="6" t="s">
        <v>20</v>
      </c>
      <c r="J1063" s="6">
        <v>2023.0</v>
      </c>
      <c r="K1063" s="10">
        <v>46116.0</v>
      </c>
      <c r="L1063" s="6">
        <v>2.0</v>
      </c>
      <c r="M1063" s="8">
        <f t="shared" si="2"/>
        <v>0.22</v>
      </c>
      <c r="P1063" s="9"/>
    </row>
    <row r="1064">
      <c r="A1064" s="6" t="s">
        <v>2785</v>
      </c>
      <c r="B1064" s="6" t="s">
        <v>494</v>
      </c>
      <c r="C1064" s="6" t="s">
        <v>43</v>
      </c>
      <c r="D1064" s="6" t="s">
        <v>2786</v>
      </c>
      <c r="E1064" s="6" t="s">
        <v>579</v>
      </c>
      <c r="F1064" s="6" t="s">
        <v>112</v>
      </c>
      <c r="G1064" s="7">
        <v>0.04</v>
      </c>
      <c r="H1064" s="6" t="s">
        <v>297</v>
      </c>
      <c r="I1064" s="6" t="s">
        <v>20</v>
      </c>
      <c r="J1064" s="6">
        <v>2022.0</v>
      </c>
      <c r="L1064" s="6">
        <v>1.0</v>
      </c>
      <c r="M1064" s="8">
        <f t="shared" si="2"/>
        <v>0.04</v>
      </c>
      <c r="P1064" s="9"/>
    </row>
    <row r="1065">
      <c r="A1065" s="6" t="s">
        <v>2787</v>
      </c>
      <c r="B1065" s="6" t="s">
        <v>494</v>
      </c>
      <c r="C1065" s="6" t="s">
        <v>43</v>
      </c>
      <c r="D1065" s="6" t="s">
        <v>2788</v>
      </c>
      <c r="E1065" s="6" t="s">
        <v>822</v>
      </c>
      <c r="F1065" s="6" t="s">
        <v>77</v>
      </c>
      <c r="G1065" s="7">
        <v>0.08</v>
      </c>
      <c r="H1065" s="6" t="s">
        <v>83</v>
      </c>
      <c r="I1065" s="6" t="s">
        <v>20</v>
      </c>
      <c r="J1065" s="6">
        <v>1995.0</v>
      </c>
      <c r="L1065" s="6">
        <v>3.0</v>
      </c>
      <c r="M1065" s="8">
        <f t="shared" si="2"/>
        <v>0.24</v>
      </c>
      <c r="P1065" s="9"/>
    </row>
    <row r="1066">
      <c r="A1066" s="6" t="s">
        <v>2787</v>
      </c>
      <c r="B1066" s="6" t="s">
        <v>494</v>
      </c>
      <c r="C1066" s="6" t="s">
        <v>43</v>
      </c>
      <c r="D1066" s="6" t="s">
        <v>2788</v>
      </c>
      <c r="E1066" s="6" t="s">
        <v>822</v>
      </c>
      <c r="F1066" s="6" t="s">
        <v>77</v>
      </c>
      <c r="G1066" s="7">
        <v>0.21</v>
      </c>
      <c r="H1066" s="6" t="s">
        <v>1064</v>
      </c>
      <c r="I1066" s="6" t="s">
        <v>20</v>
      </c>
      <c r="J1066" s="6">
        <v>1995.0</v>
      </c>
      <c r="L1066" s="6">
        <v>3.0</v>
      </c>
      <c r="M1066" s="8">
        <f t="shared" si="2"/>
        <v>0.63</v>
      </c>
      <c r="P1066" s="9"/>
    </row>
    <row r="1067">
      <c r="A1067" s="6" t="s">
        <v>2787</v>
      </c>
      <c r="B1067" s="6" t="s">
        <v>494</v>
      </c>
      <c r="C1067" s="6" t="s">
        <v>43</v>
      </c>
      <c r="D1067" s="6" t="s">
        <v>2788</v>
      </c>
      <c r="E1067" s="6" t="s">
        <v>822</v>
      </c>
      <c r="F1067" s="6" t="s">
        <v>77</v>
      </c>
      <c r="G1067" s="7">
        <v>0.15</v>
      </c>
      <c r="H1067" s="6" t="s">
        <v>453</v>
      </c>
      <c r="I1067" s="6" t="s">
        <v>20</v>
      </c>
      <c r="J1067" s="6">
        <v>1995.0</v>
      </c>
      <c r="L1067" s="6">
        <v>2.0</v>
      </c>
      <c r="M1067" s="8">
        <f t="shared" si="2"/>
        <v>0.3</v>
      </c>
      <c r="P1067" s="9"/>
    </row>
    <row r="1068">
      <c r="A1068" s="6" t="s">
        <v>2789</v>
      </c>
      <c r="B1068" s="6" t="s">
        <v>2790</v>
      </c>
      <c r="C1068" s="6" t="s">
        <v>37</v>
      </c>
      <c r="D1068" s="6" t="s">
        <v>2791</v>
      </c>
      <c r="E1068" s="6" t="s">
        <v>2792</v>
      </c>
      <c r="F1068" s="6" t="s">
        <v>87</v>
      </c>
      <c r="G1068" s="7">
        <v>0.09</v>
      </c>
      <c r="H1068" s="6" t="s">
        <v>475</v>
      </c>
      <c r="I1068" s="6" t="s">
        <v>20</v>
      </c>
      <c r="J1068" s="6">
        <v>2024.0</v>
      </c>
      <c r="K1068" s="10">
        <v>46116.0</v>
      </c>
      <c r="L1068" s="6">
        <v>1.0</v>
      </c>
      <c r="M1068" s="8">
        <f t="shared" si="2"/>
        <v>0.09</v>
      </c>
      <c r="P1068" s="9"/>
    </row>
    <row r="1069">
      <c r="A1069" s="6" t="s">
        <v>2793</v>
      </c>
      <c r="B1069" s="6" t="s">
        <v>2790</v>
      </c>
      <c r="C1069" s="6" t="s">
        <v>37</v>
      </c>
      <c r="D1069" s="6" t="s">
        <v>2794</v>
      </c>
      <c r="E1069" s="6" t="s">
        <v>210</v>
      </c>
      <c r="F1069" s="6" t="s">
        <v>18</v>
      </c>
      <c r="G1069" s="7">
        <v>0.19</v>
      </c>
      <c r="H1069" s="6" t="s">
        <v>475</v>
      </c>
      <c r="I1069" s="6" t="s">
        <v>20</v>
      </c>
      <c r="J1069" s="6">
        <v>2024.0</v>
      </c>
      <c r="K1069" s="10">
        <v>46056.0</v>
      </c>
      <c r="L1069" s="6">
        <v>1.0</v>
      </c>
      <c r="M1069" s="8">
        <f t="shared" si="2"/>
        <v>0.19</v>
      </c>
      <c r="P1069" s="9"/>
    </row>
    <row r="1070">
      <c r="A1070" s="6" t="s">
        <v>2795</v>
      </c>
      <c r="B1070" s="6" t="s">
        <v>2790</v>
      </c>
      <c r="C1070" s="6" t="s">
        <v>43</v>
      </c>
      <c r="D1070" s="6" t="s">
        <v>2796</v>
      </c>
      <c r="E1070" s="6" t="s">
        <v>135</v>
      </c>
      <c r="F1070" s="6" t="s">
        <v>40</v>
      </c>
      <c r="G1070" s="7">
        <v>0.05</v>
      </c>
      <c r="H1070" s="6" t="s">
        <v>475</v>
      </c>
      <c r="I1070" s="6" t="s">
        <v>20</v>
      </c>
      <c r="J1070" s="6">
        <v>2024.0</v>
      </c>
      <c r="K1070" s="10">
        <v>46055.0</v>
      </c>
      <c r="L1070" s="6">
        <v>1.0</v>
      </c>
      <c r="M1070" s="8">
        <f t="shared" si="2"/>
        <v>0.05</v>
      </c>
      <c r="P1070" s="9"/>
    </row>
    <row r="1071">
      <c r="A1071" s="6" t="s">
        <v>2797</v>
      </c>
      <c r="B1071" s="6" t="s">
        <v>2790</v>
      </c>
      <c r="C1071" s="6" t="s">
        <v>43</v>
      </c>
      <c r="D1071" s="6" t="s">
        <v>2798</v>
      </c>
      <c r="E1071" s="6" t="s">
        <v>891</v>
      </c>
      <c r="F1071" s="6" t="s">
        <v>77</v>
      </c>
      <c r="G1071" s="7">
        <v>0.03</v>
      </c>
      <c r="H1071" s="6" t="s">
        <v>475</v>
      </c>
      <c r="I1071" s="6" t="s">
        <v>20</v>
      </c>
      <c r="J1071" s="6">
        <v>2024.0</v>
      </c>
      <c r="K1071" s="10">
        <v>46147.0</v>
      </c>
      <c r="L1071" s="6">
        <v>1.0</v>
      </c>
      <c r="M1071" s="8">
        <f t="shared" si="2"/>
        <v>0.03</v>
      </c>
      <c r="P1071" s="9"/>
    </row>
    <row r="1072">
      <c r="A1072" s="6" t="s">
        <v>2799</v>
      </c>
      <c r="B1072" s="6" t="s">
        <v>494</v>
      </c>
      <c r="C1072" s="6" t="s">
        <v>43</v>
      </c>
      <c r="D1072" s="6" t="s">
        <v>2800</v>
      </c>
      <c r="E1072" s="6" t="s">
        <v>256</v>
      </c>
      <c r="F1072" s="6" t="s">
        <v>87</v>
      </c>
      <c r="G1072" s="7">
        <v>0.03</v>
      </c>
      <c r="H1072" s="6" t="s">
        <v>1511</v>
      </c>
      <c r="I1072" s="6" t="s">
        <v>20</v>
      </c>
      <c r="J1072" s="6">
        <v>2014.0</v>
      </c>
      <c r="L1072" s="6">
        <v>1.0</v>
      </c>
      <c r="M1072" s="8">
        <f t="shared" si="2"/>
        <v>0.03</v>
      </c>
      <c r="P1072" s="9"/>
    </row>
    <row r="1073">
      <c r="A1073" s="6" t="s">
        <v>2801</v>
      </c>
      <c r="B1073" s="6" t="s">
        <v>74</v>
      </c>
      <c r="C1073" s="6" t="s">
        <v>43</v>
      </c>
      <c r="D1073" s="6" t="s">
        <v>2802</v>
      </c>
      <c r="E1073" s="6" t="s">
        <v>76</v>
      </c>
      <c r="F1073" s="6" t="s">
        <v>77</v>
      </c>
      <c r="G1073" s="7">
        <v>0.06</v>
      </c>
      <c r="H1073" s="6" t="s">
        <v>249</v>
      </c>
      <c r="I1073" s="6" t="s">
        <v>20</v>
      </c>
      <c r="J1073" s="6">
        <v>2014.0</v>
      </c>
      <c r="L1073" s="6">
        <v>4.0</v>
      </c>
      <c r="M1073" s="8">
        <f t="shared" si="2"/>
        <v>0.24</v>
      </c>
      <c r="P1073" s="9"/>
    </row>
    <row r="1074">
      <c r="A1074" s="6" t="s">
        <v>2803</v>
      </c>
      <c r="B1074" s="6" t="s">
        <v>162</v>
      </c>
      <c r="C1074" s="6" t="s">
        <v>43</v>
      </c>
      <c r="D1074" s="6" t="s">
        <v>2804</v>
      </c>
      <c r="E1074" s="6" t="s">
        <v>117</v>
      </c>
      <c r="F1074" s="6" t="s">
        <v>77</v>
      </c>
      <c r="G1074" s="7">
        <v>0.09</v>
      </c>
      <c r="H1074" s="6" t="s">
        <v>1527</v>
      </c>
      <c r="I1074" s="6" t="s">
        <v>20</v>
      </c>
      <c r="J1074" s="6">
        <v>2006.0</v>
      </c>
      <c r="L1074" s="6">
        <v>2.0</v>
      </c>
      <c r="M1074" s="8">
        <f t="shared" si="2"/>
        <v>0.18</v>
      </c>
      <c r="P1074" s="9"/>
    </row>
    <row r="1075">
      <c r="A1075" s="6" t="s">
        <v>2805</v>
      </c>
      <c r="B1075" s="6" t="s">
        <v>162</v>
      </c>
      <c r="C1075" s="6" t="s">
        <v>37</v>
      </c>
      <c r="D1075" s="6" t="s">
        <v>2806</v>
      </c>
      <c r="E1075" s="6" t="s">
        <v>1093</v>
      </c>
      <c r="F1075" s="6" t="s">
        <v>77</v>
      </c>
      <c r="G1075" s="7">
        <v>0.2</v>
      </c>
      <c r="H1075" s="6" t="s">
        <v>113</v>
      </c>
      <c r="I1075" s="6" t="s">
        <v>20</v>
      </c>
      <c r="J1075" s="6">
        <v>2023.0</v>
      </c>
      <c r="L1075" s="6">
        <v>1.0</v>
      </c>
      <c r="M1075" s="8">
        <f t="shared" si="2"/>
        <v>0.2</v>
      </c>
      <c r="P1075" s="9"/>
    </row>
    <row r="1076">
      <c r="A1076" s="6" t="s">
        <v>2807</v>
      </c>
      <c r="B1076" s="6" t="s">
        <v>254</v>
      </c>
      <c r="C1076" s="6" t="s">
        <v>43</v>
      </c>
      <c r="D1076" s="6" t="s">
        <v>2808</v>
      </c>
      <c r="E1076" s="6" t="s">
        <v>248</v>
      </c>
      <c r="F1076" s="6" t="s">
        <v>77</v>
      </c>
      <c r="G1076" s="7">
        <v>0.09</v>
      </c>
      <c r="H1076" s="6" t="s">
        <v>58</v>
      </c>
      <c r="I1076" s="6" t="s">
        <v>20</v>
      </c>
      <c r="J1076" s="6">
        <v>1995.0</v>
      </c>
      <c r="L1076" s="6">
        <v>1.0</v>
      </c>
      <c r="M1076" s="8">
        <f t="shared" si="2"/>
        <v>0.09</v>
      </c>
      <c r="P1076" s="9"/>
    </row>
    <row r="1077">
      <c r="A1077" s="6" t="s">
        <v>2809</v>
      </c>
      <c r="B1077" s="6" t="s">
        <v>138</v>
      </c>
      <c r="C1077" s="6" t="s">
        <v>43</v>
      </c>
      <c r="D1077" s="6" t="s">
        <v>2810</v>
      </c>
      <c r="E1077" s="6" t="s">
        <v>248</v>
      </c>
      <c r="F1077" s="6" t="s">
        <v>77</v>
      </c>
      <c r="G1077" s="7">
        <v>0.08</v>
      </c>
      <c r="H1077" s="6" t="s">
        <v>206</v>
      </c>
      <c r="I1077" s="6" t="s">
        <v>20</v>
      </c>
      <c r="J1077" s="6">
        <v>1996.0</v>
      </c>
      <c r="L1077" s="6">
        <v>2.0</v>
      </c>
      <c r="M1077" s="8">
        <f t="shared" si="2"/>
        <v>0.16</v>
      </c>
      <c r="P1077" s="9"/>
    </row>
    <row r="1078">
      <c r="A1078" s="6" t="s">
        <v>2811</v>
      </c>
      <c r="B1078" s="6" t="s">
        <v>529</v>
      </c>
      <c r="C1078" s="6" t="s">
        <v>37</v>
      </c>
      <c r="D1078" s="6" t="s">
        <v>2812</v>
      </c>
      <c r="E1078" s="6" t="s">
        <v>1093</v>
      </c>
      <c r="F1078" s="6" t="s">
        <v>77</v>
      </c>
      <c r="G1078" s="7">
        <v>0.1</v>
      </c>
      <c r="H1078" s="6" t="s">
        <v>2033</v>
      </c>
      <c r="I1078" s="6" t="s">
        <v>20</v>
      </c>
      <c r="J1078" s="6">
        <v>2019.0</v>
      </c>
      <c r="K1078" s="10">
        <v>46084.0</v>
      </c>
      <c r="L1078" s="6">
        <v>1.0</v>
      </c>
      <c r="M1078" s="8">
        <f t="shared" si="2"/>
        <v>0.1</v>
      </c>
      <c r="P1078" s="9"/>
    </row>
    <row r="1079">
      <c r="A1079" s="6" t="s">
        <v>2813</v>
      </c>
      <c r="B1079" s="6" t="s">
        <v>2814</v>
      </c>
      <c r="C1079" s="6" t="s">
        <v>37</v>
      </c>
      <c r="D1079" s="6" t="s">
        <v>2815</v>
      </c>
      <c r="E1079" s="6" t="s">
        <v>125</v>
      </c>
      <c r="F1079" s="6" t="s">
        <v>40</v>
      </c>
      <c r="G1079" s="7">
        <v>0.11</v>
      </c>
      <c r="H1079" s="6" t="s">
        <v>136</v>
      </c>
      <c r="I1079" s="6" t="s">
        <v>20</v>
      </c>
      <c r="J1079" s="6">
        <v>2026.0</v>
      </c>
      <c r="K1079" s="6" t="s">
        <v>233</v>
      </c>
      <c r="L1079" s="6">
        <v>2.0</v>
      </c>
      <c r="M1079" s="8">
        <f t="shared" si="2"/>
        <v>0.22</v>
      </c>
      <c r="P1079" s="9"/>
    </row>
    <row r="1080">
      <c r="A1080" s="6" t="s">
        <v>2816</v>
      </c>
      <c r="B1080" s="6" t="s">
        <v>74</v>
      </c>
      <c r="C1080" s="6" t="s">
        <v>43</v>
      </c>
      <c r="D1080" s="6" t="s">
        <v>2817</v>
      </c>
      <c r="E1080" s="6" t="s">
        <v>176</v>
      </c>
      <c r="F1080" s="6" t="s">
        <v>77</v>
      </c>
      <c r="G1080" s="7">
        <v>0.05</v>
      </c>
      <c r="H1080" s="6" t="s">
        <v>918</v>
      </c>
      <c r="I1080" s="6" t="s">
        <v>20</v>
      </c>
      <c r="J1080" s="6">
        <v>2023.0</v>
      </c>
      <c r="L1080" s="6">
        <v>1.0</v>
      </c>
      <c r="M1080" s="8">
        <f t="shared" si="2"/>
        <v>0.05</v>
      </c>
      <c r="P1080" s="9"/>
    </row>
    <row r="1081">
      <c r="A1081" s="6" t="s">
        <v>2818</v>
      </c>
      <c r="B1081" s="6" t="s">
        <v>138</v>
      </c>
      <c r="C1081" s="6" t="s">
        <v>37</v>
      </c>
      <c r="D1081" s="6" t="s">
        <v>2819</v>
      </c>
      <c r="E1081" s="6" t="s">
        <v>76</v>
      </c>
      <c r="F1081" s="6" t="s">
        <v>77</v>
      </c>
      <c r="G1081" s="7">
        <v>0.45</v>
      </c>
      <c r="H1081" s="6" t="s">
        <v>746</v>
      </c>
      <c r="I1081" s="6" t="s">
        <v>20</v>
      </c>
      <c r="J1081" s="6">
        <v>2024.0</v>
      </c>
      <c r="L1081" s="6">
        <v>1.0</v>
      </c>
      <c r="M1081" s="8">
        <f t="shared" si="2"/>
        <v>0.45</v>
      </c>
      <c r="P1081" s="9"/>
    </row>
    <row r="1082">
      <c r="A1082" s="6" t="s">
        <v>2820</v>
      </c>
      <c r="B1082" s="6" t="s">
        <v>138</v>
      </c>
      <c r="C1082" s="6" t="s">
        <v>377</v>
      </c>
      <c r="D1082" s="6" t="s">
        <v>2821</v>
      </c>
      <c r="E1082" s="6" t="s">
        <v>389</v>
      </c>
      <c r="F1082" s="6" t="s">
        <v>2822</v>
      </c>
      <c r="G1082" s="7">
        <v>0.05</v>
      </c>
      <c r="H1082" s="6" t="s">
        <v>471</v>
      </c>
      <c r="I1082" s="6" t="s">
        <v>20</v>
      </c>
      <c r="J1082" s="6">
        <v>2026.0</v>
      </c>
      <c r="L1082" s="6">
        <v>1.0</v>
      </c>
      <c r="M1082" s="8">
        <f t="shared" si="2"/>
        <v>0.05</v>
      </c>
      <c r="P1082" s="9"/>
    </row>
    <row r="1083">
      <c r="A1083" s="6" t="s">
        <v>2823</v>
      </c>
      <c r="B1083" s="6" t="s">
        <v>74</v>
      </c>
      <c r="C1083" s="6" t="s">
        <v>43</v>
      </c>
      <c r="D1083" s="6" t="s">
        <v>2824</v>
      </c>
      <c r="E1083" s="6" t="s">
        <v>117</v>
      </c>
      <c r="F1083" s="6" t="s">
        <v>77</v>
      </c>
      <c r="G1083" s="7">
        <v>2.49</v>
      </c>
      <c r="H1083" s="6" t="s">
        <v>838</v>
      </c>
      <c r="I1083" s="6" t="s">
        <v>20</v>
      </c>
      <c r="J1083" s="6">
        <v>2021.0</v>
      </c>
      <c r="L1083" s="6">
        <v>2.0</v>
      </c>
      <c r="M1083" s="8">
        <f t="shared" si="2"/>
        <v>4.98</v>
      </c>
      <c r="P1083" s="9"/>
    </row>
    <row r="1084">
      <c r="A1084" s="6" t="s">
        <v>2825</v>
      </c>
      <c r="B1084" s="6" t="s">
        <v>192</v>
      </c>
      <c r="C1084" s="6" t="s">
        <v>418</v>
      </c>
      <c r="D1084" s="6" t="s">
        <v>2826</v>
      </c>
      <c r="E1084" s="6" t="s">
        <v>215</v>
      </c>
      <c r="F1084" s="6" t="s">
        <v>312</v>
      </c>
      <c r="G1084" s="7">
        <v>0.9</v>
      </c>
      <c r="H1084" s="6" t="s">
        <v>2394</v>
      </c>
      <c r="I1084" s="6" t="s">
        <v>20</v>
      </c>
      <c r="J1084" s="6">
        <v>1997.0</v>
      </c>
      <c r="L1084" s="6">
        <v>1.0</v>
      </c>
      <c r="M1084" s="8">
        <f t="shared" si="2"/>
        <v>0.9</v>
      </c>
      <c r="P1084" s="9"/>
    </row>
    <row r="1085">
      <c r="A1085" s="6" t="s">
        <v>2827</v>
      </c>
      <c r="B1085" s="6" t="s">
        <v>2828</v>
      </c>
      <c r="C1085" s="6" t="s">
        <v>43</v>
      </c>
      <c r="D1085" s="6" t="s">
        <v>2829</v>
      </c>
      <c r="E1085" s="6" t="s">
        <v>39</v>
      </c>
      <c r="F1085" s="6" t="s">
        <v>40</v>
      </c>
      <c r="G1085" s="7">
        <v>0.07</v>
      </c>
      <c r="H1085" s="6" t="s">
        <v>88</v>
      </c>
      <c r="I1085" s="6" t="s">
        <v>20</v>
      </c>
      <c r="J1085" s="6">
        <v>2024.0</v>
      </c>
      <c r="K1085" s="10">
        <v>46083.0</v>
      </c>
      <c r="L1085" s="6">
        <v>1.0</v>
      </c>
      <c r="M1085" s="8">
        <f t="shared" si="2"/>
        <v>0.07</v>
      </c>
      <c r="P1085" s="9"/>
    </row>
    <row r="1086">
      <c r="A1086" s="6" t="s">
        <v>2830</v>
      </c>
      <c r="B1086" s="6" t="s">
        <v>371</v>
      </c>
      <c r="C1086" s="6" t="s">
        <v>43</v>
      </c>
      <c r="D1086" s="6" t="s">
        <v>2831</v>
      </c>
      <c r="E1086" s="6" t="s">
        <v>135</v>
      </c>
      <c r="F1086" s="6" t="s">
        <v>40</v>
      </c>
      <c r="G1086" s="7">
        <v>0.06</v>
      </c>
      <c r="H1086" s="6" t="s">
        <v>1833</v>
      </c>
      <c r="I1086" s="6" t="s">
        <v>20</v>
      </c>
      <c r="J1086" s="6">
        <v>2018.0</v>
      </c>
      <c r="K1086" s="10">
        <v>46023.0</v>
      </c>
      <c r="L1086" s="6">
        <v>4.0</v>
      </c>
      <c r="M1086" s="8">
        <f t="shared" si="2"/>
        <v>0.24</v>
      </c>
      <c r="P1086" s="9"/>
    </row>
    <row r="1087">
      <c r="A1087" s="6" t="s">
        <v>2832</v>
      </c>
      <c r="B1087" s="6" t="s">
        <v>2833</v>
      </c>
      <c r="C1087" s="6" t="s">
        <v>15</v>
      </c>
      <c r="D1087" s="6" t="s">
        <v>2834</v>
      </c>
      <c r="E1087" s="6" t="s">
        <v>2835</v>
      </c>
      <c r="F1087" s="6" t="s">
        <v>77</v>
      </c>
      <c r="G1087" s="7">
        <v>0.15</v>
      </c>
      <c r="H1087" s="6" t="s">
        <v>19</v>
      </c>
      <c r="I1087" s="6" t="s">
        <v>20</v>
      </c>
      <c r="J1087" s="6">
        <v>2023.0</v>
      </c>
      <c r="K1087" s="10">
        <v>46116.0</v>
      </c>
      <c r="L1087" s="6">
        <v>1.0</v>
      </c>
      <c r="M1087" s="8">
        <f t="shared" si="2"/>
        <v>0.15</v>
      </c>
      <c r="P1087" s="9"/>
    </row>
    <row r="1088">
      <c r="A1088" s="6" t="s">
        <v>2832</v>
      </c>
      <c r="B1088" s="6" t="s">
        <v>2833</v>
      </c>
      <c r="C1088" s="6" t="s">
        <v>15</v>
      </c>
      <c r="D1088" s="6" t="s">
        <v>2836</v>
      </c>
      <c r="E1088" s="6" t="s">
        <v>2835</v>
      </c>
      <c r="F1088" s="6" t="s">
        <v>77</v>
      </c>
      <c r="G1088" s="7">
        <v>0.39</v>
      </c>
      <c r="H1088" s="6" t="s">
        <v>19</v>
      </c>
      <c r="I1088" s="6" t="s">
        <v>20</v>
      </c>
      <c r="J1088" s="6">
        <v>2023.0</v>
      </c>
      <c r="K1088" s="10">
        <v>46116.0</v>
      </c>
      <c r="L1088" s="6">
        <v>1.0</v>
      </c>
      <c r="M1088" s="8">
        <f t="shared" si="2"/>
        <v>0.39</v>
      </c>
      <c r="P1088" s="9"/>
    </row>
    <row r="1089">
      <c r="A1089" s="6" t="s">
        <v>2837</v>
      </c>
      <c r="B1089" s="6" t="s">
        <v>494</v>
      </c>
      <c r="C1089" s="6" t="s">
        <v>43</v>
      </c>
      <c r="D1089" s="6" t="s">
        <v>2838</v>
      </c>
      <c r="E1089" s="6" t="s">
        <v>329</v>
      </c>
      <c r="F1089" s="6" t="s">
        <v>112</v>
      </c>
      <c r="G1089" s="7">
        <v>0.03</v>
      </c>
      <c r="H1089" s="6" t="s">
        <v>398</v>
      </c>
      <c r="I1089" s="6" t="s">
        <v>20</v>
      </c>
      <c r="J1089" s="6">
        <v>2019.0</v>
      </c>
      <c r="L1089" s="6">
        <v>1.0</v>
      </c>
      <c r="M1089" s="8">
        <f t="shared" si="2"/>
        <v>0.03</v>
      </c>
      <c r="P1089" s="9"/>
    </row>
    <row r="1090">
      <c r="A1090" s="6" t="s">
        <v>2839</v>
      </c>
      <c r="B1090" s="6" t="s">
        <v>1230</v>
      </c>
      <c r="C1090" s="6" t="s">
        <v>43</v>
      </c>
      <c r="D1090" s="6" t="s">
        <v>986</v>
      </c>
      <c r="E1090" s="6" t="s">
        <v>176</v>
      </c>
      <c r="F1090" s="6" t="s">
        <v>77</v>
      </c>
      <c r="G1090" s="7">
        <v>0.05</v>
      </c>
      <c r="H1090" s="6" t="s">
        <v>259</v>
      </c>
      <c r="I1090" s="6" t="s">
        <v>20</v>
      </c>
      <c r="J1090" s="6">
        <v>1996.0</v>
      </c>
      <c r="K1090" s="10">
        <v>46024.0</v>
      </c>
      <c r="L1090" s="6">
        <v>1.0</v>
      </c>
      <c r="M1090" s="8">
        <f t="shared" si="2"/>
        <v>0.05</v>
      </c>
      <c r="P1090" s="9"/>
    </row>
    <row r="1091">
      <c r="A1091" s="6" t="s">
        <v>2840</v>
      </c>
      <c r="B1091" s="6" t="s">
        <v>1002</v>
      </c>
      <c r="C1091" s="6" t="s">
        <v>43</v>
      </c>
      <c r="D1091" s="6" t="s">
        <v>2841</v>
      </c>
      <c r="E1091" s="6" t="s">
        <v>329</v>
      </c>
      <c r="F1091" s="6" t="s">
        <v>112</v>
      </c>
      <c r="G1091" s="7">
        <v>0.14</v>
      </c>
      <c r="H1091" s="6" t="s">
        <v>428</v>
      </c>
      <c r="I1091" s="6" t="s">
        <v>20</v>
      </c>
      <c r="J1091" s="6">
        <v>2022.0</v>
      </c>
      <c r="K1091" s="6" t="s">
        <v>527</v>
      </c>
      <c r="L1091" s="6">
        <v>1.0</v>
      </c>
      <c r="M1091" s="8">
        <f t="shared" si="2"/>
        <v>0.14</v>
      </c>
      <c r="P1091" s="9"/>
    </row>
    <row r="1092">
      <c r="A1092" s="6" t="s">
        <v>2842</v>
      </c>
      <c r="B1092" s="6" t="s">
        <v>2843</v>
      </c>
      <c r="C1092" s="6" t="s">
        <v>43</v>
      </c>
      <c r="D1092" s="6" t="s">
        <v>2844</v>
      </c>
      <c r="E1092" s="6" t="s">
        <v>117</v>
      </c>
      <c r="F1092" s="6" t="s">
        <v>77</v>
      </c>
      <c r="G1092" s="7">
        <v>0.12</v>
      </c>
      <c r="H1092" s="6" t="s">
        <v>488</v>
      </c>
      <c r="I1092" s="6" t="s">
        <v>20</v>
      </c>
      <c r="J1092" s="6">
        <v>2023.0</v>
      </c>
      <c r="K1092" s="10">
        <v>46023.0</v>
      </c>
      <c r="L1092" s="6">
        <v>1.0</v>
      </c>
      <c r="M1092" s="8">
        <f t="shared" si="2"/>
        <v>0.12</v>
      </c>
      <c r="P1092" s="9"/>
    </row>
    <row r="1093">
      <c r="A1093" s="6" t="s">
        <v>2845</v>
      </c>
      <c r="B1093" s="6" t="s">
        <v>74</v>
      </c>
      <c r="C1093" s="6" t="s">
        <v>43</v>
      </c>
      <c r="D1093" s="6" t="s">
        <v>2846</v>
      </c>
      <c r="E1093" s="6" t="s">
        <v>891</v>
      </c>
      <c r="F1093" s="6" t="s">
        <v>77</v>
      </c>
      <c r="G1093" s="7">
        <v>0.05</v>
      </c>
      <c r="H1093" s="6" t="s">
        <v>104</v>
      </c>
      <c r="I1093" s="6" t="s">
        <v>20</v>
      </c>
      <c r="J1093" s="6">
        <v>2019.0</v>
      </c>
      <c r="L1093" s="6">
        <v>1.0</v>
      </c>
      <c r="M1093" s="8">
        <f t="shared" si="2"/>
        <v>0.05</v>
      </c>
      <c r="P1093" s="9"/>
    </row>
    <row r="1094">
      <c r="A1094" s="6" t="s">
        <v>2847</v>
      </c>
      <c r="B1094" s="6" t="s">
        <v>138</v>
      </c>
      <c r="C1094" s="6" t="s">
        <v>43</v>
      </c>
      <c r="D1094" s="6" t="s">
        <v>2848</v>
      </c>
      <c r="E1094" s="6" t="s">
        <v>176</v>
      </c>
      <c r="F1094" s="6" t="s">
        <v>77</v>
      </c>
      <c r="G1094" s="7">
        <v>0.05</v>
      </c>
      <c r="H1094" s="6" t="s">
        <v>206</v>
      </c>
      <c r="I1094" s="6" t="s">
        <v>20</v>
      </c>
      <c r="J1094" s="6">
        <v>1996.0</v>
      </c>
      <c r="L1094" s="6">
        <v>1.0</v>
      </c>
      <c r="M1094" s="8">
        <f t="shared" si="2"/>
        <v>0.05</v>
      </c>
      <c r="P1094" s="9"/>
    </row>
    <row r="1095">
      <c r="A1095" s="6" t="s">
        <v>2849</v>
      </c>
      <c r="B1095" s="6" t="s">
        <v>606</v>
      </c>
      <c r="C1095" s="6" t="s">
        <v>23</v>
      </c>
      <c r="D1095" s="6" t="s">
        <v>2850</v>
      </c>
      <c r="E1095" s="6" t="s">
        <v>1575</v>
      </c>
      <c r="F1095" s="6" t="s">
        <v>87</v>
      </c>
      <c r="G1095" s="7">
        <v>0.06</v>
      </c>
      <c r="H1095" s="6" t="s">
        <v>130</v>
      </c>
      <c r="I1095" s="6" t="s">
        <v>20</v>
      </c>
      <c r="J1095" s="6">
        <v>2014.0</v>
      </c>
      <c r="L1095" s="6">
        <v>2.0</v>
      </c>
      <c r="M1095" s="8">
        <f t="shared" si="2"/>
        <v>0.12</v>
      </c>
      <c r="P1095" s="9"/>
    </row>
    <row r="1096">
      <c r="A1096" s="6" t="s">
        <v>2851</v>
      </c>
      <c r="B1096" s="6" t="s">
        <v>74</v>
      </c>
      <c r="C1096" s="6" t="s">
        <v>43</v>
      </c>
      <c r="D1096" s="6" t="s">
        <v>2852</v>
      </c>
      <c r="E1096" s="6" t="s">
        <v>140</v>
      </c>
      <c r="F1096" s="6" t="s">
        <v>87</v>
      </c>
      <c r="G1096" s="7">
        <v>0.2</v>
      </c>
      <c r="H1096" s="6" t="s">
        <v>373</v>
      </c>
      <c r="I1096" s="6" t="s">
        <v>20</v>
      </c>
      <c r="J1096" s="6">
        <v>2015.0</v>
      </c>
      <c r="L1096" s="6">
        <v>4.0</v>
      </c>
      <c r="M1096" s="8">
        <f t="shared" si="2"/>
        <v>0.8</v>
      </c>
      <c r="P1096" s="9"/>
    </row>
    <row r="1097">
      <c r="A1097" s="6" t="s">
        <v>2853</v>
      </c>
      <c r="B1097" s="6" t="s">
        <v>606</v>
      </c>
      <c r="C1097" s="6" t="s">
        <v>23</v>
      </c>
      <c r="D1097" s="6" t="s">
        <v>2854</v>
      </c>
      <c r="E1097" s="6" t="s">
        <v>263</v>
      </c>
      <c r="F1097" s="6" t="s">
        <v>77</v>
      </c>
      <c r="G1097" s="7">
        <v>0.1</v>
      </c>
      <c r="H1097" s="6" t="s">
        <v>153</v>
      </c>
      <c r="I1097" s="6" t="s">
        <v>20</v>
      </c>
      <c r="J1097" s="6">
        <v>2025.0</v>
      </c>
      <c r="L1097" s="6">
        <v>9.0</v>
      </c>
      <c r="M1097" s="8">
        <f t="shared" si="2"/>
        <v>0.9</v>
      </c>
      <c r="P1097" s="9"/>
    </row>
    <row r="1098">
      <c r="A1098" s="6" t="s">
        <v>2853</v>
      </c>
      <c r="B1098" s="6" t="s">
        <v>606</v>
      </c>
      <c r="C1098" s="6" t="s">
        <v>23</v>
      </c>
      <c r="D1098" s="6" t="s">
        <v>2854</v>
      </c>
      <c r="E1098" s="6" t="s">
        <v>263</v>
      </c>
      <c r="F1098" s="6" t="s">
        <v>77</v>
      </c>
      <c r="G1098" s="7">
        <v>0.4</v>
      </c>
      <c r="H1098" s="6" t="s">
        <v>153</v>
      </c>
      <c r="I1098" s="6" t="s">
        <v>45</v>
      </c>
      <c r="J1098" s="6">
        <v>2025.0</v>
      </c>
      <c r="L1098" s="6">
        <v>1.0</v>
      </c>
      <c r="M1098" s="8">
        <f t="shared" si="2"/>
        <v>0.4</v>
      </c>
      <c r="P1098" s="9"/>
    </row>
    <row r="1099">
      <c r="A1099" s="6" t="s">
        <v>2855</v>
      </c>
      <c r="B1099" s="6" t="s">
        <v>162</v>
      </c>
      <c r="C1099" s="6" t="s">
        <v>37</v>
      </c>
      <c r="D1099" s="6" t="s">
        <v>2856</v>
      </c>
      <c r="E1099" s="6" t="s">
        <v>256</v>
      </c>
      <c r="F1099" s="6" t="s">
        <v>87</v>
      </c>
      <c r="G1099" s="7">
        <v>0.04</v>
      </c>
      <c r="H1099" s="6" t="s">
        <v>144</v>
      </c>
      <c r="I1099" s="6" t="s">
        <v>20</v>
      </c>
      <c r="J1099" s="6">
        <v>2018.0</v>
      </c>
      <c r="L1099" s="6">
        <v>2.0</v>
      </c>
      <c r="M1099" s="8">
        <f t="shared" si="2"/>
        <v>0.08</v>
      </c>
      <c r="P1099" s="9"/>
    </row>
    <row r="1100">
      <c r="A1100" s="6" t="s">
        <v>2857</v>
      </c>
      <c r="B1100" s="6" t="s">
        <v>292</v>
      </c>
      <c r="C1100" s="6" t="s">
        <v>37</v>
      </c>
      <c r="D1100" s="6" t="s">
        <v>2858</v>
      </c>
      <c r="E1100" s="6" t="s">
        <v>210</v>
      </c>
      <c r="F1100" s="6" t="s">
        <v>18</v>
      </c>
      <c r="G1100" s="7">
        <v>1.9</v>
      </c>
      <c r="H1100" s="6" t="s">
        <v>2053</v>
      </c>
      <c r="I1100" s="6" t="s">
        <v>45</v>
      </c>
      <c r="J1100" s="6">
        <v>2023.0</v>
      </c>
      <c r="L1100" s="6">
        <v>1.0</v>
      </c>
      <c r="M1100" s="8">
        <f t="shared" si="2"/>
        <v>1.9</v>
      </c>
      <c r="N1100" s="6" t="s">
        <v>122</v>
      </c>
      <c r="P1100" s="9"/>
    </row>
    <row r="1101">
      <c r="A1101" s="6" t="s">
        <v>2859</v>
      </c>
      <c r="B1101" s="6" t="s">
        <v>115</v>
      </c>
      <c r="C1101" s="6" t="s">
        <v>23</v>
      </c>
      <c r="D1101" s="6" t="s">
        <v>2860</v>
      </c>
      <c r="E1101" s="6" t="s">
        <v>1131</v>
      </c>
      <c r="F1101" s="6" t="s">
        <v>87</v>
      </c>
      <c r="G1101" s="7">
        <v>0.08</v>
      </c>
      <c r="H1101" s="6" t="s">
        <v>19</v>
      </c>
      <c r="I1101" s="6" t="s">
        <v>20</v>
      </c>
      <c r="J1101" s="6">
        <v>2023.0</v>
      </c>
      <c r="L1101" s="6">
        <v>1.0</v>
      </c>
      <c r="M1101" s="8">
        <f t="shared" si="2"/>
        <v>0.08</v>
      </c>
      <c r="P1101" s="9"/>
    </row>
    <row r="1102">
      <c r="A1102" s="6" t="s">
        <v>2861</v>
      </c>
      <c r="B1102" s="6" t="s">
        <v>74</v>
      </c>
      <c r="C1102" s="6" t="s">
        <v>43</v>
      </c>
      <c r="D1102" s="6" t="s">
        <v>2862</v>
      </c>
      <c r="E1102" s="6" t="s">
        <v>256</v>
      </c>
      <c r="F1102" s="6" t="s">
        <v>87</v>
      </c>
      <c r="G1102" s="7">
        <v>0.03</v>
      </c>
      <c r="H1102" s="6" t="s">
        <v>382</v>
      </c>
      <c r="I1102" s="6" t="s">
        <v>20</v>
      </c>
      <c r="J1102" s="6">
        <v>2020.0</v>
      </c>
      <c r="L1102" s="6">
        <v>1.0</v>
      </c>
      <c r="M1102" s="8">
        <f t="shared" si="2"/>
        <v>0.03</v>
      </c>
      <c r="P1102" s="9"/>
    </row>
    <row r="1103">
      <c r="A1103" s="6" t="s">
        <v>2863</v>
      </c>
      <c r="B1103" s="6" t="s">
        <v>494</v>
      </c>
      <c r="C1103" s="6" t="s">
        <v>43</v>
      </c>
      <c r="D1103" s="6" t="s">
        <v>2864</v>
      </c>
      <c r="E1103" s="6" t="s">
        <v>329</v>
      </c>
      <c r="F1103" s="6" t="s">
        <v>112</v>
      </c>
      <c r="G1103" s="7">
        <v>0.04</v>
      </c>
      <c r="H1103" s="6" t="s">
        <v>1287</v>
      </c>
      <c r="I1103" s="6" t="s">
        <v>20</v>
      </c>
      <c r="J1103" s="6">
        <v>2021.0</v>
      </c>
      <c r="L1103" s="6">
        <v>1.0</v>
      </c>
      <c r="M1103" s="8">
        <f t="shared" si="2"/>
        <v>0.04</v>
      </c>
      <c r="P1103" s="9"/>
    </row>
    <row r="1104">
      <c r="A1104" s="6" t="s">
        <v>2865</v>
      </c>
      <c r="B1104" s="6" t="s">
        <v>192</v>
      </c>
      <c r="C1104" s="6" t="s">
        <v>418</v>
      </c>
      <c r="D1104" s="6" t="s">
        <v>2866</v>
      </c>
      <c r="E1104" s="6" t="s">
        <v>25</v>
      </c>
      <c r="F1104" s="6" t="s">
        <v>312</v>
      </c>
      <c r="G1104" s="7">
        <v>5.1</v>
      </c>
      <c r="H1104" s="6" t="s">
        <v>259</v>
      </c>
      <c r="I1104" s="6" t="s">
        <v>20</v>
      </c>
      <c r="J1104" s="6">
        <v>1996.0</v>
      </c>
      <c r="L1104" s="6">
        <v>1.0</v>
      </c>
      <c r="M1104" s="8">
        <f t="shared" si="2"/>
        <v>5.1</v>
      </c>
      <c r="P1104" s="9"/>
    </row>
    <row r="1105">
      <c r="A1105" s="6" t="s">
        <v>2867</v>
      </c>
      <c r="B1105" s="6" t="s">
        <v>2316</v>
      </c>
      <c r="C1105" s="6" t="s">
        <v>37</v>
      </c>
      <c r="D1105" s="6" t="s">
        <v>2868</v>
      </c>
      <c r="E1105" s="6" t="s">
        <v>753</v>
      </c>
      <c r="F1105" s="6" t="s">
        <v>87</v>
      </c>
      <c r="G1105" s="7">
        <v>0.2</v>
      </c>
      <c r="H1105" s="6" t="s">
        <v>141</v>
      </c>
      <c r="I1105" s="6" t="s">
        <v>20</v>
      </c>
      <c r="J1105" s="6">
        <v>1995.0</v>
      </c>
      <c r="K1105" s="10">
        <v>46054.0</v>
      </c>
      <c r="L1105" s="6">
        <v>1.0</v>
      </c>
      <c r="M1105" s="8">
        <f t="shared" si="2"/>
        <v>0.2</v>
      </c>
      <c r="P1105" s="9"/>
    </row>
    <row r="1106">
      <c r="A1106" s="6" t="s">
        <v>2869</v>
      </c>
      <c r="B1106" s="6" t="s">
        <v>1002</v>
      </c>
      <c r="C1106" s="6" t="s">
        <v>43</v>
      </c>
      <c r="E1106" s="6" t="s">
        <v>1634</v>
      </c>
      <c r="F1106" s="6" t="s">
        <v>87</v>
      </c>
      <c r="G1106" s="7">
        <v>0.03</v>
      </c>
      <c r="H1106" s="6" t="s">
        <v>144</v>
      </c>
      <c r="I1106" s="6" t="s">
        <v>20</v>
      </c>
      <c r="J1106" s="6">
        <v>2018.0</v>
      </c>
      <c r="K1106" s="10">
        <v>46117.0</v>
      </c>
      <c r="L1106" s="6">
        <v>2.0</v>
      </c>
      <c r="M1106" s="8">
        <f t="shared" si="2"/>
        <v>0.06</v>
      </c>
      <c r="P1106" s="9"/>
    </row>
    <row r="1107">
      <c r="A1107" s="6" t="s">
        <v>2869</v>
      </c>
      <c r="B1107" s="6" t="s">
        <v>1002</v>
      </c>
      <c r="C1107" s="6" t="s">
        <v>37</v>
      </c>
      <c r="E1107" s="6" t="s">
        <v>1634</v>
      </c>
      <c r="F1107" s="6" t="s">
        <v>87</v>
      </c>
      <c r="G1107" s="7">
        <v>0.1</v>
      </c>
      <c r="H1107" s="6" t="s">
        <v>324</v>
      </c>
      <c r="I1107" s="6" t="s">
        <v>20</v>
      </c>
      <c r="J1107" s="6">
        <v>1995.0</v>
      </c>
      <c r="K1107" s="10">
        <v>46117.0</v>
      </c>
      <c r="L1107" s="6">
        <v>1.0</v>
      </c>
      <c r="M1107" s="8">
        <f t="shared" si="2"/>
        <v>0.1</v>
      </c>
      <c r="P1107" s="9"/>
    </row>
    <row r="1108">
      <c r="A1108" s="6" t="s">
        <v>2869</v>
      </c>
      <c r="B1108" s="6" t="s">
        <v>1002</v>
      </c>
      <c r="C1108" s="6" t="s">
        <v>37</v>
      </c>
      <c r="E1108" s="6" t="s">
        <v>1634</v>
      </c>
      <c r="F1108" s="6" t="s">
        <v>87</v>
      </c>
      <c r="G1108" s="7">
        <v>0.2</v>
      </c>
      <c r="H1108" s="6" t="s">
        <v>316</v>
      </c>
      <c r="I1108" s="6" t="s">
        <v>20</v>
      </c>
      <c r="J1108" s="6">
        <v>1995.0</v>
      </c>
      <c r="K1108" s="10">
        <v>46117.0</v>
      </c>
      <c r="L1108" s="6">
        <v>1.0</v>
      </c>
      <c r="M1108" s="8">
        <f t="shared" si="2"/>
        <v>0.2</v>
      </c>
      <c r="P1108" s="9"/>
    </row>
    <row r="1109">
      <c r="A1109" s="6" t="s">
        <v>2870</v>
      </c>
      <c r="B1109" s="6" t="s">
        <v>545</v>
      </c>
      <c r="C1109" s="6" t="s">
        <v>43</v>
      </c>
      <c r="D1109" s="6" t="s">
        <v>2871</v>
      </c>
      <c r="E1109" s="6" t="s">
        <v>140</v>
      </c>
      <c r="F1109" s="6" t="s">
        <v>87</v>
      </c>
      <c r="G1109" s="7">
        <v>0.09</v>
      </c>
      <c r="H1109" s="6" t="s">
        <v>34</v>
      </c>
      <c r="I1109" s="6" t="s">
        <v>20</v>
      </c>
      <c r="J1109" s="6">
        <v>2025.0</v>
      </c>
      <c r="K1109" s="10">
        <v>46054.0</v>
      </c>
      <c r="L1109" s="6">
        <v>4.0</v>
      </c>
      <c r="M1109" s="8">
        <f t="shared" si="2"/>
        <v>0.36</v>
      </c>
      <c r="P1109" s="9"/>
    </row>
    <row r="1110">
      <c r="A1110" s="6" t="s">
        <v>2872</v>
      </c>
      <c r="B1110" s="6" t="s">
        <v>2873</v>
      </c>
      <c r="C1110" s="6" t="s">
        <v>37</v>
      </c>
      <c r="D1110" s="6" t="s">
        <v>2874</v>
      </c>
      <c r="E1110" s="6" t="s">
        <v>176</v>
      </c>
      <c r="F1110" s="6" t="s">
        <v>77</v>
      </c>
      <c r="G1110" s="7">
        <v>0.06</v>
      </c>
      <c r="H1110" s="6" t="s">
        <v>34</v>
      </c>
      <c r="I1110" s="6" t="s">
        <v>20</v>
      </c>
      <c r="J1110" s="6">
        <v>2025.0</v>
      </c>
      <c r="K1110" s="10">
        <v>46083.0</v>
      </c>
      <c r="L1110" s="6">
        <v>1.0</v>
      </c>
      <c r="M1110" s="8">
        <f t="shared" si="2"/>
        <v>0.06</v>
      </c>
      <c r="P1110" s="9"/>
    </row>
    <row r="1111">
      <c r="A1111" s="6" t="s">
        <v>2875</v>
      </c>
      <c r="B1111" s="6" t="s">
        <v>545</v>
      </c>
      <c r="C1111" s="6" t="s">
        <v>43</v>
      </c>
      <c r="D1111" s="6" t="s">
        <v>2876</v>
      </c>
      <c r="E1111" s="6" t="s">
        <v>389</v>
      </c>
      <c r="F1111" s="6" t="s">
        <v>87</v>
      </c>
      <c r="G1111" s="7">
        <v>0.06</v>
      </c>
      <c r="H1111" s="6" t="s">
        <v>34</v>
      </c>
      <c r="I1111" s="6" t="s">
        <v>20</v>
      </c>
      <c r="J1111" s="6">
        <v>2025.0</v>
      </c>
      <c r="K1111" s="10">
        <v>46057.0</v>
      </c>
      <c r="L1111" s="6">
        <v>1.0</v>
      </c>
      <c r="M1111" s="8">
        <f t="shared" si="2"/>
        <v>0.06</v>
      </c>
      <c r="P1111" s="9"/>
    </row>
    <row r="1112">
      <c r="A1112" s="6" t="s">
        <v>2877</v>
      </c>
      <c r="B1112" s="6" t="s">
        <v>1677</v>
      </c>
      <c r="C1112" s="6" t="s">
        <v>37</v>
      </c>
      <c r="D1112" s="6" t="s">
        <v>2878</v>
      </c>
      <c r="E1112" s="6" t="s">
        <v>185</v>
      </c>
      <c r="F1112" s="6" t="s">
        <v>26</v>
      </c>
      <c r="G1112" s="7">
        <v>0.06</v>
      </c>
      <c r="H1112" s="6" t="s">
        <v>34</v>
      </c>
      <c r="I1112" s="6" t="s">
        <v>20</v>
      </c>
      <c r="J1112" s="6">
        <v>2025.0</v>
      </c>
      <c r="K1112" s="10">
        <v>46116.0</v>
      </c>
      <c r="L1112" s="6">
        <v>1.0</v>
      </c>
      <c r="M1112" s="8">
        <f t="shared" si="2"/>
        <v>0.06</v>
      </c>
      <c r="P1112" s="9"/>
    </row>
    <row r="1113">
      <c r="A1113" s="6" t="s">
        <v>2879</v>
      </c>
      <c r="B1113" s="6" t="s">
        <v>2880</v>
      </c>
      <c r="C1113" s="6" t="s">
        <v>37</v>
      </c>
      <c r="D1113" s="6" t="s">
        <v>2881</v>
      </c>
      <c r="E1113" s="6" t="s">
        <v>176</v>
      </c>
      <c r="F1113" s="6" t="s">
        <v>77</v>
      </c>
      <c r="G1113" s="7">
        <v>0.4</v>
      </c>
      <c r="H1113" s="6" t="s">
        <v>34</v>
      </c>
      <c r="I1113" s="6" t="s">
        <v>45</v>
      </c>
      <c r="J1113" s="6">
        <v>2025.0</v>
      </c>
      <c r="K1113" s="6" t="s">
        <v>445</v>
      </c>
      <c r="L1113" s="6">
        <v>1.0</v>
      </c>
      <c r="M1113" s="8">
        <f t="shared" si="2"/>
        <v>0.4</v>
      </c>
      <c r="P1113" s="9"/>
    </row>
    <row r="1114">
      <c r="A1114" s="6" t="s">
        <v>2882</v>
      </c>
      <c r="B1114" s="6" t="s">
        <v>929</v>
      </c>
      <c r="C1114" s="6" t="s">
        <v>37</v>
      </c>
      <c r="D1114" s="6" t="s">
        <v>2883</v>
      </c>
      <c r="E1114" s="6" t="s">
        <v>86</v>
      </c>
      <c r="F1114" s="6" t="s">
        <v>87</v>
      </c>
      <c r="G1114" s="7">
        <v>0.15</v>
      </c>
      <c r="H1114" s="6" t="s">
        <v>34</v>
      </c>
      <c r="I1114" s="6" t="s">
        <v>20</v>
      </c>
      <c r="J1114" s="6">
        <v>2025.0</v>
      </c>
      <c r="K1114" s="10">
        <v>46055.0</v>
      </c>
      <c r="L1114" s="6">
        <v>1.0</v>
      </c>
      <c r="M1114" s="8">
        <f t="shared" si="2"/>
        <v>0.15</v>
      </c>
      <c r="P1114" s="9"/>
    </row>
    <row r="1115">
      <c r="A1115" s="6" t="s">
        <v>2884</v>
      </c>
      <c r="B1115" s="6" t="s">
        <v>162</v>
      </c>
      <c r="C1115" s="6" t="s">
        <v>43</v>
      </c>
      <c r="D1115" s="6" t="s">
        <v>2885</v>
      </c>
      <c r="E1115" s="6" t="s">
        <v>2145</v>
      </c>
      <c r="F1115" s="6" t="s">
        <v>87</v>
      </c>
      <c r="G1115" s="7">
        <v>0.1</v>
      </c>
      <c r="H1115" s="6" t="s">
        <v>1063</v>
      </c>
      <c r="I1115" s="6" t="s">
        <v>20</v>
      </c>
      <c r="J1115" s="6">
        <v>1995.0</v>
      </c>
      <c r="L1115" s="6">
        <v>4.0</v>
      </c>
      <c r="M1115" s="8">
        <f t="shared" si="2"/>
        <v>0.4</v>
      </c>
      <c r="P1115" s="9"/>
    </row>
    <row r="1116">
      <c r="A1116" s="6" t="s">
        <v>2886</v>
      </c>
      <c r="B1116" s="6" t="s">
        <v>47</v>
      </c>
      <c r="C1116" s="6" t="s">
        <v>43</v>
      </c>
      <c r="D1116" s="6" t="s">
        <v>2887</v>
      </c>
      <c r="E1116" s="6" t="s">
        <v>140</v>
      </c>
      <c r="F1116" s="6" t="s">
        <v>87</v>
      </c>
      <c r="G1116" s="7">
        <v>0.2</v>
      </c>
      <c r="H1116" s="6" t="s">
        <v>34</v>
      </c>
      <c r="I1116" s="6" t="s">
        <v>20</v>
      </c>
      <c r="J1116" s="6">
        <v>2025.0</v>
      </c>
      <c r="L1116" s="6">
        <v>1.0</v>
      </c>
      <c r="M1116" s="8">
        <f t="shared" si="2"/>
        <v>0.2</v>
      </c>
      <c r="P1116" s="9"/>
    </row>
    <row r="1117">
      <c r="A1117" s="6" t="s">
        <v>2888</v>
      </c>
      <c r="B1117" s="6" t="s">
        <v>556</v>
      </c>
      <c r="C1117" s="6" t="s">
        <v>37</v>
      </c>
      <c r="D1117" s="6" t="s">
        <v>2889</v>
      </c>
      <c r="E1117" s="6" t="s">
        <v>1117</v>
      </c>
      <c r="F1117" s="6" t="s">
        <v>1118</v>
      </c>
      <c r="G1117" s="7">
        <v>0.1</v>
      </c>
      <c r="H1117" s="6" t="s">
        <v>431</v>
      </c>
      <c r="I1117" s="6" t="s">
        <v>20</v>
      </c>
      <c r="J1117" s="6">
        <v>2019.0</v>
      </c>
      <c r="K1117" s="10">
        <v>46055.0</v>
      </c>
      <c r="L1117" s="6">
        <v>4.0</v>
      </c>
      <c r="M1117" s="8">
        <f t="shared" si="2"/>
        <v>0.4</v>
      </c>
      <c r="P1117" s="9"/>
    </row>
    <row r="1118">
      <c r="A1118" s="6" t="s">
        <v>2890</v>
      </c>
      <c r="B1118" s="6" t="s">
        <v>162</v>
      </c>
      <c r="C1118" s="6" t="s">
        <v>43</v>
      </c>
      <c r="D1118" s="6" t="s">
        <v>2891</v>
      </c>
      <c r="E1118" s="6" t="s">
        <v>140</v>
      </c>
      <c r="F1118" s="6" t="s">
        <v>87</v>
      </c>
      <c r="G1118" s="7">
        <v>0.14</v>
      </c>
      <c r="H1118" s="6" t="s">
        <v>2892</v>
      </c>
      <c r="I1118" s="6" t="s">
        <v>20</v>
      </c>
      <c r="J1118" s="6">
        <v>2016.0</v>
      </c>
      <c r="L1118" s="6">
        <v>2.0</v>
      </c>
      <c r="M1118" s="8">
        <f t="shared" si="2"/>
        <v>0.28</v>
      </c>
      <c r="P1118" s="9"/>
    </row>
    <row r="1119">
      <c r="A1119" s="6" t="s">
        <v>2893</v>
      </c>
      <c r="B1119" s="6" t="s">
        <v>477</v>
      </c>
      <c r="C1119" s="6" t="s">
        <v>43</v>
      </c>
      <c r="D1119" s="6" t="s">
        <v>2894</v>
      </c>
      <c r="E1119" s="6" t="s">
        <v>86</v>
      </c>
      <c r="F1119" s="6" t="s">
        <v>87</v>
      </c>
      <c r="G1119" s="7">
        <v>0.2</v>
      </c>
      <c r="H1119" s="6" t="s">
        <v>88</v>
      </c>
      <c r="I1119" s="6" t="s">
        <v>20</v>
      </c>
      <c r="J1119" s="6">
        <v>2024.0</v>
      </c>
      <c r="K1119" s="10">
        <v>46024.0</v>
      </c>
      <c r="L1119" s="6">
        <v>1.0</v>
      </c>
      <c r="M1119" s="8">
        <f t="shared" si="2"/>
        <v>0.2</v>
      </c>
      <c r="P1119" s="9"/>
    </row>
    <row r="1120">
      <c r="A1120" s="6" t="s">
        <v>2895</v>
      </c>
      <c r="B1120" s="6" t="s">
        <v>494</v>
      </c>
      <c r="C1120" s="6" t="s">
        <v>43</v>
      </c>
      <c r="D1120" s="6" t="s">
        <v>2896</v>
      </c>
      <c r="E1120" s="6" t="s">
        <v>140</v>
      </c>
      <c r="F1120" s="6" t="s">
        <v>87</v>
      </c>
      <c r="G1120" s="7">
        <v>0.05</v>
      </c>
      <c r="H1120" s="6" t="s">
        <v>83</v>
      </c>
      <c r="I1120" s="6" t="s">
        <v>20</v>
      </c>
      <c r="J1120" s="6">
        <v>1995.0</v>
      </c>
      <c r="L1120" s="6">
        <v>6.0</v>
      </c>
      <c r="M1120" s="8">
        <f t="shared" si="2"/>
        <v>0.3</v>
      </c>
      <c r="P1120" s="9"/>
    </row>
    <row r="1121">
      <c r="A1121" s="6" t="s">
        <v>2895</v>
      </c>
      <c r="B1121" s="6" t="s">
        <v>494</v>
      </c>
      <c r="C1121" s="6" t="s">
        <v>43</v>
      </c>
      <c r="D1121" s="6" t="s">
        <v>2896</v>
      </c>
      <c r="E1121" s="6" t="s">
        <v>140</v>
      </c>
      <c r="F1121" s="6" t="s">
        <v>87</v>
      </c>
      <c r="G1121" s="7">
        <v>0.17</v>
      </c>
      <c r="H1121" s="6" t="s">
        <v>1064</v>
      </c>
      <c r="I1121" s="6" t="s">
        <v>20</v>
      </c>
      <c r="J1121" s="6">
        <v>1995.0</v>
      </c>
      <c r="L1121" s="6">
        <v>1.0</v>
      </c>
      <c r="M1121" s="8">
        <f t="shared" si="2"/>
        <v>0.17</v>
      </c>
      <c r="P1121" s="9"/>
    </row>
    <row r="1122">
      <c r="A1122" s="6" t="s">
        <v>2897</v>
      </c>
      <c r="B1122" s="6" t="s">
        <v>1887</v>
      </c>
      <c r="C1122" s="6" t="s">
        <v>37</v>
      </c>
      <c r="D1122" s="6" t="s">
        <v>2898</v>
      </c>
      <c r="E1122" s="6" t="s">
        <v>256</v>
      </c>
      <c r="F1122" s="6" t="s">
        <v>87</v>
      </c>
      <c r="G1122" s="7">
        <v>0.99</v>
      </c>
      <c r="H1122" s="6" t="s">
        <v>180</v>
      </c>
      <c r="I1122" s="6" t="s">
        <v>20</v>
      </c>
      <c r="J1122" s="6">
        <v>2024.0</v>
      </c>
      <c r="K1122" s="10">
        <v>46055.0</v>
      </c>
      <c r="L1122" s="6">
        <v>1.0</v>
      </c>
      <c r="M1122" s="8">
        <f t="shared" si="2"/>
        <v>0.99</v>
      </c>
      <c r="N1122" s="6" t="s">
        <v>122</v>
      </c>
      <c r="P1122" s="9"/>
    </row>
    <row r="1123">
      <c r="A1123" s="6" t="s">
        <v>2899</v>
      </c>
      <c r="B1123" s="6" t="s">
        <v>2900</v>
      </c>
      <c r="C1123" s="6" t="s">
        <v>37</v>
      </c>
      <c r="D1123" s="6" t="s">
        <v>2901</v>
      </c>
      <c r="E1123" s="6" t="s">
        <v>2902</v>
      </c>
      <c r="F1123" s="6" t="s">
        <v>71</v>
      </c>
      <c r="G1123" s="7">
        <v>0.15</v>
      </c>
      <c r="H1123" s="6" t="s">
        <v>2903</v>
      </c>
      <c r="I1123" s="6" t="s">
        <v>20</v>
      </c>
      <c r="J1123" s="6">
        <v>2023.0</v>
      </c>
      <c r="K1123" s="10">
        <v>46114.0</v>
      </c>
      <c r="L1123" s="6">
        <v>1.0</v>
      </c>
      <c r="M1123" s="8">
        <f t="shared" si="2"/>
        <v>0.15</v>
      </c>
      <c r="P1123" s="9"/>
    </row>
    <row r="1124">
      <c r="A1124" s="6" t="s">
        <v>2904</v>
      </c>
      <c r="B1124" s="6" t="s">
        <v>2905</v>
      </c>
      <c r="C1124" s="6" t="s">
        <v>43</v>
      </c>
      <c r="D1124" s="6" t="s">
        <v>2906</v>
      </c>
      <c r="E1124" s="6" t="s">
        <v>107</v>
      </c>
      <c r="F1124" s="6" t="s">
        <v>18</v>
      </c>
      <c r="G1124" s="7">
        <v>0.1</v>
      </c>
      <c r="H1124" s="6" t="s">
        <v>34</v>
      </c>
      <c r="I1124" s="6" t="s">
        <v>20</v>
      </c>
      <c r="J1124" s="6">
        <v>2025.0</v>
      </c>
      <c r="K1124" s="10">
        <v>46054.0</v>
      </c>
      <c r="L1124" s="6">
        <v>2.0</v>
      </c>
      <c r="M1124" s="8">
        <f t="shared" si="2"/>
        <v>0.2</v>
      </c>
      <c r="P1124" s="9"/>
    </row>
    <row r="1125">
      <c r="A1125" s="6" t="s">
        <v>2907</v>
      </c>
      <c r="B1125" s="6" t="s">
        <v>138</v>
      </c>
      <c r="C1125" s="6" t="s">
        <v>43</v>
      </c>
      <c r="D1125" s="6" t="s">
        <v>2908</v>
      </c>
      <c r="E1125" s="6" t="s">
        <v>1634</v>
      </c>
      <c r="F1125" s="6" t="s">
        <v>87</v>
      </c>
      <c r="G1125" s="7">
        <v>0.09</v>
      </c>
      <c r="H1125" s="6" t="s">
        <v>1063</v>
      </c>
      <c r="I1125" s="6" t="s">
        <v>20</v>
      </c>
      <c r="J1125" s="6">
        <v>1995.0</v>
      </c>
      <c r="L1125" s="6">
        <v>1.0</v>
      </c>
      <c r="M1125" s="8">
        <f t="shared" si="2"/>
        <v>0.09</v>
      </c>
      <c r="P1125" s="9"/>
    </row>
    <row r="1126">
      <c r="A1126" s="6" t="s">
        <v>2907</v>
      </c>
      <c r="B1126" s="6" t="s">
        <v>138</v>
      </c>
      <c r="C1126" s="6" t="s">
        <v>43</v>
      </c>
      <c r="D1126" s="6" t="s">
        <v>2908</v>
      </c>
      <c r="E1126" s="6" t="s">
        <v>1634</v>
      </c>
      <c r="F1126" s="6" t="s">
        <v>87</v>
      </c>
      <c r="G1126" s="7">
        <v>0.09</v>
      </c>
      <c r="H1126" s="6" t="s">
        <v>1064</v>
      </c>
      <c r="I1126" s="6" t="s">
        <v>20</v>
      </c>
      <c r="J1126" s="6">
        <v>1995.0</v>
      </c>
      <c r="L1126" s="6">
        <v>1.0</v>
      </c>
      <c r="M1126" s="8">
        <f t="shared" si="2"/>
        <v>0.09</v>
      </c>
      <c r="P1126" s="9"/>
    </row>
    <row r="1127">
      <c r="A1127" s="6" t="s">
        <v>2909</v>
      </c>
      <c r="B1127" s="6" t="s">
        <v>74</v>
      </c>
      <c r="C1127" s="6" t="s">
        <v>43</v>
      </c>
      <c r="D1127" s="6" t="s">
        <v>2910</v>
      </c>
      <c r="E1127" s="6" t="s">
        <v>86</v>
      </c>
      <c r="F1127" s="6" t="s">
        <v>87</v>
      </c>
      <c r="G1127" s="7">
        <v>0.35</v>
      </c>
      <c r="H1127" s="6" t="s">
        <v>113</v>
      </c>
      <c r="I1127" s="6" t="s">
        <v>20</v>
      </c>
      <c r="J1127" s="6">
        <v>2023.0</v>
      </c>
      <c r="L1127" s="6">
        <v>1.0</v>
      </c>
      <c r="M1127" s="8">
        <f t="shared" si="2"/>
        <v>0.35</v>
      </c>
      <c r="P1127" s="9"/>
    </row>
    <row r="1128">
      <c r="A1128" s="6" t="s">
        <v>2909</v>
      </c>
      <c r="B1128" s="6" t="s">
        <v>74</v>
      </c>
      <c r="C1128" s="6" t="s">
        <v>43</v>
      </c>
      <c r="D1128" s="6" t="s">
        <v>2910</v>
      </c>
      <c r="E1128" s="6" t="s">
        <v>86</v>
      </c>
      <c r="F1128" s="6" t="s">
        <v>87</v>
      </c>
      <c r="G1128" s="7">
        <v>1.25</v>
      </c>
      <c r="H1128" s="6" t="s">
        <v>113</v>
      </c>
      <c r="I1128" s="6" t="s">
        <v>45</v>
      </c>
      <c r="J1128" s="6">
        <v>2023.0</v>
      </c>
      <c r="L1128" s="6">
        <v>1.0</v>
      </c>
      <c r="M1128" s="8">
        <f t="shared" si="2"/>
        <v>1.25</v>
      </c>
      <c r="P1128" s="9"/>
    </row>
    <row r="1129">
      <c r="A1129" s="6" t="s">
        <v>2911</v>
      </c>
      <c r="B1129" s="6" t="s">
        <v>2912</v>
      </c>
      <c r="C1129" s="6" t="s">
        <v>156</v>
      </c>
      <c r="D1129" s="6" t="s">
        <v>2913</v>
      </c>
      <c r="E1129" s="6" t="s">
        <v>2914</v>
      </c>
      <c r="F1129" s="6" t="s">
        <v>18</v>
      </c>
      <c r="G1129" s="7">
        <v>0.85</v>
      </c>
      <c r="H1129" s="6" t="s">
        <v>342</v>
      </c>
      <c r="I1129" s="6" t="s">
        <v>45</v>
      </c>
      <c r="J1129" s="6">
        <v>2014.0</v>
      </c>
      <c r="K1129" s="10">
        <v>46179.0</v>
      </c>
      <c r="L1129" s="6">
        <v>1.0</v>
      </c>
      <c r="M1129" s="8">
        <f t="shared" si="2"/>
        <v>0.85</v>
      </c>
      <c r="P1129" s="9"/>
    </row>
    <row r="1130">
      <c r="A1130" s="6" t="s">
        <v>2911</v>
      </c>
      <c r="B1130" s="6" t="s">
        <v>2912</v>
      </c>
      <c r="C1130" s="6" t="s">
        <v>156</v>
      </c>
      <c r="D1130" s="6" t="s">
        <v>2913</v>
      </c>
      <c r="E1130" s="6" t="s">
        <v>2914</v>
      </c>
      <c r="F1130" s="6" t="s">
        <v>18</v>
      </c>
      <c r="G1130" s="7">
        <v>0.56</v>
      </c>
      <c r="H1130" s="6" t="s">
        <v>342</v>
      </c>
      <c r="I1130" s="6" t="s">
        <v>20</v>
      </c>
      <c r="J1130" s="6">
        <v>2014.0</v>
      </c>
      <c r="K1130" s="10">
        <v>46179.0</v>
      </c>
      <c r="L1130" s="6">
        <v>2.0</v>
      </c>
      <c r="M1130" s="8">
        <f t="shared" si="2"/>
        <v>1.12</v>
      </c>
      <c r="P1130" s="9"/>
    </row>
    <row r="1131">
      <c r="A1131" s="6" t="s">
        <v>2915</v>
      </c>
      <c r="B1131" s="6" t="s">
        <v>2916</v>
      </c>
      <c r="C1131" s="6" t="s">
        <v>37</v>
      </c>
      <c r="D1131" s="6" t="s">
        <v>2917</v>
      </c>
      <c r="E1131" s="6" t="s">
        <v>356</v>
      </c>
      <c r="F1131" s="6" t="s">
        <v>87</v>
      </c>
      <c r="G1131" s="7">
        <v>0.05</v>
      </c>
      <c r="H1131" s="6" t="s">
        <v>187</v>
      </c>
      <c r="I1131" s="6" t="s">
        <v>20</v>
      </c>
      <c r="J1131" s="6">
        <v>1995.0</v>
      </c>
      <c r="K1131" s="10">
        <v>46083.0</v>
      </c>
      <c r="L1131" s="6">
        <v>1.0</v>
      </c>
      <c r="M1131" s="8">
        <f t="shared" si="2"/>
        <v>0.05</v>
      </c>
      <c r="P1131" s="9"/>
    </row>
    <row r="1132">
      <c r="A1132" s="6" t="s">
        <v>2918</v>
      </c>
      <c r="B1132" s="6" t="s">
        <v>74</v>
      </c>
      <c r="C1132" s="6" t="s">
        <v>43</v>
      </c>
      <c r="D1132" s="6" t="s">
        <v>2919</v>
      </c>
      <c r="E1132" s="6" t="s">
        <v>140</v>
      </c>
      <c r="F1132" s="6" t="s">
        <v>87</v>
      </c>
      <c r="G1132" s="7">
        <v>0.04</v>
      </c>
      <c r="H1132" s="6" t="s">
        <v>89</v>
      </c>
      <c r="I1132" s="6" t="s">
        <v>20</v>
      </c>
      <c r="J1132" s="6">
        <v>2021.0</v>
      </c>
      <c r="L1132" s="6">
        <v>1.0</v>
      </c>
      <c r="M1132" s="8">
        <f t="shared" si="2"/>
        <v>0.04</v>
      </c>
      <c r="P1132" s="9"/>
    </row>
    <row r="1133">
      <c r="A1133" s="6" t="s">
        <v>2920</v>
      </c>
      <c r="B1133" s="6" t="s">
        <v>2921</v>
      </c>
      <c r="C1133" s="6" t="s">
        <v>377</v>
      </c>
      <c r="D1133" s="6" t="s">
        <v>2922</v>
      </c>
      <c r="E1133" s="6" t="s">
        <v>86</v>
      </c>
      <c r="F1133" s="6" t="s">
        <v>2822</v>
      </c>
      <c r="G1133" s="7">
        <v>0.2</v>
      </c>
      <c r="H1133" s="6" t="s">
        <v>471</v>
      </c>
      <c r="I1133" s="6" t="s">
        <v>45</v>
      </c>
      <c r="J1133" s="6">
        <v>2026.0</v>
      </c>
      <c r="K1133" s="10">
        <v>46055.0</v>
      </c>
      <c r="L1133" s="6">
        <v>1.0</v>
      </c>
      <c r="M1133" s="8">
        <f t="shared" si="2"/>
        <v>0.2</v>
      </c>
      <c r="P1133" s="9"/>
    </row>
    <row r="1134">
      <c r="A1134" s="6" t="s">
        <v>2920</v>
      </c>
      <c r="B1134" s="6" t="s">
        <v>2921</v>
      </c>
      <c r="C1134" s="6" t="s">
        <v>377</v>
      </c>
      <c r="D1134" s="6" t="s">
        <v>2922</v>
      </c>
      <c r="E1134" s="6" t="s">
        <v>86</v>
      </c>
      <c r="F1134" s="6" t="s">
        <v>2822</v>
      </c>
      <c r="G1134" s="7">
        <v>0.1</v>
      </c>
      <c r="H1134" s="6" t="s">
        <v>471</v>
      </c>
      <c r="I1134" s="6" t="s">
        <v>20</v>
      </c>
      <c r="J1134" s="6">
        <v>2026.0</v>
      </c>
      <c r="K1134" s="10">
        <v>46055.0</v>
      </c>
      <c r="L1134" s="6">
        <v>1.0</v>
      </c>
      <c r="M1134" s="8">
        <f t="shared" si="2"/>
        <v>0.1</v>
      </c>
      <c r="P1134" s="9"/>
    </row>
    <row r="1135">
      <c r="A1135" s="6" t="s">
        <v>2923</v>
      </c>
      <c r="B1135" s="6" t="s">
        <v>2924</v>
      </c>
      <c r="C1135" s="6" t="s">
        <v>15</v>
      </c>
      <c r="D1135" s="6" t="s">
        <v>2925</v>
      </c>
      <c r="E1135" s="6" t="s">
        <v>2926</v>
      </c>
      <c r="F1135" s="6" t="s">
        <v>665</v>
      </c>
      <c r="G1135" s="7">
        <v>0.09</v>
      </c>
      <c r="H1135" s="6" t="s">
        <v>130</v>
      </c>
      <c r="I1135" s="6" t="s">
        <v>20</v>
      </c>
      <c r="J1135" s="6">
        <v>2014.0</v>
      </c>
      <c r="K1135" s="10">
        <v>46055.0</v>
      </c>
      <c r="L1135" s="6">
        <v>1.0</v>
      </c>
      <c r="M1135" s="8">
        <f t="shared" si="2"/>
        <v>0.09</v>
      </c>
      <c r="P1135" s="9"/>
    </row>
    <row r="1136">
      <c r="A1136" s="6" t="s">
        <v>2927</v>
      </c>
      <c r="B1136" s="6" t="s">
        <v>1477</v>
      </c>
      <c r="C1136" s="6" t="s">
        <v>43</v>
      </c>
      <c r="D1136" s="6" t="s">
        <v>2928</v>
      </c>
      <c r="E1136" s="6" t="s">
        <v>389</v>
      </c>
      <c r="F1136" s="6" t="s">
        <v>87</v>
      </c>
      <c r="G1136" s="7">
        <v>0.11</v>
      </c>
      <c r="H1136" s="6" t="s">
        <v>471</v>
      </c>
      <c r="I1136" s="6" t="s">
        <v>20</v>
      </c>
      <c r="J1136" s="6">
        <v>2026.0</v>
      </c>
      <c r="K1136" s="10">
        <v>46085.0</v>
      </c>
      <c r="L1136" s="6">
        <v>1.0</v>
      </c>
      <c r="M1136" s="8">
        <f t="shared" si="2"/>
        <v>0.11</v>
      </c>
      <c r="P1136" s="9"/>
    </row>
    <row r="1137">
      <c r="A1137" s="6" t="s">
        <v>2929</v>
      </c>
      <c r="B1137" s="6" t="s">
        <v>836</v>
      </c>
      <c r="C1137" s="6" t="s">
        <v>37</v>
      </c>
      <c r="D1137" s="6" t="s">
        <v>2930</v>
      </c>
      <c r="E1137" s="6" t="s">
        <v>256</v>
      </c>
      <c r="F1137" s="6" t="s">
        <v>87</v>
      </c>
      <c r="G1137" s="7">
        <v>0.08</v>
      </c>
      <c r="H1137" s="6" t="s">
        <v>464</v>
      </c>
      <c r="I1137" s="6" t="s">
        <v>20</v>
      </c>
      <c r="J1137" s="6">
        <v>2002.0</v>
      </c>
      <c r="K1137" s="10">
        <v>46024.0</v>
      </c>
      <c r="L1137" s="6">
        <v>1.0</v>
      </c>
      <c r="M1137" s="8">
        <f t="shared" si="2"/>
        <v>0.08</v>
      </c>
      <c r="P1137" s="9"/>
    </row>
    <row r="1138">
      <c r="A1138" s="6" t="s">
        <v>2931</v>
      </c>
      <c r="B1138" s="6" t="s">
        <v>2932</v>
      </c>
      <c r="C1138" s="6" t="s">
        <v>30</v>
      </c>
      <c r="D1138" s="6" t="s">
        <v>2933</v>
      </c>
      <c r="E1138" s="6" t="s">
        <v>753</v>
      </c>
      <c r="F1138" s="6" t="s">
        <v>87</v>
      </c>
      <c r="G1138" s="7">
        <v>0.19</v>
      </c>
      <c r="H1138" s="6" t="s">
        <v>1493</v>
      </c>
      <c r="I1138" s="6" t="s">
        <v>20</v>
      </c>
      <c r="J1138" s="6">
        <v>2015.0</v>
      </c>
      <c r="K1138" s="10">
        <v>46055.0</v>
      </c>
      <c r="L1138" s="6">
        <v>1.0</v>
      </c>
      <c r="M1138" s="8">
        <f t="shared" si="2"/>
        <v>0.19</v>
      </c>
      <c r="P1138" s="9"/>
    </row>
    <row r="1139">
      <c r="A1139" s="6" t="s">
        <v>2934</v>
      </c>
      <c r="B1139" s="6" t="s">
        <v>2935</v>
      </c>
      <c r="C1139" s="6" t="s">
        <v>37</v>
      </c>
      <c r="D1139" s="6" t="s">
        <v>2936</v>
      </c>
      <c r="E1139" s="6" t="s">
        <v>256</v>
      </c>
      <c r="F1139" s="6" t="s">
        <v>87</v>
      </c>
      <c r="G1139" s="7">
        <v>0.09</v>
      </c>
      <c r="H1139" s="6" t="s">
        <v>2937</v>
      </c>
      <c r="I1139" s="6" t="s">
        <v>20</v>
      </c>
      <c r="J1139" s="6">
        <v>2018.0</v>
      </c>
      <c r="K1139" s="10">
        <v>46055.0</v>
      </c>
      <c r="L1139" s="6">
        <v>1.0</v>
      </c>
      <c r="M1139" s="8">
        <f t="shared" si="2"/>
        <v>0.09</v>
      </c>
      <c r="P1139" s="9"/>
    </row>
    <row r="1140">
      <c r="A1140" s="6" t="s">
        <v>2938</v>
      </c>
      <c r="B1140" s="6" t="s">
        <v>74</v>
      </c>
      <c r="C1140" s="6" t="s">
        <v>43</v>
      </c>
      <c r="D1140" s="6" t="s">
        <v>2939</v>
      </c>
      <c r="E1140" s="6" t="s">
        <v>256</v>
      </c>
      <c r="F1140" s="6" t="s">
        <v>87</v>
      </c>
      <c r="G1140" s="7">
        <v>0.05</v>
      </c>
      <c r="H1140" s="6" t="s">
        <v>187</v>
      </c>
      <c r="I1140" s="6" t="s">
        <v>20</v>
      </c>
      <c r="J1140" s="6">
        <v>1995.0</v>
      </c>
      <c r="L1140" s="6">
        <v>3.0</v>
      </c>
      <c r="M1140" s="8">
        <f t="shared" si="2"/>
        <v>0.15</v>
      </c>
      <c r="P1140" s="9"/>
    </row>
    <row r="1141">
      <c r="A1141" s="6" t="s">
        <v>2940</v>
      </c>
      <c r="B1141" s="6" t="s">
        <v>1477</v>
      </c>
      <c r="C1141" s="6" t="s">
        <v>43</v>
      </c>
      <c r="D1141" s="6" t="s">
        <v>2941</v>
      </c>
      <c r="E1141" s="6" t="s">
        <v>2942</v>
      </c>
      <c r="F1141" s="6" t="s">
        <v>50</v>
      </c>
      <c r="G1141" s="7">
        <v>0.11</v>
      </c>
      <c r="H1141" s="6" t="s">
        <v>471</v>
      </c>
      <c r="I1141" s="6" t="s">
        <v>20</v>
      </c>
      <c r="J1141" s="6">
        <v>2026.0</v>
      </c>
      <c r="K1141" s="10">
        <v>46056.0</v>
      </c>
      <c r="L1141" s="6">
        <v>1.0</v>
      </c>
      <c r="M1141" s="8">
        <f t="shared" si="2"/>
        <v>0.11</v>
      </c>
      <c r="P1141" s="9"/>
    </row>
    <row r="1142">
      <c r="A1142" s="6" t="s">
        <v>2943</v>
      </c>
      <c r="B1142" s="6" t="s">
        <v>162</v>
      </c>
      <c r="C1142" s="6" t="s">
        <v>37</v>
      </c>
      <c r="D1142" s="6" t="s">
        <v>2944</v>
      </c>
      <c r="E1142" s="6" t="s">
        <v>389</v>
      </c>
      <c r="F1142" s="6" t="s">
        <v>87</v>
      </c>
      <c r="G1142" s="7">
        <v>0.41</v>
      </c>
      <c r="H1142" s="6" t="s">
        <v>2945</v>
      </c>
      <c r="I1142" s="6" t="s">
        <v>20</v>
      </c>
      <c r="J1142" s="6">
        <v>2003.0</v>
      </c>
      <c r="L1142" s="6">
        <v>1.0</v>
      </c>
      <c r="M1142" s="8">
        <f t="shared" si="2"/>
        <v>0.41</v>
      </c>
      <c r="P1142" s="9"/>
    </row>
    <row r="1143">
      <c r="A1143" s="6" t="s">
        <v>2943</v>
      </c>
      <c r="B1143" s="6" t="s">
        <v>162</v>
      </c>
      <c r="C1143" s="6" t="s">
        <v>37</v>
      </c>
      <c r="D1143" s="6" t="s">
        <v>2944</v>
      </c>
      <c r="E1143" s="6" t="s">
        <v>389</v>
      </c>
      <c r="F1143" s="6" t="s">
        <v>87</v>
      </c>
      <c r="G1143" s="7">
        <v>0.19</v>
      </c>
      <c r="H1143" s="6" t="s">
        <v>83</v>
      </c>
      <c r="I1143" s="6" t="s">
        <v>20</v>
      </c>
      <c r="J1143" s="6">
        <v>1995.0</v>
      </c>
      <c r="L1143" s="6">
        <v>1.0</v>
      </c>
      <c r="M1143" s="8">
        <f t="shared" si="2"/>
        <v>0.19</v>
      </c>
      <c r="P1143" s="9"/>
    </row>
    <row r="1144">
      <c r="A1144" s="6" t="s">
        <v>2943</v>
      </c>
      <c r="B1144" s="6" t="s">
        <v>162</v>
      </c>
      <c r="C1144" s="6" t="s">
        <v>37</v>
      </c>
      <c r="D1144" s="6" t="s">
        <v>2944</v>
      </c>
      <c r="E1144" s="6" t="s">
        <v>389</v>
      </c>
      <c r="F1144" s="6" t="s">
        <v>87</v>
      </c>
      <c r="G1144" s="7">
        <v>0.75</v>
      </c>
      <c r="H1144" s="6" t="s">
        <v>1064</v>
      </c>
      <c r="I1144" s="6" t="s">
        <v>20</v>
      </c>
      <c r="J1144" s="6">
        <v>1995.0</v>
      </c>
      <c r="L1144" s="6">
        <v>1.0</v>
      </c>
      <c r="M1144" s="8">
        <f t="shared" si="2"/>
        <v>0.75</v>
      </c>
      <c r="P1144" s="9"/>
    </row>
    <row r="1145">
      <c r="A1145" s="6" t="s">
        <v>2946</v>
      </c>
      <c r="B1145" s="6" t="s">
        <v>2947</v>
      </c>
      <c r="C1145" s="6" t="s">
        <v>37</v>
      </c>
      <c r="D1145" s="6" t="s">
        <v>2948</v>
      </c>
      <c r="E1145" s="6" t="s">
        <v>2949</v>
      </c>
      <c r="F1145" s="6" t="s">
        <v>112</v>
      </c>
      <c r="G1145" s="7">
        <v>0.3</v>
      </c>
      <c r="H1145" s="6" t="s">
        <v>104</v>
      </c>
      <c r="I1145" s="6" t="s">
        <v>45</v>
      </c>
      <c r="J1145" s="6">
        <v>2019.0</v>
      </c>
      <c r="K1145" s="10">
        <v>46054.0</v>
      </c>
      <c r="L1145" s="6">
        <v>1.0</v>
      </c>
      <c r="M1145" s="8">
        <f t="shared" si="2"/>
        <v>0.3</v>
      </c>
      <c r="P1145" s="9"/>
    </row>
    <row r="1146">
      <c r="A1146" s="6" t="s">
        <v>2950</v>
      </c>
      <c r="B1146" s="6" t="s">
        <v>1471</v>
      </c>
      <c r="C1146" s="6" t="s">
        <v>30</v>
      </c>
      <c r="D1146" s="6" t="s">
        <v>2951</v>
      </c>
      <c r="E1146" s="6" t="s">
        <v>1486</v>
      </c>
      <c r="F1146" s="6" t="s">
        <v>87</v>
      </c>
      <c r="G1146" s="7">
        <v>0.35</v>
      </c>
      <c r="H1146" s="6" t="s">
        <v>1148</v>
      </c>
      <c r="I1146" s="6" t="s">
        <v>20</v>
      </c>
      <c r="J1146" s="6">
        <v>2012.0</v>
      </c>
      <c r="K1146" s="10">
        <v>46057.0</v>
      </c>
      <c r="L1146" s="6">
        <v>1.0</v>
      </c>
      <c r="M1146" s="8">
        <f t="shared" si="2"/>
        <v>0.35</v>
      </c>
      <c r="P1146" s="9"/>
    </row>
    <row r="1147">
      <c r="A1147" s="6" t="s">
        <v>2952</v>
      </c>
      <c r="B1147" s="6" t="s">
        <v>606</v>
      </c>
      <c r="C1147" s="6" t="s">
        <v>23</v>
      </c>
      <c r="D1147" s="6" t="s">
        <v>2953</v>
      </c>
      <c r="E1147" s="6" t="s">
        <v>2709</v>
      </c>
      <c r="F1147" s="6" t="s">
        <v>18</v>
      </c>
      <c r="G1147" s="7">
        <v>0.06</v>
      </c>
      <c r="H1147" s="6" t="s">
        <v>130</v>
      </c>
      <c r="I1147" s="6" t="s">
        <v>20</v>
      </c>
      <c r="J1147" s="6">
        <v>2014.0</v>
      </c>
      <c r="L1147" s="6">
        <v>1.0</v>
      </c>
      <c r="M1147" s="8">
        <f t="shared" si="2"/>
        <v>0.06</v>
      </c>
      <c r="P1147" s="9"/>
    </row>
    <row r="1148">
      <c r="A1148" s="6" t="s">
        <v>2954</v>
      </c>
      <c r="B1148" s="6" t="s">
        <v>1384</v>
      </c>
      <c r="C1148" s="6" t="s">
        <v>43</v>
      </c>
      <c r="D1148" s="6" t="s">
        <v>2955</v>
      </c>
      <c r="E1148" s="6" t="s">
        <v>164</v>
      </c>
      <c r="F1148" s="6" t="s">
        <v>112</v>
      </c>
      <c r="G1148" s="7">
        <v>0.05</v>
      </c>
      <c r="H1148" s="6" t="s">
        <v>475</v>
      </c>
      <c r="I1148" s="6" t="s">
        <v>20</v>
      </c>
      <c r="J1148" s="6">
        <v>2024.0</v>
      </c>
      <c r="K1148" s="10">
        <v>46055.0</v>
      </c>
      <c r="L1148" s="6">
        <v>1.0</v>
      </c>
      <c r="M1148" s="8">
        <f t="shared" si="2"/>
        <v>0.05</v>
      </c>
      <c r="P1148" s="9"/>
    </row>
    <row r="1149">
      <c r="A1149" s="6" t="s">
        <v>2956</v>
      </c>
      <c r="B1149" s="6" t="s">
        <v>2957</v>
      </c>
      <c r="C1149" s="6" t="s">
        <v>15</v>
      </c>
      <c r="D1149" s="6" t="s">
        <v>2958</v>
      </c>
      <c r="E1149" s="6" t="s">
        <v>2959</v>
      </c>
      <c r="F1149" s="6" t="s">
        <v>77</v>
      </c>
      <c r="G1149" s="7">
        <v>1.19</v>
      </c>
      <c r="H1149" s="6" t="s">
        <v>2960</v>
      </c>
      <c r="I1149" s="6" t="s">
        <v>20</v>
      </c>
      <c r="J1149" s="6">
        <v>2018.0</v>
      </c>
      <c r="K1149" s="10">
        <v>46025.0</v>
      </c>
      <c r="L1149" s="6">
        <v>1.0</v>
      </c>
      <c r="M1149" s="8">
        <f t="shared" si="2"/>
        <v>1.19</v>
      </c>
      <c r="P1149" s="9"/>
    </row>
    <row r="1150">
      <c r="A1150" s="6" t="s">
        <v>2956</v>
      </c>
      <c r="B1150" s="6" t="s">
        <v>2957</v>
      </c>
      <c r="C1150" s="6" t="s">
        <v>15</v>
      </c>
      <c r="D1150" s="6" t="s">
        <v>2958</v>
      </c>
      <c r="E1150" s="6" t="s">
        <v>2959</v>
      </c>
      <c r="F1150" s="6" t="s">
        <v>77</v>
      </c>
      <c r="G1150" s="7">
        <v>0.49</v>
      </c>
      <c r="H1150" s="6" t="s">
        <v>130</v>
      </c>
      <c r="I1150" s="6" t="s">
        <v>20</v>
      </c>
      <c r="J1150" s="6">
        <v>2014.0</v>
      </c>
      <c r="K1150" s="10">
        <v>46025.0</v>
      </c>
      <c r="L1150" s="6">
        <v>1.0</v>
      </c>
      <c r="M1150" s="8">
        <f t="shared" si="2"/>
        <v>0.49</v>
      </c>
      <c r="P1150" s="9"/>
    </row>
    <row r="1151">
      <c r="A1151" s="6" t="s">
        <v>2956</v>
      </c>
      <c r="B1151" s="6" t="s">
        <v>2957</v>
      </c>
      <c r="C1151" s="6" t="s">
        <v>15</v>
      </c>
      <c r="D1151" s="6" t="s">
        <v>2958</v>
      </c>
      <c r="E1151" s="6" t="s">
        <v>2959</v>
      </c>
      <c r="F1151" s="6" t="s">
        <v>77</v>
      </c>
      <c r="G1151" s="7">
        <v>0.4</v>
      </c>
      <c r="H1151" s="6" t="s">
        <v>2961</v>
      </c>
      <c r="I1151" s="6" t="s">
        <v>20</v>
      </c>
      <c r="J1151" s="6">
        <v>2015.0</v>
      </c>
      <c r="K1151" s="10">
        <v>46025.0</v>
      </c>
      <c r="L1151" s="6">
        <v>2.0</v>
      </c>
      <c r="M1151" s="8">
        <f t="shared" si="2"/>
        <v>0.8</v>
      </c>
      <c r="P1151" s="9"/>
    </row>
    <row r="1152">
      <c r="A1152" s="6" t="s">
        <v>2962</v>
      </c>
      <c r="B1152" s="6" t="s">
        <v>2963</v>
      </c>
      <c r="C1152" s="6" t="s">
        <v>43</v>
      </c>
      <c r="D1152" s="6" t="s">
        <v>2964</v>
      </c>
      <c r="E1152" s="6" t="s">
        <v>76</v>
      </c>
      <c r="F1152" s="6" t="s">
        <v>77</v>
      </c>
      <c r="G1152" s="7">
        <v>0.04</v>
      </c>
      <c r="H1152" s="6" t="s">
        <v>496</v>
      </c>
      <c r="I1152" s="6" t="s">
        <v>20</v>
      </c>
      <c r="J1152" s="6">
        <v>2013.0</v>
      </c>
      <c r="K1152" s="10">
        <v>46055.0</v>
      </c>
      <c r="L1152" s="6">
        <v>1.0</v>
      </c>
      <c r="M1152" s="8">
        <f t="shared" si="2"/>
        <v>0.04</v>
      </c>
      <c r="P1152" s="9"/>
    </row>
    <row r="1153">
      <c r="A1153" s="6" t="s">
        <v>2965</v>
      </c>
      <c r="B1153" s="6" t="s">
        <v>2966</v>
      </c>
      <c r="C1153" s="6" t="s">
        <v>43</v>
      </c>
      <c r="D1153" s="6" t="s">
        <v>2967</v>
      </c>
      <c r="E1153" s="6" t="s">
        <v>224</v>
      </c>
      <c r="F1153" s="6" t="s">
        <v>18</v>
      </c>
      <c r="G1153" s="7">
        <v>0.08</v>
      </c>
      <c r="H1153" s="6" t="s">
        <v>34</v>
      </c>
      <c r="I1153" s="6" t="s">
        <v>20</v>
      </c>
      <c r="J1153" s="6">
        <v>2025.0</v>
      </c>
      <c r="K1153" s="10">
        <v>46144.0</v>
      </c>
      <c r="L1153" s="6">
        <v>1.0</v>
      </c>
      <c r="M1153" s="8">
        <f t="shared" si="2"/>
        <v>0.08</v>
      </c>
      <c r="P1153" s="9"/>
    </row>
    <row r="1154">
      <c r="A1154" s="6" t="s">
        <v>2968</v>
      </c>
      <c r="B1154" s="6" t="s">
        <v>2969</v>
      </c>
      <c r="C1154" s="6" t="s">
        <v>23</v>
      </c>
      <c r="D1154" s="6" t="s">
        <v>2970</v>
      </c>
      <c r="E1154" s="6" t="s">
        <v>252</v>
      </c>
      <c r="F1154" s="6" t="s">
        <v>40</v>
      </c>
      <c r="G1154" s="7">
        <v>0.05</v>
      </c>
      <c r="H1154" s="6" t="s">
        <v>780</v>
      </c>
      <c r="I1154" s="6" t="s">
        <v>20</v>
      </c>
      <c r="J1154" s="6">
        <v>2025.0</v>
      </c>
      <c r="K1154" s="10">
        <v>46084.0</v>
      </c>
      <c r="L1154" s="6">
        <v>1.0</v>
      </c>
      <c r="M1154" s="8">
        <f t="shared" si="2"/>
        <v>0.05</v>
      </c>
      <c r="P1154" s="9"/>
    </row>
    <row r="1155">
      <c r="A1155" s="6" t="s">
        <v>2971</v>
      </c>
      <c r="B1155" s="6" t="s">
        <v>74</v>
      </c>
      <c r="C1155" s="6" t="s">
        <v>43</v>
      </c>
      <c r="D1155" s="6" t="s">
        <v>2972</v>
      </c>
      <c r="E1155" s="6" t="s">
        <v>86</v>
      </c>
      <c r="F1155" s="6" t="s">
        <v>87</v>
      </c>
      <c r="G1155" s="7">
        <v>0.5</v>
      </c>
      <c r="H1155" s="6" t="s">
        <v>104</v>
      </c>
      <c r="I1155" s="6" t="s">
        <v>45</v>
      </c>
      <c r="J1155" s="6">
        <v>2019.0</v>
      </c>
      <c r="L1155" s="6">
        <v>2.0</v>
      </c>
      <c r="M1155" s="8">
        <f t="shared" si="2"/>
        <v>1</v>
      </c>
      <c r="P1155" s="9"/>
    </row>
    <row r="1156">
      <c r="A1156" s="6" t="s">
        <v>2973</v>
      </c>
      <c r="B1156" s="6" t="s">
        <v>2974</v>
      </c>
      <c r="C1156" s="6" t="s">
        <v>37</v>
      </c>
      <c r="D1156" s="6" t="s">
        <v>2975</v>
      </c>
      <c r="E1156" s="6" t="s">
        <v>107</v>
      </c>
      <c r="F1156" s="6" t="s">
        <v>18</v>
      </c>
      <c r="G1156" s="7">
        <v>1.65</v>
      </c>
      <c r="H1156" s="6" t="s">
        <v>475</v>
      </c>
      <c r="I1156" s="6" t="s">
        <v>20</v>
      </c>
      <c r="J1156" s="6">
        <v>2024.0</v>
      </c>
      <c r="K1156" s="10">
        <v>46024.0</v>
      </c>
      <c r="L1156" s="6">
        <v>2.0</v>
      </c>
      <c r="M1156" s="8">
        <f t="shared" si="2"/>
        <v>3.3</v>
      </c>
      <c r="N1156" s="6" t="s">
        <v>122</v>
      </c>
      <c r="P1156" s="9"/>
    </row>
    <row r="1157">
      <c r="A1157" s="6" t="s">
        <v>2976</v>
      </c>
      <c r="B1157" s="6" t="s">
        <v>2977</v>
      </c>
      <c r="C1157" s="6" t="s">
        <v>37</v>
      </c>
      <c r="D1157" s="6" t="s">
        <v>2978</v>
      </c>
      <c r="E1157" s="6" t="s">
        <v>1702</v>
      </c>
      <c r="F1157" s="6" t="s">
        <v>112</v>
      </c>
      <c r="G1157" s="7">
        <v>0.15</v>
      </c>
      <c r="H1157" s="6" t="s">
        <v>34</v>
      </c>
      <c r="I1157" s="6" t="s">
        <v>20</v>
      </c>
      <c r="J1157" s="6">
        <v>2025.0</v>
      </c>
      <c r="K1157" s="10">
        <v>46116.0</v>
      </c>
      <c r="L1157" s="6">
        <v>1.0</v>
      </c>
      <c r="M1157" s="8">
        <f t="shared" si="2"/>
        <v>0.15</v>
      </c>
      <c r="P1157" s="9"/>
    </row>
    <row r="1158">
      <c r="A1158" s="6" t="s">
        <v>2979</v>
      </c>
      <c r="B1158" s="6" t="s">
        <v>2980</v>
      </c>
      <c r="C1158" s="6" t="s">
        <v>37</v>
      </c>
      <c r="D1158" s="6" t="s">
        <v>2981</v>
      </c>
      <c r="E1158" s="6" t="s">
        <v>2982</v>
      </c>
      <c r="F1158" s="6" t="s">
        <v>2983</v>
      </c>
      <c r="G1158" s="7">
        <v>0.1</v>
      </c>
      <c r="H1158" s="6" t="s">
        <v>238</v>
      </c>
      <c r="I1158" s="6" t="s">
        <v>20</v>
      </c>
      <c r="J1158" s="6">
        <v>2024.0</v>
      </c>
      <c r="L1158" s="6">
        <v>1.0</v>
      </c>
      <c r="M1158" s="8">
        <f t="shared" si="2"/>
        <v>0.1</v>
      </c>
      <c r="P1158" s="9"/>
    </row>
    <row r="1159">
      <c r="A1159" s="6" t="s">
        <v>2984</v>
      </c>
      <c r="B1159" s="6" t="s">
        <v>2985</v>
      </c>
      <c r="C1159" s="6" t="s">
        <v>43</v>
      </c>
      <c r="D1159" s="6" t="s">
        <v>2986</v>
      </c>
      <c r="E1159" s="6" t="s">
        <v>1702</v>
      </c>
      <c r="F1159" s="6" t="s">
        <v>112</v>
      </c>
      <c r="G1159" s="7">
        <v>0.09</v>
      </c>
      <c r="H1159" s="6" t="s">
        <v>89</v>
      </c>
      <c r="I1159" s="6" t="s">
        <v>20</v>
      </c>
      <c r="J1159" s="6">
        <v>2021.0</v>
      </c>
      <c r="K1159" s="10">
        <v>46179.0</v>
      </c>
      <c r="L1159" s="6">
        <v>2.0</v>
      </c>
      <c r="M1159" s="8">
        <f t="shared" si="2"/>
        <v>0.18</v>
      </c>
      <c r="P1159" s="9"/>
    </row>
    <row r="1160">
      <c r="A1160" s="6" t="s">
        <v>2987</v>
      </c>
      <c r="B1160" s="6" t="s">
        <v>219</v>
      </c>
      <c r="C1160" s="6" t="s">
        <v>30</v>
      </c>
      <c r="D1160" s="6" t="s">
        <v>2988</v>
      </c>
      <c r="E1160" s="6" t="s">
        <v>994</v>
      </c>
      <c r="F1160" s="6" t="s">
        <v>26</v>
      </c>
      <c r="G1160" s="7">
        <v>2.8</v>
      </c>
      <c r="H1160" s="6" t="s">
        <v>316</v>
      </c>
      <c r="I1160" s="6" t="s">
        <v>20</v>
      </c>
      <c r="J1160" s="6">
        <v>1995.0</v>
      </c>
      <c r="L1160" s="6">
        <v>1.0</v>
      </c>
      <c r="M1160" s="8">
        <f t="shared" si="2"/>
        <v>2.8</v>
      </c>
      <c r="N1160" s="6" t="s">
        <v>122</v>
      </c>
      <c r="P1160" s="9"/>
    </row>
    <row r="1161">
      <c r="A1161" s="6" t="s">
        <v>2989</v>
      </c>
      <c r="B1161" s="6" t="s">
        <v>2990</v>
      </c>
      <c r="C1161" s="6" t="s">
        <v>23</v>
      </c>
      <c r="D1161" s="6" t="s">
        <v>2991</v>
      </c>
      <c r="E1161" s="6" t="s">
        <v>2992</v>
      </c>
      <c r="F1161" s="6" t="s">
        <v>112</v>
      </c>
      <c r="G1161" s="7">
        <v>0.2</v>
      </c>
      <c r="H1161" s="6" t="s">
        <v>1784</v>
      </c>
      <c r="I1161" s="6" t="s">
        <v>20</v>
      </c>
      <c r="J1161" s="6">
        <v>2026.0</v>
      </c>
      <c r="K1161" s="10">
        <v>46084.0</v>
      </c>
      <c r="L1161" s="6">
        <v>2.0</v>
      </c>
      <c r="M1161" s="8">
        <f t="shared" si="2"/>
        <v>0.4</v>
      </c>
      <c r="P1161" s="9"/>
    </row>
    <row r="1162">
      <c r="A1162" s="6" t="s">
        <v>2993</v>
      </c>
      <c r="B1162" s="6" t="s">
        <v>494</v>
      </c>
      <c r="C1162" s="6" t="s">
        <v>43</v>
      </c>
      <c r="D1162" s="6" t="s">
        <v>2994</v>
      </c>
      <c r="E1162" s="6" t="s">
        <v>57</v>
      </c>
      <c r="F1162" s="6" t="s">
        <v>40</v>
      </c>
      <c r="G1162" s="7">
        <v>0.29</v>
      </c>
      <c r="H1162" s="6" t="s">
        <v>19</v>
      </c>
      <c r="I1162" s="6" t="s">
        <v>45</v>
      </c>
      <c r="J1162" s="6">
        <v>2023.0</v>
      </c>
      <c r="L1162" s="6">
        <v>1.0</v>
      </c>
      <c r="M1162" s="8">
        <f t="shared" si="2"/>
        <v>0.29</v>
      </c>
      <c r="P1162" s="9"/>
    </row>
    <row r="1163">
      <c r="A1163" s="6" t="s">
        <v>2995</v>
      </c>
      <c r="B1163" s="6" t="s">
        <v>2996</v>
      </c>
      <c r="C1163" s="6" t="s">
        <v>43</v>
      </c>
      <c r="D1163" s="6" t="s">
        <v>2997</v>
      </c>
      <c r="E1163" s="6" t="s">
        <v>248</v>
      </c>
      <c r="F1163" s="6" t="s">
        <v>77</v>
      </c>
      <c r="G1163" s="7">
        <v>0.06</v>
      </c>
      <c r="H1163" s="6" t="s">
        <v>34</v>
      </c>
      <c r="I1163" s="6" t="s">
        <v>20</v>
      </c>
      <c r="J1163" s="6">
        <v>2025.0</v>
      </c>
      <c r="K1163" s="10">
        <v>46115.0</v>
      </c>
      <c r="L1163" s="6">
        <v>2.0</v>
      </c>
      <c r="M1163" s="8">
        <f t="shared" si="2"/>
        <v>0.12</v>
      </c>
      <c r="P1163" s="9"/>
    </row>
    <row r="1164">
      <c r="A1164" s="6" t="s">
        <v>2998</v>
      </c>
      <c r="B1164" s="6" t="s">
        <v>2999</v>
      </c>
      <c r="C1164" s="6" t="s">
        <v>43</v>
      </c>
      <c r="D1164" s="6" t="s">
        <v>3000</v>
      </c>
      <c r="E1164" s="6" t="s">
        <v>579</v>
      </c>
      <c r="F1164" s="6" t="s">
        <v>112</v>
      </c>
      <c r="G1164" s="7">
        <v>0.06</v>
      </c>
      <c r="H1164" s="6" t="s">
        <v>34</v>
      </c>
      <c r="I1164" s="6" t="s">
        <v>20</v>
      </c>
      <c r="J1164" s="6">
        <v>2025.0</v>
      </c>
      <c r="K1164" s="10">
        <v>46085.0</v>
      </c>
      <c r="L1164" s="6">
        <v>3.0</v>
      </c>
      <c r="M1164" s="8">
        <f t="shared" si="2"/>
        <v>0.18</v>
      </c>
      <c r="P1164" s="9"/>
    </row>
    <row r="1165">
      <c r="A1165" s="6" t="s">
        <v>3001</v>
      </c>
      <c r="B1165" s="6" t="s">
        <v>115</v>
      </c>
      <c r="C1165" s="6" t="s">
        <v>23</v>
      </c>
      <c r="D1165" s="6" t="s">
        <v>3002</v>
      </c>
      <c r="E1165" s="6" t="s">
        <v>1896</v>
      </c>
      <c r="F1165" s="6" t="s">
        <v>87</v>
      </c>
      <c r="G1165" s="7">
        <v>0.08</v>
      </c>
      <c r="H1165" s="6" t="s">
        <v>19</v>
      </c>
      <c r="I1165" s="6" t="s">
        <v>20</v>
      </c>
      <c r="J1165" s="6">
        <v>2023.0</v>
      </c>
      <c r="L1165" s="6">
        <v>1.0</v>
      </c>
      <c r="M1165" s="8">
        <f t="shared" si="2"/>
        <v>0.08</v>
      </c>
      <c r="P1165" s="9"/>
    </row>
    <row r="1166">
      <c r="A1166" s="6" t="s">
        <v>3003</v>
      </c>
      <c r="B1166" s="6" t="s">
        <v>213</v>
      </c>
      <c r="C1166" s="6" t="s">
        <v>23</v>
      </c>
      <c r="D1166" s="6" t="s">
        <v>3004</v>
      </c>
      <c r="E1166" s="6">
        <v>1.0</v>
      </c>
      <c r="F1166" s="6" t="s">
        <v>26</v>
      </c>
      <c r="G1166" s="7">
        <v>0.18</v>
      </c>
      <c r="H1166" s="6" t="s">
        <v>19</v>
      </c>
      <c r="I1166" s="6" t="s">
        <v>20</v>
      </c>
      <c r="J1166" s="6">
        <v>2023.0</v>
      </c>
      <c r="L1166" s="6">
        <v>1.0</v>
      </c>
      <c r="M1166" s="8">
        <f t="shared" si="2"/>
        <v>0.18</v>
      </c>
      <c r="P1166" s="9"/>
    </row>
    <row r="1167">
      <c r="A1167" s="6" t="s">
        <v>3003</v>
      </c>
      <c r="B1167" s="6" t="s">
        <v>213</v>
      </c>
      <c r="C1167" s="6" t="s">
        <v>23</v>
      </c>
      <c r="D1167" s="6" t="s">
        <v>3004</v>
      </c>
      <c r="E1167" s="6">
        <v>1.0</v>
      </c>
      <c r="F1167" s="6" t="s">
        <v>26</v>
      </c>
      <c r="G1167" s="7">
        <v>1.9</v>
      </c>
      <c r="H1167" s="6" t="s">
        <v>19</v>
      </c>
      <c r="I1167" s="6" t="s">
        <v>20</v>
      </c>
      <c r="J1167" s="6">
        <v>2023.0</v>
      </c>
      <c r="L1167" s="6">
        <v>1.0</v>
      </c>
      <c r="M1167" s="8">
        <f t="shared" si="2"/>
        <v>1.9</v>
      </c>
      <c r="P1167" s="9"/>
    </row>
    <row r="1168">
      <c r="A1168" s="6" t="s">
        <v>3005</v>
      </c>
      <c r="B1168" s="6" t="s">
        <v>162</v>
      </c>
      <c r="C1168" s="6" t="s">
        <v>43</v>
      </c>
      <c r="D1168" s="6" t="s">
        <v>3006</v>
      </c>
      <c r="E1168" s="6" t="s">
        <v>164</v>
      </c>
      <c r="F1168" s="6" t="s">
        <v>112</v>
      </c>
      <c r="G1168" s="7">
        <v>0.07</v>
      </c>
      <c r="H1168" s="6" t="s">
        <v>3007</v>
      </c>
      <c r="I1168" s="6" t="s">
        <v>20</v>
      </c>
      <c r="J1168" s="6">
        <v>2026.0</v>
      </c>
      <c r="L1168" s="6">
        <v>3.0</v>
      </c>
      <c r="M1168" s="8">
        <f t="shared" si="2"/>
        <v>0.21</v>
      </c>
      <c r="P1168" s="9"/>
    </row>
    <row r="1169">
      <c r="A1169" s="6" t="s">
        <v>3008</v>
      </c>
      <c r="B1169" s="6" t="s">
        <v>146</v>
      </c>
      <c r="C1169" s="6" t="s">
        <v>43</v>
      </c>
      <c r="D1169" s="6" t="s">
        <v>3009</v>
      </c>
      <c r="E1169" s="6" t="s">
        <v>179</v>
      </c>
      <c r="F1169" s="6" t="s">
        <v>112</v>
      </c>
      <c r="G1169" s="7">
        <v>0.03</v>
      </c>
      <c r="H1169" s="6" t="s">
        <v>249</v>
      </c>
      <c r="I1169" s="6" t="s">
        <v>20</v>
      </c>
      <c r="J1169" s="6">
        <v>2014.0</v>
      </c>
      <c r="L1169" s="6">
        <v>1.0</v>
      </c>
      <c r="M1169" s="8">
        <f t="shared" si="2"/>
        <v>0.03</v>
      </c>
      <c r="P1169" s="9"/>
    </row>
    <row r="1170">
      <c r="A1170" s="6" t="s">
        <v>3010</v>
      </c>
      <c r="B1170" s="6" t="s">
        <v>778</v>
      </c>
      <c r="C1170" s="6" t="s">
        <v>23</v>
      </c>
      <c r="D1170" s="6" t="s">
        <v>3011</v>
      </c>
      <c r="E1170" s="6" t="s">
        <v>852</v>
      </c>
      <c r="F1170" s="6" t="s">
        <v>18</v>
      </c>
      <c r="G1170" s="7">
        <v>0.03</v>
      </c>
      <c r="H1170" s="6" t="s">
        <v>342</v>
      </c>
      <c r="I1170" s="6" t="s">
        <v>20</v>
      </c>
      <c r="J1170" s="6">
        <v>2014.0</v>
      </c>
      <c r="L1170" s="6">
        <v>3.0</v>
      </c>
      <c r="M1170" s="8">
        <f t="shared" si="2"/>
        <v>0.09</v>
      </c>
      <c r="P1170" s="9"/>
    </row>
    <row r="1171">
      <c r="A1171" s="6" t="s">
        <v>3012</v>
      </c>
      <c r="B1171" s="6" t="s">
        <v>146</v>
      </c>
      <c r="C1171" s="6" t="s">
        <v>43</v>
      </c>
      <c r="D1171" s="6" t="s">
        <v>3013</v>
      </c>
      <c r="E1171" s="6" t="s">
        <v>76</v>
      </c>
      <c r="F1171" s="6" t="s">
        <v>77</v>
      </c>
      <c r="G1171" s="7">
        <v>0.06</v>
      </c>
      <c r="H1171" s="6" t="s">
        <v>249</v>
      </c>
      <c r="I1171" s="6" t="s">
        <v>20</v>
      </c>
      <c r="J1171" s="6">
        <v>2014.0</v>
      </c>
      <c r="L1171" s="6">
        <v>1.0</v>
      </c>
      <c r="M1171" s="8">
        <f t="shared" si="2"/>
        <v>0.06</v>
      </c>
      <c r="P1171" s="9"/>
    </row>
    <row r="1172">
      <c r="A1172" s="6" t="s">
        <v>3014</v>
      </c>
      <c r="B1172" s="6" t="s">
        <v>146</v>
      </c>
      <c r="C1172" s="6" t="s">
        <v>43</v>
      </c>
      <c r="D1172" s="6" t="s">
        <v>3015</v>
      </c>
      <c r="E1172" s="6" t="s">
        <v>135</v>
      </c>
      <c r="F1172" s="6" t="s">
        <v>40</v>
      </c>
      <c r="G1172" s="7">
        <v>0.03</v>
      </c>
      <c r="H1172" s="6" t="s">
        <v>249</v>
      </c>
      <c r="I1172" s="6" t="s">
        <v>20</v>
      </c>
      <c r="J1172" s="6">
        <v>2014.0</v>
      </c>
      <c r="L1172" s="6">
        <v>2.0</v>
      </c>
      <c r="M1172" s="8">
        <f t="shared" si="2"/>
        <v>0.06</v>
      </c>
      <c r="P1172" s="9"/>
    </row>
    <row r="1173">
      <c r="A1173" s="6" t="s">
        <v>3016</v>
      </c>
      <c r="B1173" s="6" t="s">
        <v>778</v>
      </c>
      <c r="C1173" s="6" t="s">
        <v>23</v>
      </c>
      <c r="D1173" s="6" t="s">
        <v>3017</v>
      </c>
      <c r="E1173" s="6" t="s">
        <v>509</v>
      </c>
      <c r="F1173" s="6" t="s">
        <v>1335</v>
      </c>
      <c r="G1173" s="7">
        <v>0.03</v>
      </c>
      <c r="H1173" s="6" t="s">
        <v>342</v>
      </c>
      <c r="I1173" s="6" t="s">
        <v>20</v>
      </c>
      <c r="J1173" s="6">
        <v>2014.0</v>
      </c>
      <c r="L1173" s="6">
        <v>3.0</v>
      </c>
      <c r="M1173" s="8">
        <f t="shared" si="2"/>
        <v>0.09</v>
      </c>
      <c r="P1173" s="9"/>
    </row>
    <row r="1174">
      <c r="A1174" s="6" t="s">
        <v>3018</v>
      </c>
      <c r="B1174" s="6" t="s">
        <v>3019</v>
      </c>
      <c r="C1174" s="6" t="s">
        <v>43</v>
      </c>
      <c r="D1174" s="6" t="s">
        <v>3020</v>
      </c>
      <c r="E1174" s="6" t="s">
        <v>3021</v>
      </c>
      <c r="F1174" s="6" t="s">
        <v>71</v>
      </c>
      <c r="G1174" s="7">
        <v>0.1</v>
      </c>
      <c r="H1174" s="6" t="s">
        <v>136</v>
      </c>
      <c r="I1174" s="6" t="s">
        <v>20</v>
      </c>
      <c r="J1174" s="6">
        <v>2026.0</v>
      </c>
      <c r="K1174" s="10">
        <v>46114.0</v>
      </c>
      <c r="L1174" s="6">
        <v>6.0</v>
      </c>
      <c r="M1174" s="8">
        <f t="shared" si="2"/>
        <v>0.6</v>
      </c>
      <c r="P1174" s="9"/>
    </row>
    <row r="1175">
      <c r="A1175" s="6" t="s">
        <v>3018</v>
      </c>
      <c r="B1175" s="6" t="s">
        <v>3019</v>
      </c>
      <c r="C1175" s="6" t="s">
        <v>43</v>
      </c>
      <c r="D1175" s="6" t="s">
        <v>3020</v>
      </c>
      <c r="E1175" s="6" t="s">
        <v>3021</v>
      </c>
      <c r="F1175" s="6" t="s">
        <v>71</v>
      </c>
      <c r="G1175" s="7">
        <v>0.2</v>
      </c>
      <c r="H1175" s="6" t="s">
        <v>136</v>
      </c>
      <c r="I1175" s="6" t="s">
        <v>45</v>
      </c>
      <c r="J1175" s="6">
        <v>2026.0</v>
      </c>
      <c r="K1175" s="10">
        <v>46114.0</v>
      </c>
      <c r="L1175" s="6">
        <v>1.0</v>
      </c>
      <c r="M1175" s="8">
        <f t="shared" si="2"/>
        <v>0.2</v>
      </c>
      <c r="P1175" s="9"/>
    </row>
    <row r="1176">
      <c r="A1176" s="6" t="s">
        <v>3022</v>
      </c>
      <c r="B1176" s="6" t="s">
        <v>52</v>
      </c>
      <c r="C1176" s="6" t="s">
        <v>43</v>
      </c>
      <c r="D1176" s="6" t="s">
        <v>3023</v>
      </c>
      <c r="F1176" s="6" t="s">
        <v>71</v>
      </c>
      <c r="G1176" s="7">
        <v>0.15</v>
      </c>
      <c r="H1176" s="6" t="s">
        <v>136</v>
      </c>
      <c r="I1176" s="6" t="s">
        <v>20</v>
      </c>
      <c r="J1176" s="6">
        <v>2026.0</v>
      </c>
      <c r="L1176" s="6">
        <v>1.0</v>
      </c>
      <c r="M1176" s="8">
        <f t="shared" si="2"/>
        <v>0.15</v>
      </c>
      <c r="P1176" s="9"/>
    </row>
    <row r="1177">
      <c r="A1177" s="6" t="s">
        <v>3024</v>
      </c>
      <c r="B1177" s="6" t="s">
        <v>3025</v>
      </c>
      <c r="C1177" s="6" t="s">
        <v>43</v>
      </c>
      <c r="D1177" s="6" t="s">
        <v>3026</v>
      </c>
      <c r="E1177" s="6" t="s">
        <v>248</v>
      </c>
      <c r="F1177" s="6" t="s">
        <v>77</v>
      </c>
      <c r="G1177" s="7">
        <v>0.1</v>
      </c>
      <c r="H1177" s="6" t="s">
        <v>136</v>
      </c>
      <c r="I1177" s="6" t="s">
        <v>20</v>
      </c>
      <c r="J1177" s="6">
        <v>2026.0</v>
      </c>
      <c r="K1177" s="10">
        <v>46114.0</v>
      </c>
      <c r="L1177" s="6">
        <v>1.0</v>
      </c>
      <c r="M1177" s="8">
        <f t="shared" si="2"/>
        <v>0.1</v>
      </c>
      <c r="P1177" s="9"/>
    </row>
    <row r="1178">
      <c r="A1178" s="6" t="s">
        <v>3027</v>
      </c>
      <c r="B1178" s="6" t="s">
        <v>74</v>
      </c>
      <c r="C1178" s="6" t="s">
        <v>43</v>
      </c>
      <c r="D1178" s="6" t="s">
        <v>3028</v>
      </c>
      <c r="E1178" s="6" t="s">
        <v>164</v>
      </c>
      <c r="F1178" s="6" t="s">
        <v>112</v>
      </c>
      <c r="G1178" s="7">
        <v>0.09</v>
      </c>
      <c r="H1178" s="6" t="s">
        <v>597</v>
      </c>
      <c r="I1178" s="6" t="s">
        <v>20</v>
      </c>
      <c r="J1178" s="6">
        <v>2024.0</v>
      </c>
      <c r="L1178" s="6">
        <v>1.0</v>
      </c>
      <c r="M1178" s="8">
        <f t="shared" si="2"/>
        <v>0.09</v>
      </c>
      <c r="P1178" s="9"/>
    </row>
    <row r="1179">
      <c r="A1179" s="6" t="s">
        <v>3029</v>
      </c>
      <c r="B1179" s="6" t="s">
        <v>3030</v>
      </c>
      <c r="C1179" s="6" t="s">
        <v>23</v>
      </c>
      <c r="D1179" s="6" t="s">
        <v>3031</v>
      </c>
      <c r="E1179" s="6" t="s">
        <v>909</v>
      </c>
      <c r="F1179" s="6" t="s">
        <v>87</v>
      </c>
      <c r="G1179" s="7">
        <v>0.05</v>
      </c>
      <c r="H1179" s="6" t="s">
        <v>342</v>
      </c>
      <c r="I1179" s="6" t="s">
        <v>20</v>
      </c>
      <c r="J1179" s="6">
        <v>2014.0</v>
      </c>
      <c r="K1179" s="10">
        <v>46057.0</v>
      </c>
      <c r="L1179" s="6">
        <v>2.0</v>
      </c>
      <c r="M1179" s="8">
        <f t="shared" si="2"/>
        <v>0.1</v>
      </c>
      <c r="P1179" s="9"/>
    </row>
    <row r="1180">
      <c r="A1180" s="6" t="s">
        <v>3032</v>
      </c>
      <c r="B1180" s="6" t="s">
        <v>606</v>
      </c>
      <c r="C1180" s="6" t="s">
        <v>15</v>
      </c>
      <c r="D1180" s="6" t="s">
        <v>3033</v>
      </c>
      <c r="E1180" s="6" t="s">
        <v>2709</v>
      </c>
      <c r="F1180" s="6" t="s">
        <v>18</v>
      </c>
      <c r="G1180" s="7">
        <v>0.03</v>
      </c>
      <c r="H1180" s="6" t="s">
        <v>342</v>
      </c>
      <c r="I1180" s="6" t="s">
        <v>20</v>
      </c>
      <c r="J1180" s="6">
        <v>2014.0</v>
      </c>
      <c r="L1180" s="6">
        <v>5.0</v>
      </c>
      <c r="M1180" s="8">
        <f t="shared" si="2"/>
        <v>0.15</v>
      </c>
      <c r="P1180" s="9"/>
    </row>
    <row r="1181">
      <c r="A1181" s="6" t="s">
        <v>3034</v>
      </c>
      <c r="B1181" s="6" t="s">
        <v>2192</v>
      </c>
      <c r="C1181" s="6" t="s">
        <v>43</v>
      </c>
      <c r="D1181" s="6" t="s">
        <v>3035</v>
      </c>
      <c r="E1181" s="6" t="s">
        <v>248</v>
      </c>
      <c r="F1181" s="6" t="s">
        <v>77</v>
      </c>
      <c r="G1181" s="7">
        <v>0.03</v>
      </c>
      <c r="H1181" s="6" t="s">
        <v>1511</v>
      </c>
      <c r="I1181" s="6" t="s">
        <v>20</v>
      </c>
      <c r="J1181" s="6">
        <v>2014.0</v>
      </c>
      <c r="K1181" s="10">
        <v>46057.0</v>
      </c>
      <c r="L1181" s="6">
        <v>1.0</v>
      </c>
      <c r="M1181" s="8">
        <f t="shared" si="2"/>
        <v>0.03</v>
      </c>
      <c r="P1181" s="9"/>
    </row>
    <row r="1182">
      <c r="A1182" s="6" t="s">
        <v>3036</v>
      </c>
      <c r="B1182" s="6" t="s">
        <v>74</v>
      </c>
      <c r="C1182" s="6" t="s">
        <v>43</v>
      </c>
      <c r="D1182" s="6" t="s">
        <v>3037</v>
      </c>
      <c r="E1182" s="6" t="s">
        <v>57</v>
      </c>
      <c r="F1182" s="6" t="s">
        <v>40</v>
      </c>
      <c r="G1182" s="7">
        <v>0.06</v>
      </c>
      <c r="H1182" s="6" t="s">
        <v>3038</v>
      </c>
      <c r="I1182" s="6" t="s">
        <v>20</v>
      </c>
      <c r="J1182" s="6">
        <v>2006.0</v>
      </c>
      <c r="L1182" s="6">
        <v>1.0</v>
      </c>
      <c r="M1182" s="8">
        <f t="shared" si="2"/>
        <v>0.06</v>
      </c>
      <c r="P1182" s="9"/>
    </row>
    <row r="1183">
      <c r="A1183" s="6" t="s">
        <v>3039</v>
      </c>
      <c r="B1183" s="6" t="s">
        <v>3040</v>
      </c>
      <c r="C1183" s="6" t="s">
        <v>30</v>
      </c>
      <c r="D1183" s="6" t="s">
        <v>3041</v>
      </c>
      <c r="E1183" s="6" t="s">
        <v>356</v>
      </c>
      <c r="F1183" s="6" t="s">
        <v>87</v>
      </c>
      <c r="G1183" s="7">
        <v>0.3</v>
      </c>
      <c r="H1183" s="6" t="s">
        <v>1833</v>
      </c>
      <c r="I1183" s="6" t="s">
        <v>20</v>
      </c>
      <c r="J1183" s="6">
        <v>2018.0</v>
      </c>
      <c r="K1183" s="6" t="s">
        <v>301</v>
      </c>
      <c r="L1183" s="6">
        <v>1.0</v>
      </c>
      <c r="M1183" s="8">
        <f t="shared" si="2"/>
        <v>0.3</v>
      </c>
      <c r="P1183" s="9"/>
    </row>
    <row r="1184">
      <c r="A1184" s="6" t="s">
        <v>3042</v>
      </c>
      <c r="B1184" s="6" t="s">
        <v>2592</v>
      </c>
      <c r="C1184" s="6" t="s">
        <v>43</v>
      </c>
      <c r="D1184" s="6" t="s">
        <v>3043</v>
      </c>
      <c r="E1184" s="6" t="s">
        <v>176</v>
      </c>
      <c r="F1184" s="6" t="s">
        <v>77</v>
      </c>
      <c r="G1184" s="7">
        <v>0.05</v>
      </c>
      <c r="H1184" s="6" t="s">
        <v>94</v>
      </c>
      <c r="I1184" s="6" t="s">
        <v>20</v>
      </c>
      <c r="J1184" s="6">
        <v>1995.0</v>
      </c>
      <c r="K1184" s="10">
        <v>46025.0</v>
      </c>
      <c r="L1184" s="6">
        <v>1.0</v>
      </c>
      <c r="M1184" s="8">
        <f t="shared" si="2"/>
        <v>0.05</v>
      </c>
      <c r="P1184" s="9"/>
    </row>
    <row r="1185">
      <c r="A1185" s="6" t="s">
        <v>3044</v>
      </c>
      <c r="B1185" s="6" t="s">
        <v>162</v>
      </c>
      <c r="C1185" s="6" t="s">
        <v>37</v>
      </c>
      <c r="D1185" s="6" t="s">
        <v>3045</v>
      </c>
      <c r="E1185" s="6" t="s">
        <v>76</v>
      </c>
      <c r="F1185" s="6" t="s">
        <v>77</v>
      </c>
      <c r="G1185" s="7">
        <v>0.04</v>
      </c>
      <c r="H1185" s="6" t="s">
        <v>1300</v>
      </c>
      <c r="I1185" s="6" t="s">
        <v>20</v>
      </c>
      <c r="J1185" s="6">
        <v>2021.0</v>
      </c>
      <c r="L1185" s="6">
        <v>1.0</v>
      </c>
      <c r="M1185" s="8">
        <f t="shared" si="2"/>
        <v>0.04</v>
      </c>
      <c r="P1185" s="9"/>
    </row>
    <row r="1186">
      <c r="A1186" s="6" t="s">
        <v>3046</v>
      </c>
      <c r="B1186" s="6" t="s">
        <v>3047</v>
      </c>
      <c r="C1186" s="6" t="s">
        <v>377</v>
      </c>
      <c r="D1186" s="6" t="s">
        <v>3048</v>
      </c>
      <c r="E1186" s="6" t="s">
        <v>215</v>
      </c>
      <c r="F1186" s="6" t="s">
        <v>312</v>
      </c>
      <c r="G1186" s="7">
        <v>0.03</v>
      </c>
      <c r="H1186" s="6" t="s">
        <v>475</v>
      </c>
      <c r="I1186" s="6" t="s">
        <v>20</v>
      </c>
      <c r="J1186" s="6">
        <v>2024.0</v>
      </c>
      <c r="L1186" s="6">
        <v>1.0</v>
      </c>
      <c r="M1186" s="8">
        <f t="shared" si="2"/>
        <v>0.03</v>
      </c>
      <c r="P1186" s="9"/>
    </row>
    <row r="1187">
      <c r="A1187" s="6" t="s">
        <v>3049</v>
      </c>
      <c r="B1187" s="6" t="s">
        <v>3050</v>
      </c>
      <c r="C1187" s="6" t="s">
        <v>43</v>
      </c>
      <c r="D1187" s="6" t="s">
        <v>3051</v>
      </c>
      <c r="E1187" s="6" t="s">
        <v>140</v>
      </c>
      <c r="F1187" s="6" t="s">
        <v>87</v>
      </c>
      <c r="G1187" s="7">
        <v>0.09</v>
      </c>
      <c r="H1187" s="6" t="s">
        <v>65</v>
      </c>
      <c r="I1187" s="6" t="s">
        <v>20</v>
      </c>
      <c r="J1187" s="6">
        <v>2013.0</v>
      </c>
      <c r="K1187" s="10">
        <v>46023.0</v>
      </c>
      <c r="L1187" s="6">
        <v>1.0</v>
      </c>
      <c r="M1187" s="8">
        <f t="shared" si="2"/>
        <v>0.09</v>
      </c>
      <c r="P1187" s="9"/>
    </row>
    <row r="1188">
      <c r="A1188" s="6" t="s">
        <v>3052</v>
      </c>
      <c r="B1188" s="6" t="s">
        <v>74</v>
      </c>
      <c r="C1188" s="6" t="s">
        <v>43</v>
      </c>
      <c r="D1188" s="6" t="s">
        <v>3053</v>
      </c>
      <c r="E1188" s="6" t="s">
        <v>164</v>
      </c>
      <c r="F1188" s="6" t="s">
        <v>112</v>
      </c>
      <c r="G1188" s="7">
        <v>0.04</v>
      </c>
      <c r="H1188" s="6" t="s">
        <v>363</v>
      </c>
      <c r="I1188" s="6" t="s">
        <v>20</v>
      </c>
      <c r="J1188" s="6">
        <v>2024.0</v>
      </c>
      <c r="L1188" s="6">
        <v>1.0</v>
      </c>
      <c r="M1188" s="8">
        <f t="shared" si="2"/>
        <v>0.04</v>
      </c>
      <c r="P1188" s="9"/>
    </row>
    <row r="1189">
      <c r="A1189" s="6" t="s">
        <v>3054</v>
      </c>
      <c r="B1189" s="6" t="s">
        <v>3055</v>
      </c>
      <c r="C1189" s="6" t="s">
        <v>23</v>
      </c>
      <c r="D1189" s="6" t="s">
        <v>3056</v>
      </c>
      <c r="E1189" s="6" t="s">
        <v>3057</v>
      </c>
      <c r="F1189" s="6" t="s">
        <v>665</v>
      </c>
      <c r="G1189" s="7">
        <v>0.05</v>
      </c>
      <c r="H1189" s="6" t="s">
        <v>617</v>
      </c>
      <c r="I1189" s="6" t="s">
        <v>20</v>
      </c>
      <c r="J1189" s="6">
        <v>2026.0</v>
      </c>
      <c r="K1189" s="10">
        <v>46179.0</v>
      </c>
      <c r="L1189" s="6">
        <v>5.0</v>
      </c>
      <c r="M1189" s="8">
        <f t="shared" si="2"/>
        <v>0.25</v>
      </c>
      <c r="P1189" s="9"/>
    </row>
    <row r="1190">
      <c r="A1190" s="6" t="s">
        <v>3054</v>
      </c>
      <c r="B1190" s="6" t="s">
        <v>3055</v>
      </c>
      <c r="C1190" s="6" t="s">
        <v>23</v>
      </c>
      <c r="D1190" s="6" t="s">
        <v>3056</v>
      </c>
      <c r="E1190" s="6" t="s">
        <v>3057</v>
      </c>
      <c r="F1190" s="6" t="s">
        <v>665</v>
      </c>
      <c r="G1190" s="7">
        <v>0.29</v>
      </c>
      <c r="H1190" s="6" t="s">
        <v>617</v>
      </c>
      <c r="I1190" s="6" t="s">
        <v>45</v>
      </c>
      <c r="J1190" s="6">
        <v>2026.0</v>
      </c>
      <c r="K1190" s="10">
        <v>46179.0</v>
      </c>
      <c r="L1190" s="6">
        <v>2.0</v>
      </c>
      <c r="M1190" s="8">
        <f t="shared" si="2"/>
        <v>0.58</v>
      </c>
      <c r="P1190" s="9"/>
    </row>
    <row r="1191">
      <c r="A1191" s="6" t="s">
        <v>3058</v>
      </c>
      <c r="B1191" s="6" t="s">
        <v>254</v>
      </c>
      <c r="C1191" s="6" t="s">
        <v>43</v>
      </c>
      <c r="D1191" s="6" t="s">
        <v>3059</v>
      </c>
      <c r="E1191" s="6" t="s">
        <v>329</v>
      </c>
      <c r="F1191" s="6" t="s">
        <v>112</v>
      </c>
      <c r="G1191" s="7">
        <v>0.05</v>
      </c>
      <c r="H1191" s="6" t="s">
        <v>475</v>
      </c>
      <c r="I1191" s="6" t="s">
        <v>20</v>
      </c>
      <c r="J1191" s="6">
        <v>2024.0</v>
      </c>
      <c r="L1191" s="6">
        <v>1.0</v>
      </c>
      <c r="M1191" s="8">
        <f t="shared" si="2"/>
        <v>0.05</v>
      </c>
      <c r="P1191" s="9"/>
    </row>
    <row r="1192">
      <c r="A1192" s="6" t="s">
        <v>3060</v>
      </c>
      <c r="B1192" s="6" t="s">
        <v>3061</v>
      </c>
      <c r="C1192" s="6" t="s">
        <v>204</v>
      </c>
      <c r="D1192" s="6" t="s">
        <v>3062</v>
      </c>
      <c r="E1192" s="6" t="s">
        <v>135</v>
      </c>
      <c r="F1192" s="6" t="s">
        <v>40</v>
      </c>
      <c r="G1192" s="7">
        <v>1.5</v>
      </c>
      <c r="H1192" s="6" t="s">
        <v>3063</v>
      </c>
      <c r="I1192" s="6" t="s">
        <v>20</v>
      </c>
      <c r="J1192" s="6">
        <v>1996.0</v>
      </c>
      <c r="K1192" s="10">
        <v>46023.0</v>
      </c>
      <c r="L1192" s="6">
        <v>4.0</v>
      </c>
      <c r="M1192" s="8">
        <f t="shared" si="2"/>
        <v>6</v>
      </c>
      <c r="N1192" s="6" t="s">
        <v>122</v>
      </c>
      <c r="P1192" s="9"/>
    </row>
    <row r="1193">
      <c r="A1193" s="6" t="s">
        <v>3064</v>
      </c>
      <c r="B1193" s="6" t="s">
        <v>3065</v>
      </c>
      <c r="C1193" s="6" t="s">
        <v>15</v>
      </c>
      <c r="D1193" s="6" t="s">
        <v>3066</v>
      </c>
      <c r="E1193" s="6" t="s">
        <v>1007</v>
      </c>
      <c r="F1193" s="6" t="s">
        <v>87</v>
      </c>
      <c r="G1193" s="7">
        <v>0.09</v>
      </c>
      <c r="H1193" s="6" t="s">
        <v>130</v>
      </c>
      <c r="I1193" s="6" t="s">
        <v>20</v>
      </c>
      <c r="J1193" s="6">
        <v>2014.0</v>
      </c>
      <c r="K1193" s="10">
        <v>46023.0</v>
      </c>
      <c r="L1193" s="6">
        <v>1.0</v>
      </c>
      <c r="M1193" s="8">
        <f t="shared" si="2"/>
        <v>0.09</v>
      </c>
      <c r="P1193" s="9"/>
    </row>
    <row r="1194">
      <c r="A1194" s="6" t="s">
        <v>3067</v>
      </c>
      <c r="B1194" s="6" t="s">
        <v>361</v>
      </c>
      <c r="C1194" s="6" t="s">
        <v>43</v>
      </c>
      <c r="E1194" s="6" t="s">
        <v>256</v>
      </c>
      <c r="F1194" s="6" t="s">
        <v>87</v>
      </c>
      <c r="G1194" s="7">
        <v>0.03</v>
      </c>
      <c r="H1194" s="6" t="s">
        <v>709</v>
      </c>
      <c r="I1194" s="6" t="s">
        <v>20</v>
      </c>
      <c r="J1194" s="6">
        <v>2017.0</v>
      </c>
      <c r="K1194" s="10">
        <v>46057.0</v>
      </c>
      <c r="L1194" s="6">
        <v>1.0</v>
      </c>
      <c r="M1194" s="8">
        <f t="shared" si="2"/>
        <v>0.03</v>
      </c>
      <c r="P1194" s="9"/>
    </row>
    <row r="1195">
      <c r="A1195" s="6" t="s">
        <v>3068</v>
      </c>
      <c r="B1195" s="6" t="s">
        <v>3069</v>
      </c>
      <c r="C1195" s="6" t="s">
        <v>15</v>
      </c>
      <c r="D1195" s="6" t="s">
        <v>3070</v>
      </c>
      <c r="E1195" s="6" t="s">
        <v>140</v>
      </c>
      <c r="F1195" s="6" t="s">
        <v>87</v>
      </c>
      <c r="G1195" s="7">
        <v>0.37</v>
      </c>
      <c r="H1195" s="6" t="s">
        <v>153</v>
      </c>
      <c r="I1195" s="6" t="s">
        <v>20</v>
      </c>
      <c r="J1195" s="6">
        <v>2025.0</v>
      </c>
      <c r="K1195" s="10">
        <v>46023.0</v>
      </c>
      <c r="L1195" s="6">
        <v>1.0</v>
      </c>
      <c r="M1195" s="8">
        <f t="shared" si="2"/>
        <v>0.37</v>
      </c>
      <c r="P1195" s="9"/>
    </row>
    <row r="1196">
      <c r="A1196" s="6" t="s">
        <v>3071</v>
      </c>
      <c r="B1196" s="6" t="s">
        <v>2592</v>
      </c>
      <c r="C1196" s="6" t="s">
        <v>43</v>
      </c>
      <c r="D1196" s="6" t="s">
        <v>3072</v>
      </c>
      <c r="E1196" s="6" t="s">
        <v>39</v>
      </c>
      <c r="F1196" s="6" t="s">
        <v>40</v>
      </c>
      <c r="G1196" s="7">
        <v>0.05</v>
      </c>
      <c r="H1196" s="6" t="s">
        <v>475</v>
      </c>
      <c r="I1196" s="6" t="s">
        <v>20</v>
      </c>
      <c r="J1196" s="6">
        <v>2024.0</v>
      </c>
      <c r="K1196" s="10">
        <v>46114.0</v>
      </c>
      <c r="L1196" s="6">
        <v>1.0</v>
      </c>
      <c r="M1196" s="8">
        <f t="shared" si="2"/>
        <v>0.05</v>
      </c>
      <c r="P1196" s="9"/>
    </row>
    <row r="1197">
      <c r="A1197" s="6" t="s">
        <v>3073</v>
      </c>
      <c r="B1197" s="6" t="s">
        <v>74</v>
      </c>
      <c r="C1197" s="6" t="s">
        <v>37</v>
      </c>
      <c r="D1197" s="6" t="s">
        <v>3074</v>
      </c>
      <c r="E1197" s="6" t="s">
        <v>880</v>
      </c>
      <c r="F1197" s="6" t="s">
        <v>2431</v>
      </c>
      <c r="G1197" s="7">
        <v>0.18</v>
      </c>
      <c r="H1197" s="6" t="s">
        <v>19</v>
      </c>
      <c r="I1197" s="6" t="s">
        <v>20</v>
      </c>
      <c r="J1197" s="6">
        <v>2023.0</v>
      </c>
      <c r="L1197" s="6">
        <v>1.0</v>
      </c>
      <c r="M1197" s="8">
        <f t="shared" si="2"/>
        <v>0.18</v>
      </c>
      <c r="P1197" s="9"/>
    </row>
    <row r="1198">
      <c r="A1198" s="6" t="s">
        <v>3075</v>
      </c>
      <c r="B1198" s="6" t="s">
        <v>3076</v>
      </c>
      <c r="C1198" s="6" t="s">
        <v>43</v>
      </c>
      <c r="D1198" s="6" t="s">
        <v>3077</v>
      </c>
      <c r="E1198" s="6" t="s">
        <v>25</v>
      </c>
      <c r="F1198" s="6" t="s">
        <v>26</v>
      </c>
      <c r="G1198" s="7">
        <v>0.05</v>
      </c>
      <c r="H1198" s="6" t="s">
        <v>475</v>
      </c>
      <c r="I1198" s="6" t="s">
        <v>20</v>
      </c>
      <c r="J1198" s="6">
        <v>2024.0</v>
      </c>
      <c r="K1198" s="10">
        <v>46055.0</v>
      </c>
      <c r="L1198" s="6">
        <v>1.0</v>
      </c>
      <c r="M1198" s="8">
        <f t="shared" si="2"/>
        <v>0.05</v>
      </c>
      <c r="P1198" s="9"/>
    </row>
    <row r="1199">
      <c r="A1199" s="6" t="s">
        <v>3078</v>
      </c>
      <c r="B1199" s="6" t="s">
        <v>3079</v>
      </c>
      <c r="C1199" s="6" t="s">
        <v>43</v>
      </c>
      <c r="D1199" s="6" t="s">
        <v>3080</v>
      </c>
      <c r="E1199" s="6" t="s">
        <v>25</v>
      </c>
      <c r="F1199" s="6" t="s">
        <v>26</v>
      </c>
      <c r="G1199" s="7">
        <v>0.05</v>
      </c>
      <c r="H1199" s="6" t="s">
        <v>475</v>
      </c>
      <c r="I1199" s="6" t="s">
        <v>20</v>
      </c>
      <c r="J1199" s="6">
        <v>2024.0</v>
      </c>
      <c r="K1199" s="10">
        <v>46055.0</v>
      </c>
      <c r="L1199" s="6">
        <v>1.0</v>
      </c>
      <c r="M1199" s="8">
        <f t="shared" si="2"/>
        <v>0.05</v>
      </c>
      <c r="P1199" s="9"/>
    </row>
    <row r="1200">
      <c r="A1200" s="6" t="s">
        <v>3081</v>
      </c>
      <c r="B1200" s="6" t="s">
        <v>3082</v>
      </c>
      <c r="C1200" s="6" t="s">
        <v>15</v>
      </c>
      <c r="D1200" s="6" t="s">
        <v>3083</v>
      </c>
      <c r="E1200" s="6" t="s">
        <v>3084</v>
      </c>
      <c r="F1200" s="6" t="s">
        <v>1382</v>
      </c>
      <c r="G1200" s="7">
        <v>0.15</v>
      </c>
      <c r="H1200" s="6" t="s">
        <v>19</v>
      </c>
      <c r="I1200" s="6" t="s">
        <v>20</v>
      </c>
      <c r="J1200" s="6">
        <v>2023.0</v>
      </c>
      <c r="K1200" s="10">
        <v>46082.0</v>
      </c>
      <c r="L1200" s="6">
        <v>1.0</v>
      </c>
      <c r="M1200" s="8">
        <f t="shared" si="2"/>
        <v>0.15</v>
      </c>
      <c r="P1200" s="9"/>
    </row>
    <row r="1201">
      <c r="A1201" s="6" t="s">
        <v>3085</v>
      </c>
      <c r="B1201" s="6" t="s">
        <v>3086</v>
      </c>
      <c r="C1201" s="6" t="s">
        <v>43</v>
      </c>
      <c r="D1201" s="6" t="s">
        <v>3087</v>
      </c>
      <c r="E1201" s="6" t="s">
        <v>164</v>
      </c>
      <c r="F1201" s="6" t="s">
        <v>112</v>
      </c>
      <c r="G1201" s="7">
        <v>0.1</v>
      </c>
      <c r="H1201" s="6" t="s">
        <v>136</v>
      </c>
      <c r="I1201" s="6" t="s">
        <v>20</v>
      </c>
      <c r="J1201" s="6">
        <v>2026.0</v>
      </c>
      <c r="K1201" s="10">
        <v>46023.0</v>
      </c>
      <c r="L1201" s="6">
        <v>4.0</v>
      </c>
      <c r="M1201" s="8">
        <f t="shared" si="2"/>
        <v>0.4</v>
      </c>
      <c r="P1201" s="9"/>
    </row>
    <row r="1202">
      <c r="A1202" s="6" t="s">
        <v>3088</v>
      </c>
      <c r="B1202" s="6" t="s">
        <v>3089</v>
      </c>
      <c r="C1202" s="6" t="s">
        <v>377</v>
      </c>
      <c r="D1202" s="6" t="s">
        <v>3090</v>
      </c>
      <c r="E1202" s="6" t="s">
        <v>994</v>
      </c>
      <c r="F1202" s="6" t="s">
        <v>312</v>
      </c>
      <c r="G1202" s="7">
        <v>0.32</v>
      </c>
      <c r="H1202" s="6" t="s">
        <v>468</v>
      </c>
      <c r="I1202" s="6" t="s">
        <v>20</v>
      </c>
      <c r="J1202" s="6">
        <v>2015.0</v>
      </c>
      <c r="K1202" s="10">
        <v>46055.0</v>
      </c>
      <c r="L1202" s="6">
        <v>1.0</v>
      </c>
      <c r="M1202" s="8">
        <f t="shared" si="2"/>
        <v>0.32</v>
      </c>
      <c r="P1202" s="9"/>
    </row>
    <row r="1203">
      <c r="A1203" s="6" t="s">
        <v>3091</v>
      </c>
      <c r="B1203" s="6" t="s">
        <v>3092</v>
      </c>
      <c r="C1203" s="6" t="s">
        <v>43</v>
      </c>
      <c r="D1203" s="6" t="s">
        <v>3093</v>
      </c>
      <c r="E1203" s="6" t="s">
        <v>994</v>
      </c>
      <c r="F1203" s="6" t="s">
        <v>26</v>
      </c>
      <c r="G1203" s="7">
        <v>0.32</v>
      </c>
      <c r="H1203" s="6" t="s">
        <v>217</v>
      </c>
      <c r="I1203" s="6" t="s">
        <v>20</v>
      </c>
      <c r="J1203" s="6">
        <v>2003.0</v>
      </c>
      <c r="K1203" s="10">
        <v>46055.0</v>
      </c>
      <c r="L1203" s="6">
        <v>4.0</v>
      </c>
      <c r="M1203" s="8">
        <f t="shared" si="2"/>
        <v>1.28</v>
      </c>
      <c r="P1203" s="9"/>
    </row>
    <row r="1204">
      <c r="A1204" s="6" t="s">
        <v>3094</v>
      </c>
      <c r="B1204" s="6" t="s">
        <v>115</v>
      </c>
      <c r="C1204" s="6" t="s">
        <v>156</v>
      </c>
      <c r="D1204" s="6" t="s">
        <v>3095</v>
      </c>
      <c r="E1204" s="6" t="s">
        <v>152</v>
      </c>
      <c r="F1204" s="6" t="s">
        <v>40</v>
      </c>
      <c r="G1204" s="7">
        <v>0.74</v>
      </c>
      <c r="H1204" s="6" t="s">
        <v>153</v>
      </c>
      <c r="I1204" s="6" t="s">
        <v>20</v>
      </c>
      <c r="J1204" s="6">
        <v>2025.0</v>
      </c>
      <c r="L1204" s="6">
        <v>1.0</v>
      </c>
      <c r="M1204" s="8">
        <f t="shared" si="2"/>
        <v>0.74</v>
      </c>
      <c r="P1204" s="9"/>
    </row>
    <row r="1205">
      <c r="A1205" s="6" t="s">
        <v>3096</v>
      </c>
      <c r="B1205" s="6" t="s">
        <v>3097</v>
      </c>
      <c r="C1205" s="6" t="s">
        <v>37</v>
      </c>
      <c r="D1205" s="6" t="s">
        <v>3098</v>
      </c>
      <c r="E1205" s="6" t="s">
        <v>135</v>
      </c>
      <c r="F1205" s="6" t="s">
        <v>40</v>
      </c>
      <c r="G1205" s="7">
        <v>0.08</v>
      </c>
      <c r="H1205" s="6" t="s">
        <v>160</v>
      </c>
      <c r="I1205" s="6" t="s">
        <v>20</v>
      </c>
      <c r="J1205" s="6">
        <v>2024.0</v>
      </c>
      <c r="K1205" s="10">
        <v>46024.0</v>
      </c>
      <c r="L1205" s="6">
        <v>1.0</v>
      </c>
      <c r="M1205" s="8">
        <f t="shared" si="2"/>
        <v>0.08</v>
      </c>
      <c r="P1205" s="9"/>
    </row>
    <row r="1206">
      <c r="A1206" s="6" t="s">
        <v>3099</v>
      </c>
      <c r="B1206" s="6" t="s">
        <v>1548</v>
      </c>
      <c r="C1206" s="6" t="s">
        <v>23</v>
      </c>
      <c r="D1206" s="6" t="s">
        <v>3100</v>
      </c>
      <c r="E1206" s="6" t="s">
        <v>1364</v>
      </c>
      <c r="F1206" s="6" t="s">
        <v>18</v>
      </c>
      <c r="G1206" s="7">
        <v>0.13</v>
      </c>
      <c r="H1206" s="6" t="s">
        <v>27</v>
      </c>
      <c r="I1206" s="6" t="s">
        <v>20</v>
      </c>
      <c r="J1206" s="6">
        <v>2026.0</v>
      </c>
      <c r="L1206" s="6">
        <v>1.0</v>
      </c>
      <c r="M1206" s="8">
        <f t="shared" si="2"/>
        <v>0.13</v>
      </c>
      <c r="P1206" s="9"/>
    </row>
    <row r="1207">
      <c r="A1207" s="6" t="s">
        <v>3101</v>
      </c>
      <c r="B1207" s="6" t="s">
        <v>3102</v>
      </c>
      <c r="C1207" s="6" t="s">
        <v>43</v>
      </c>
      <c r="D1207" s="6" t="s">
        <v>3103</v>
      </c>
      <c r="E1207" s="6" t="s">
        <v>176</v>
      </c>
      <c r="F1207" s="6" t="s">
        <v>77</v>
      </c>
      <c r="G1207" s="7">
        <v>0.08</v>
      </c>
      <c r="H1207" s="6" t="s">
        <v>83</v>
      </c>
      <c r="I1207" s="6" t="s">
        <v>20</v>
      </c>
      <c r="J1207" s="6">
        <v>1995.0</v>
      </c>
      <c r="K1207" s="6" t="s">
        <v>301</v>
      </c>
      <c r="L1207" s="6">
        <v>1.0</v>
      </c>
      <c r="M1207" s="8">
        <f t="shared" si="2"/>
        <v>0.08</v>
      </c>
      <c r="P1207" s="9"/>
    </row>
    <row r="1208">
      <c r="A1208" s="6" t="s">
        <v>3101</v>
      </c>
      <c r="B1208" s="6" t="s">
        <v>3102</v>
      </c>
      <c r="C1208" s="6" t="s">
        <v>43</v>
      </c>
      <c r="D1208" s="6" t="s">
        <v>3103</v>
      </c>
      <c r="E1208" s="6" t="s">
        <v>176</v>
      </c>
      <c r="F1208" s="6" t="s">
        <v>77</v>
      </c>
      <c r="G1208" s="7">
        <v>0.17</v>
      </c>
      <c r="H1208" s="6" t="s">
        <v>1064</v>
      </c>
      <c r="I1208" s="6" t="s">
        <v>20</v>
      </c>
      <c r="J1208" s="6">
        <v>1995.0</v>
      </c>
      <c r="K1208" s="6" t="s">
        <v>301</v>
      </c>
      <c r="L1208" s="6">
        <v>2.0</v>
      </c>
      <c r="M1208" s="8">
        <f t="shared" si="2"/>
        <v>0.34</v>
      </c>
      <c r="P1208" s="9"/>
    </row>
    <row r="1209">
      <c r="A1209" s="6" t="s">
        <v>3101</v>
      </c>
      <c r="B1209" s="6" t="s">
        <v>3102</v>
      </c>
      <c r="C1209" s="6" t="s">
        <v>43</v>
      </c>
      <c r="D1209" s="6" t="s">
        <v>3103</v>
      </c>
      <c r="E1209" s="6" t="s">
        <v>176</v>
      </c>
      <c r="F1209" s="6" t="s">
        <v>77</v>
      </c>
      <c r="G1209" s="7">
        <v>0.21</v>
      </c>
      <c r="H1209" s="6" t="s">
        <v>453</v>
      </c>
      <c r="I1209" s="6" t="s">
        <v>20</v>
      </c>
      <c r="J1209" s="6">
        <v>1994.0</v>
      </c>
      <c r="K1209" s="6" t="s">
        <v>301</v>
      </c>
      <c r="L1209" s="6">
        <v>3.0</v>
      </c>
      <c r="M1209" s="8">
        <f t="shared" si="2"/>
        <v>0.63</v>
      </c>
      <c r="P1209" s="9"/>
    </row>
    <row r="1210">
      <c r="A1210" s="6" t="s">
        <v>3104</v>
      </c>
      <c r="B1210" s="6" t="s">
        <v>162</v>
      </c>
      <c r="C1210" s="6" t="s">
        <v>43</v>
      </c>
      <c r="D1210" s="6" t="s">
        <v>3105</v>
      </c>
      <c r="E1210" s="6" t="s">
        <v>117</v>
      </c>
      <c r="F1210" s="6" t="s">
        <v>77</v>
      </c>
      <c r="G1210" s="7">
        <v>0.07</v>
      </c>
      <c r="H1210" s="6" t="s">
        <v>382</v>
      </c>
      <c r="I1210" s="6" t="s">
        <v>20</v>
      </c>
      <c r="J1210" s="6">
        <v>2020.0</v>
      </c>
      <c r="L1210" s="6">
        <v>1.0</v>
      </c>
      <c r="M1210" s="8">
        <f t="shared" si="2"/>
        <v>0.07</v>
      </c>
      <c r="P1210" s="9"/>
    </row>
    <row r="1211">
      <c r="A1211" s="6" t="s">
        <v>3106</v>
      </c>
      <c r="B1211" s="6" t="s">
        <v>3107</v>
      </c>
      <c r="C1211" s="6" t="s">
        <v>37</v>
      </c>
      <c r="D1211" s="6" t="s">
        <v>3108</v>
      </c>
      <c r="E1211" s="6" t="s">
        <v>190</v>
      </c>
      <c r="F1211" s="6" t="s">
        <v>18</v>
      </c>
      <c r="G1211" s="7">
        <v>0.2</v>
      </c>
      <c r="H1211" s="6" t="s">
        <v>136</v>
      </c>
      <c r="I1211" s="6" t="s">
        <v>20</v>
      </c>
      <c r="J1211" s="6">
        <v>2026.0</v>
      </c>
      <c r="K1211" s="10">
        <v>46023.0</v>
      </c>
      <c r="L1211" s="6">
        <v>1.0</v>
      </c>
      <c r="M1211" s="8">
        <f t="shared" si="2"/>
        <v>0.2</v>
      </c>
      <c r="P1211" s="9"/>
    </row>
    <row r="1212">
      <c r="A1212" s="6" t="s">
        <v>3109</v>
      </c>
      <c r="B1212" s="6" t="s">
        <v>162</v>
      </c>
      <c r="C1212" s="6" t="s">
        <v>37</v>
      </c>
      <c r="D1212" s="6" t="s">
        <v>3110</v>
      </c>
      <c r="E1212" s="6" t="s">
        <v>111</v>
      </c>
      <c r="F1212" s="6" t="s">
        <v>112</v>
      </c>
      <c r="G1212" s="7">
        <v>0.1</v>
      </c>
      <c r="H1212" s="6" t="s">
        <v>160</v>
      </c>
      <c r="I1212" s="6" t="s">
        <v>20</v>
      </c>
      <c r="J1212" s="6">
        <v>2024.0</v>
      </c>
      <c r="L1212" s="6">
        <v>1.0</v>
      </c>
      <c r="M1212" s="8">
        <f t="shared" si="2"/>
        <v>0.1</v>
      </c>
      <c r="P1212" s="9"/>
    </row>
    <row r="1213">
      <c r="A1213" s="6" t="s">
        <v>3111</v>
      </c>
      <c r="B1213" s="6" t="s">
        <v>3112</v>
      </c>
      <c r="C1213" s="6" t="s">
        <v>23</v>
      </c>
      <c r="D1213" s="6" t="s">
        <v>3113</v>
      </c>
      <c r="E1213" s="6" t="s">
        <v>3114</v>
      </c>
      <c r="F1213" s="6" t="s">
        <v>112</v>
      </c>
      <c r="G1213" s="7">
        <v>0.09</v>
      </c>
      <c r="H1213" s="6" t="s">
        <v>780</v>
      </c>
      <c r="I1213" s="6" t="s">
        <v>20</v>
      </c>
      <c r="J1213" s="6">
        <v>2025.0</v>
      </c>
      <c r="K1213" s="10">
        <v>46147.0</v>
      </c>
      <c r="L1213" s="6">
        <v>1.0</v>
      </c>
      <c r="M1213" s="8">
        <f t="shared" si="2"/>
        <v>0.09</v>
      </c>
      <c r="P1213" s="9"/>
    </row>
    <row r="1214">
      <c r="A1214" s="6" t="s">
        <v>3115</v>
      </c>
      <c r="B1214" s="6" t="s">
        <v>146</v>
      </c>
      <c r="C1214" s="6" t="s">
        <v>37</v>
      </c>
      <c r="D1214" s="6" t="s">
        <v>3116</v>
      </c>
      <c r="E1214" s="6" t="s">
        <v>164</v>
      </c>
      <c r="F1214" s="6" t="s">
        <v>112</v>
      </c>
      <c r="G1214" s="7">
        <v>0.23</v>
      </c>
      <c r="H1214" s="6" t="s">
        <v>113</v>
      </c>
      <c r="I1214" s="6" t="s">
        <v>20</v>
      </c>
      <c r="J1214" s="6">
        <v>2023.0</v>
      </c>
      <c r="L1214" s="6">
        <v>1.0</v>
      </c>
      <c r="M1214" s="8">
        <f t="shared" si="2"/>
        <v>0.23</v>
      </c>
      <c r="P1214" s="9"/>
    </row>
    <row r="1215">
      <c r="A1215" s="6" t="s">
        <v>3117</v>
      </c>
      <c r="B1215" s="6" t="s">
        <v>3118</v>
      </c>
      <c r="C1215" s="6" t="s">
        <v>418</v>
      </c>
      <c r="D1215" s="6" t="s">
        <v>3119</v>
      </c>
      <c r="E1215" s="6" t="s">
        <v>579</v>
      </c>
      <c r="F1215" s="6" t="s">
        <v>112</v>
      </c>
      <c r="G1215" s="7">
        <v>0.74</v>
      </c>
      <c r="H1215" s="7" t="s">
        <v>3038</v>
      </c>
      <c r="I1215" s="6" t="s">
        <v>20</v>
      </c>
      <c r="J1215" s="6">
        <v>2006.0</v>
      </c>
      <c r="K1215" s="10">
        <v>46055.0</v>
      </c>
      <c r="L1215" s="6">
        <v>1.0</v>
      </c>
      <c r="M1215" s="8">
        <f t="shared" si="2"/>
        <v>0.74</v>
      </c>
      <c r="P1215" s="9"/>
    </row>
    <row r="1216">
      <c r="A1216" s="6" t="s">
        <v>3120</v>
      </c>
      <c r="B1216" s="6" t="s">
        <v>115</v>
      </c>
      <c r="C1216" s="6" t="s">
        <v>23</v>
      </c>
      <c r="D1216" s="6" t="s">
        <v>3121</v>
      </c>
      <c r="E1216" s="6" t="s">
        <v>980</v>
      </c>
      <c r="F1216" s="6" t="s">
        <v>112</v>
      </c>
      <c r="G1216" s="7">
        <v>0.08</v>
      </c>
      <c r="H1216" s="6" t="s">
        <v>19</v>
      </c>
      <c r="I1216" s="6" t="s">
        <v>20</v>
      </c>
      <c r="J1216" s="6">
        <v>2023.0</v>
      </c>
      <c r="L1216" s="6">
        <v>1.0</v>
      </c>
      <c r="M1216" s="8">
        <f t="shared" si="2"/>
        <v>0.08</v>
      </c>
      <c r="P1216" s="9"/>
    </row>
    <row r="1217">
      <c r="A1217" s="6" t="s">
        <v>3122</v>
      </c>
      <c r="B1217" s="6" t="s">
        <v>146</v>
      </c>
      <c r="C1217" s="6" t="s">
        <v>37</v>
      </c>
      <c r="D1217" s="6" t="s">
        <v>3123</v>
      </c>
      <c r="E1217" s="6" t="s">
        <v>753</v>
      </c>
      <c r="F1217" s="6" t="s">
        <v>87</v>
      </c>
      <c r="G1217" s="7">
        <v>0.07</v>
      </c>
      <c r="H1217" s="6" t="s">
        <v>3124</v>
      </c>
      <c r="I1217" s="6" t="s">
        <v>20</v>
      </c>
      <c r="J1217" s="6">
        <v>2010.0</v>
      </c>
      <c r="L1217" s="6">
        <v>1.0</v>
      </c>
      <c r="M1217" s="8">
        <f t="shared" si="2"/>
        <v>0.07</v>
      </c>
      <c r="P1217" s="9"/>
    </row>
    <row r="1218">
      <c r="A1218" s="6" t="s">
        <v>3125</v>
      </c>
      <c r="B1218" s="6" t="s">
        <v>3126</v>
      </c>
      <c r="C1218" s="6" t="s">
        <v>37</v>
      </c>
      <c r="D1218" s="6" t="s">
        <v>3127</v>
      </c>
      <c r="E1218" s="6" t="s">
        <v>98</v>
      </c>
      <c r="F1218" s="6" t="s">
        <v>18</v>
      </c>
      <c r="G1218" s="7">
        <v>0.09</v>
      </c>
      <c r="H1218" s="6" t="s">
        <v>238</v>
      </c>
      <c r="I1218" s="6" t="s">
        <v>20</v>
      </c>
      <c r="J1218" s="6">
        <v>2024.0</v>
      </c>
      <c r="K1218" s="10">
        <v>46056.0</v>
      </c>
      <c r="L1218" s="6">
        <v>1.0</v>
      </c>
      <c r="M1218" s="8">
        <f t="shared" si="2"/>
        <v>0.09</v>
      </c>
      <c r="P1218" s="9"/>
    </row>
    <row r="1219">
      <c r="A1219" s="6" t="s">
        <v>3128</v>
      </c>
      <c r="B1219" s="6" t="s">
        <v>115</v>
      </c>
      <c r="C1219" s="6" t="s">
        <v>156</v>
      </c>
      <c r="D1219" s="6" t="s">
        <v>3129</v>
      </c>
      <c r="E1219" s="6" t="s">
        <v>3130</v>
      </c>
      <c r="F1219" s="6" t="s">
        <v>87</v>
      </c>
      <c r="G1219" s="7">
        <v>17.95</v>
      </c>
      <c r="H1219" s="6" t="s">
        <v>130</v>
      </c>
      <c r="I1219" s="6" t="s">
        <v>20</v>
      </c>
      <c r="J1219" s="6">
        <v>2014.0</v>
      </c>
      <c r="L1219" s="6">
        <v>1.0</v>
      </c>
      <c r="M1219" s="8">
        <f t="shared" si="2"/>
        <v>17.95</v>
      </c>
      <c r="P1219" s="9"/>
    </row>
    <row r="1220">
      <c r="A1220" s="6" t="s">
        <v>3131</v>
      </c>
      <c r="B1220" s="6" t="s">
        <v>953</v>
      </c>
      <c r="C1220" s="6" t="s">
        <v>43</v>
      </c>
      <c r="D1220" s="6" t="s">
        <v>3132</v>
      </c>
      <c r="E1220" s="6" t="s">
        <v>224</v>
      </c>
      <c r="F1220" s="6" t="s">
        <v>18</v>
      </c>
      <c r="G1220" s="7">
        <v>0.06</v>
      </c>
      <c r="H1220" s="6" t="s">
        <v>297</v>
      </c>
      <c r="I1220" s="6" t="s">
        <v>20</v>
      </c>
      <c r="J1220" s="6">
        <v>2022.0</v>
      </c>
      <c r="K1220" s="10">
        <v>46179.0</v>
      </c>
      <c r="L1220" s="6">
        <v>3.0</v>
      </c>
      <c r="M1220" s="8">
        <f t="shared" si="2"/>
        <v>0.18</v>
      </c>
      <c r="P1220" s="9"/>
    </row>
    <row r="1221">
      <c r="A1221" s="6" t="s">
        <v>3133</v>
      </c>
      <c r="B1221" s="6" t="s">
        <v>192</v>
      </c>
      <c r="C1221" s="6" t="s">
        <v>37</v>
      </c>
      <c r="D1221" s="6" t="s">
        <v>3134</v>
      </c>
      <c r="E1221" s="6" t="s">
        <v>25</v>
      </c>
      <c r="F1221" s="6" t="s">
        <v>26</v>
      </c>
      <c r="G1221" s="7">
        <v>0.5</v>
      </c>
      <c r="H1221" s="6" t="s">
        <v>187</v>
      </c>
      <c r="I1221" s="6" t="s">
        <v>20</v>
      </c>
      <c r="J1221" s="6">
        <v>1995.0</v>
      </c>
      <c r="L1221" s="6">
        <v>1.0</v>
      </c>
      <c r="M1221" s="8">
        <f t="shared" si="2"/>
        <v>0.5</v>
      </c>
      <c r="P1221" s="9"/>
    </row>
    <row r="1222">
      <c r="A1222" s="6" t="s">
        <v>3135</v>
      </c>
      <c r="B1222" s="6" t="s">
        <v>74</v>
      </c>
      <c r="C1222" s="6" t="s">
        <v>43</v>
      </c>
      <c r="D1222" s="6" t="s">
        <v>3136</v>
      </c>
      <c r="E1222" s="6" t="s">
        <v>164</v>
      </c>
      <c r="F1222" s="6" t="s">
        <v>112</v>
      </c>
      <c r="G1222" s="7">
        <v>1.81</v>
      </c>
      <c r="H1222" s="6" t="s">
        <v>1004</v>
      </c>
      <c r="I1222" s="6" t="s">
        <v>20</v>
      </c>
      <c r="J1222" s="6">
        <v>2022.0</v>
      </c>
      <c r="L1222" s="6">
        <v>1.0</v>
      </c>
      <c r="M1222" s="8">
        <f t="shared" si="2"/>
        <v>1.81</v>
      </c>
      <c r="P1222" s="9"/>
    </row>
    <row r="1223">
      <c r="A1223" s="6" t="s">
        <v>3137</v>
      </c>
      <c r="B1223" s="6" t="s">
        <v>3138</v>
      </c>
      <c r="C1223" s="6" t="s">
        <v>23</v>
      </c>
      <c r="D1223" s="6" t="s">
        <v>3139</v>
      </c>
      <c r="E1223" s="6" t="s">
        <v>252</v>
      </c>
      <c r="F1223" s="6" t="s">
        <v>40</v>
      </c>
      <c r="G1223" s="7">
        <v>0.05</v>
      </c>
      <c r="H1223" s="6" t="s">
        <v>153</v>
      </c>
      <c r="I1223" s="6" t="s">
        <v>20</v>
      </c>
      <c r="J1223" s="6">
        <v>2025.0</v>
      </c>
      <c r="K1223" s="10">
        <v>46082.0</v>
      </c>
      <c r="L1223" s="6">
        <v>7.0</v>
      </c>
      <c r="M1223" s="8">
        <f t="shared" si="2"/>
        <v>0.35</v>
      </c>
      <c r="P1223" s="9"/>
    </row>
    <row r="1224">
      <c r="A1224" s="6" t="s">
        <v>3137</v>
      </c>
      <c r="B1224" s="6" t="s">
        <v>3138</v>
      </c>
      <c r="C1224" s="6" t="s">
        <v>23</v>
      </c>
      <c r="D1224" s="6" t="s">
        <v>3139</v>
      </c>
      <c r="E1224" s="6" t="s">
        <v>252</v>
      </c>
      <c r="F1224" s="6" t="s">
        <v>40</v>
      </c>
      <c r="G1224" s="7">
        <v>0.25</v>
      </c>
      <c r="H1224" s="6" t="s">
        <v>153</v>
      </c>
      <c r="I1224" s="6" t="s">
        <v>45</v>
      </c>
      <c r="J1224" s="6">
        <v>2025.0</v>
      </c>
      <c r="K1224" s="10">
        <v>46082.0</v>
      </c>
      <c r="L1224" s="6">
        <v>2.0</v>
      </c>
      <c r="M1224" s="8">
        <f t="shared" si="2"/>
        <v>0.5</v>
      </c>
      <c r="P1224" s="9"/>
    </row>
    <row r="1225">
      <c r="A1225" s="6" t="s">
        <v>3140</v>
      </c>
      <c r="B1225" s="6" t="s">
        <v>240</v>
      </c>
      <c r="C1225" s="6" t="s">
        <v>15</v>
      </c>
      <c r="D1225" s="6" t="s">
        <v>3141</v>
      </c>
      <c r="E1225" s="6" t="s">
        <v>3142</v>
      </c>
      <c r="F1225" s="6" t="s">
        <v>1811</v>
      </c>
      <c r="G1225" s="7">
        <v>0.25</v>
      </c>
      <c r="H1225" s="6" t="s">
        <v>3143</v>
      </c>
      <c r="I1225" s="6" t="s">
        <v>20</v>
      </c>
      <c r="J1225" s="6">
        <v>2025.0</v>
      </c>
      <c r="K1225" s="10">
        <v>46056.0</v>
      </c>
      <c r="L1225" s="6">
        <v>2.0</v>
      </c>
      <c r="M1225" s="8">
        <f t="shared" si="2"/>
        <v>0.5</v>
      </c>
      <c r="P1225" s="9"/>
    </row>
    <row r="1226">
      <c r="A1226" s="6" t="s">
        <v>3144</v>
      </c>
      <c r="B1226" s="6" t="s">
        <v>3145</v>
      </c>
      <c r="C1226" s="6" t="s">
        <v>1488</v>
      </c>
      <c r="D1226" s="6" t="s">
        <v>3146</v>
      </c>
      <c r="E1226" s="6" t="s">
        <v>3147</v>
      </c>
      <c r="F1226" s="6" t="s">
        <v>977</v>
      </c>
      <c r="G1226" s="7">
        <v>1.76</v>
      </c>
      <c r="H1226" s="6" t="s">
        <v>3148</v>
      </c>
      <c r="I1226" s="6" t="s">
        <v>20</v>
      </c>
      <c r="J1226" s="6">
        <v>2023.0</v>
      </c>
      <c r="K1226" s="10">
        <v>46146.0</v>
      </c>
      <c r="L1226" s="6">
        <v>1.0</v>
      </c>
      <c r="M1226" s="8">
        <f t="shared" si="2"/>
        <v>1.76</v>
      </c>
      <c r="P1226" s="9"/>
    </row>
    <row r="1227">
      <c r="A1227" s="6" t="s">
        <v>3149</v>
      </c>
      <c r="B1227" s="6" t="s">
        <v>3150</v>
      </c>
      <c r="C1227" s="6" t="s">
        <v>43</v>
      </c>
      <c r="D1227" s="6" t="s">
        <v>3151</v>
      </c>
      <c r="E1227" s="6" t="s">
        <v>39</v>
      </c>
      <c r="F1227" s="6" t="s">
        <v>40</v>
      </c>
      <c r="G1227" s="7">
        <v>0.1</v>
      </c>
      <c r="H1227" s="6" t="s">
        <v>471</v>
      </c>
      <c r="I1227" s="6" t="s">
        <v>20</v>
      </c>
      <c r="J1227" s="6">
        <v>2026.0</v>
      </c>
      <c r="K1227" s="10">
        <v>46115.0</v>
      </c>
      <c r="L1227" s="6">
        <v>2.0</v>
      </c>
      <c r="M1227" s="8">
        <f t="shared" si="2"/>
        <v>0.2</v>
      </c>
      <c r="P1227" s="9"/>
    </row>
    <row r="1228">
      <c r="A1228" s="6" t="s">
        <v>3152</v>
      </c>
      <c r="B1228" s="6" t="s">
        <v>138</v>
      </c>
      <c r="C1228" s="6" t="s">
        <v>37</v>
      </c>
      <c r="D1228" s="6" t="s">
        <v>3153</v>
      </c>
      <c r="E1228" s="6" t="s">
        <v>135</v>
      </c>
      <c r="F1228" s="6" t="s">
        <v>40</v>
      </c>
      <c r="G1228" s="7">
        <v>0.13</v>
      </c>
      <c r="H1228" s="6" t="s">
        <v>228</v>
      </c>
      <c r="I1228" s="6" t="s">
        <v>20</v>
      </c>
      <c r="J1228" s="6">
        <v>2025.0</v>
      </c>
      <c r="L1228" s="6">
        <v>1.0</v>
      </c>
      <c r="M1228" s="8">
        <f t="shared" si="2"/>
        <v>0.13</v>
      </c>
      <c r="P1228" s="9"/>
    </row>
    <row r="1229">
      <c r="A1229" s="6" t="s">
        <v>3154</v>
      </c>
      <c r="B1229" s="6" t="s">
        <v>74</v>
      </c>
      <c r="C1229" s="6" t="s">
        <v>37</v>
      </c>
      <c r="D1229" s="6" t="s">
        <v>3155</v>
      </c>
      <c r="E1229" s="6" t="s">
        <v>135</v>
      </c>
      <c r="F1229" s="6" t="s">
        <v>40</v>
      </c>
      <c r="G1229" s="7">
        <v>0.17</v>
      </c>
      <c r="H1229" s="6" t="s">
        <v>1584</v>
      </c>
      <c r="I1229" s="6" t="s">
        <v>20</v>
      </c>
      <c r="J1229" s="6">
        <v>1997.0</v>
      </c>
      <c r="L1229" s="6">
        <v>1.0</v>
      </c>
      <c r="M1229" s="8">
        <f t="shared" si="2"/>
        <v>0.17</v>
      </c>
      <c r="P1229" s="9"/>
    </row>
    <row r="1230">
      <c r="A1230" s="6" t="s">
        <v>3156</v>
      </c>
      <c r="B1230" s="6" t="s">
        <v>606</v>
      </c>
      <c r="C1230" s="6" t="s">
        <v>15</v>
      </c>
      <c r="D1230" s="6" t="s">
        <v>3157</v>
      </c>
      <c r="E1230" s="6" t="s">
        <v>980</v>
      </c>
      <c r="F1230" s="6" t="s">
        <v>112</v>
      </c>
      <c r="G1230" s="7">
        <v>0.18</v>
      </c>
      <c r="H1230" s="6" t="s">
        <v>153</v>
      </c>
      <c r="I1230" s="6" t="s">
        <v>20</v>
      </c>
      <c r="J1230" s="6">
        <v>2025.0</v>
      </c>
      <c r="L1230" s="6">
        <v>3.0</v>
      </c>
      <c r="M1230" s="8">
        <f t="shared" si="2"/>
        <v>0.54</v>
      </c>
      <c r="P1230" s="9"/>
    </row>
    <row r="1231">
      <c r="A1231" s="6" t="s">
        <v>3158</v>
      </c>
      <c r="B1231" s="6" t="s">
        <v>208</v>
      </c>
      <c r="C1231" s="6" t="s">
        <v>43</v>
      </c>
      <c r="D1231" s="6" t="s">
        <v>3159</v>
      </c>
      <c r="E1231" s="6" t="s">
        <v>98</v>
      </c>
      <c r="F1231" s="6" t="s">
        <v>18</v>
      </c>
      <c r="G1231" s="7">
        <v>0.2</v>
      </c>
      <c r="H1231" s="6" t="s">
        <v>444</v>
      </c>
      <c r="I1231" s="6" t="s">
        <v>20</v>
      </c>
      <c r="J1231" s="6">
        <v>2012.0</v>
      </c>
      <c r="K1231" s="10">
        <v>46113.0</v>
      </c>
      <c r="L1231" s="6">
        <v>1.0</v>
      </c>
      <c r="M1231" s="8">
        <f t="shared" si="2"/>
        <v>0.2</v>
      </c>
      <c r="P1231" s="9"/>
    </row>
    <row r="1232">
      <c r="A1232" s="6" t="s">
        <v>3160</v>
      </c>
      <c r="B1232" s="6" t="s">
        <v>74</v>
      </c>
      <c r="C1232" s="6" t="s">
        <v>43</v>
      </c>
      <c r="D1232" s="6" t="s">
        <v>3161</v>
      </c>
      <c r="E1232" s="6" t="s">
        <v>140</v>
      </c>
      <c r="F1232" s="6" t="s">
        <v>87</v>
      </c>
      <c r="G1232" s="7">
        <v>12.26</v>
      </c>
      <c r="H1232" s="6" t="s">
        <v>3124</v>
      </c>
      <c r="I1232" s="6" t="s">
        <v>20</v>
      </c>
      <c r="J1232" s="6">
        <v>2010.0</v>
      </c>
      <c r="L1232" s="6">
        <v>4.0</v>
      </c>
      <c r="M1232" s="8">
        <f t="shared" si="2"/>
        <v>49.04</v>
      </c>
      <c r="P1232" s="9"/>
    </row>
    <row r="1233">
      <c r="A1233" s="6" t="s">
        <v>3162</v>
      </c>
      <c r="B1233" s="6" t="s">
        <v>192</v>
      </c>
      <c r="C1233" s="6" t="s">
        <v>418</v>
      </c>
      <c r="D1233" s="6" t="s">
        <v>3163</v>
      </c>
      <c r="E1233" s="6" t="s">
        <v>25</v>
      </c>
      <c r="F1233" s="6" t="s">
        <v>312</v>
      </c>
      <c r="G1233" s="7">
        <v>0.05</v>
      </c>
      <c r="H1233" s="6" t="s">
        <v>217</v>
      </c>
      <c r="I1233" s="6" t="s">
        <v>20</v>
      </c>
      <c r="J1233" s="6">
        <v>2003.0</v>
      </c>
      <c r="L1233" s="6">
        <v>1.0</v>
      </c>
      <c r="M1233" s="8">
        <f t="shared" si="2"/>
        <v>0.05</v>
      </c>
      <c r="P1233" s="9"/>
    </row>
    <row r="1234">
      <c r="A1234" s="6" t="s">
        <v>3164</v>
      </c>
      <c r="B1234" s="6" t="s">
        <v>2565</v>
      </c>
      <c r="C1234" s="6" t="s">
        <v>15</v>
      </c>
      <c r="D1234" s="6" t="s">
        <v>3165</v>
      </c>
      <c r="E1234" s="6" t="s">
        <v>3166</v>
      </c>
      <c r="F1234" s="6" t="s">
        <v>87</v>
      </c>
      <c r="G1234" s="7">
        <v>0.26</v>
      </c>
      <c r="H1234" s="6" t="s">
        <v>780</v>
      </c>
      <c r="I1234" s="6" t="s">
        <v>45</v>
      </c>
      <c r="J1234" s="6">
        <v>2025.0</v>
      </c>
      <c r="K1234" s="10">
        <v>46148.0</v>
      </c>
      <c r="L1234" s="6">
        <v>1.0</v>
      </c>
      <c r="M1234" s="8">
        <f t="shared" si="2"/>
        <v>0.26</v>
      </c>
      <c r="P1234" s="9"/>
    </row>
    <row r="1235">
      <c r="A1235" s="6" t="s">
        <v>3167</v>
      </c>
      <c r="B1235" s="6" t="s">
        <v>3168</v>
      </c>
      <c r="C1235" s="6" t="s">
        <v>15</v>
      </c>
      <c r="D1235" s="6" t="s">
        <v>3169</v>
      </c>
      <c r="E1235" s="6" t="s">
        <v>17</v>
      </c>
      <c r="F1235" s="6" t="s">
        <v>18</v>
      </c>
      <c r="G1235" s="7">
        <v>0.5</v>
      </c>
      <c r="H1235" s="6" t="s">
        <v>19</v>
      </c>
      <c r="I1235" s="6" t="s">
        <v>20</v>
      </c>
      <c r="J1235" s="6">
        <v>2023.0</v>
      </c>
      <c r="K1235" s="10">
        <v>46114.0</v>
      </c>
      <c r="L1235" s="6">
        <v>2.0</v>
      </c>
      <c r="M1235" s="8">
        <f t="shared" si="2"/>
        <v>1</v>
      </c>
      <c r="P1235" s="9"/>
    </row>
    <row r="1236">
      <c r="A1236" s="6" t="s">
        <v>3170</v>
      </c>
      <c r="B1236" s="6" t="s">
        <v>1533</v>
      </c>
      <c r="C1236" s="6" t="s">
        <v>43</v>
      </c>
      <c r="D1236" s="6" t="s">
        <v>3171</v>
      </c>
      <c r="E1236" s="6" t="s">
        <v>3172</v>
      </c>
      <c r="F1236" s="6" t="s">
        <v>636</v>
      </c>
      <c r="G1236" s="7">
        <v>0.11</v>
      </c>
      <c r="H1236" s="6" t="s">
        <v>471</v>
      </c>
      <c r="I1236" s="6" t="s">
        <v>20</v>
      </c>
      <c r="J1236" s="6">
        <v>2026.0</v>
      </c>
      <c r="K1236" s="10">
        <v>46057.0</v>
      </c>
      <c r="L1236" s="6">
        <v>2.0</v>
      </c>
      <c r="M1236" s="8">
        <f t="shared" si="2"/>
        <v>0.22</v>
      </c>
      <c r="P1236" s="9"/>
    </row>
    <row r="1237">
      <c r="A1237" s="6" t="s">
        <v>3173</v>
      </c>
      <c r="B1237" s="6" t="s">
        <v>625</v>
      </c>
      <c r="C1237" s="6" t="s">
        <v>43</v>
      </c>
      <c r="D1237" s="6" t="s">
        <v>3174</v>
      </c>
      <c r="E1237" s="6" t="s">
        <v>1027</v>
      </c>
      <c r="F1237" s="6" t="s">
        <v>77</v>
      </c>
      <c r="G1237" s="7">
        <v>0.1</v>
      </c>
      <c r="H1237" s="6" t="s">
        <v>187</v>
      </c>
      <c r="I1237" s="6" t="s">
        <v>20</v>
      </c>
      <c r="J1237" s="6">
        <v>1995.0</v>
      </c>
      <c r="K1237" s="10">
        <v>46055.0</v>
      </c>
      <c r="L1237" s="6">
        <v>3.0</v>
      </c>
      <c r="M1237" s="8">
        <f t="shared" si="2"/>
        <v>0.3</v>
      </c>
      <c r="P1237" s="9"/>
    </row>
    <row r="1238">
      <c r="A1238" s="6" t="s">
        <v>3175</v>
      </c>
      <c r="B1238" s="6" t="s">
        <v>1986</v>
      </c>
      <c r="C1238" s="6" t="s">
        <v>37</v>
      </c>
      <c r="D1238" s="6" t="s">
        <v>3176</v>
      </c>
      <c r="E1238" s="6" t="s">
        <v>3177</v>
      </c>
      <c r="F1238" s="6" t="s">
        <v>1118</v>
      </c>
      <c r="G1238" s="7">
        <v>0.05</v>
      </c>
      <c r="H1238" s="6" t="s">
        <v>895</v>
      </c>
      <c r="I1238" s="6" t="s">
        <v>20</v>
      </c>
      <c r="J1238" s="6">
        <v>2018.0</v>
      </c>
      <c r="K1238" s="10">
        <v>46084.0</v>
      </c>
      <c r="L1238" s="6">
        <v>1.0</v>
      </c>
      <c r="M1238" s="8">
        <f t="shared" si="2"/>
        <v>0.05</v>
      </c>
      <c r="P1238" s="9"/>
    </row>
    <row r="1239">
      <c r="A1239" s="6" t="s">
        <v>3178</v>
      </c>
      <c r="B1239" s="6" t="s">
        <v>3179</v>
      </c>
      <c r="C1239" s="6" t="s">
        <v>15</v>
      </c>
      <c r="D1239" s="6" t="s">
        <v>3180</v>
      </c>
      <c r="E1239" s="6" t="s">
        <v>3084</v>
      </c>
      <c r="F1239" s="6" t="s">
        <v>3181</v>
      </c>
      <c r="G1239" s="7">
        <v>0.32</v>
      </c>
      <c r="H1239" s="6" t="s">
        <v>153</v>
      </c>
      <c r="I1239" s="6" t="s">
        <v>20</v>
      </c>
      <c r="J1239" s="6">
        <v>2025.0</v>
      </c>
      <c r="K1239" s="10">
        <v>46055.0</v>
      </c>
      <c r="L1239" s="6">
        <v>1.0</v>
      </c>
      <c r="M1239" s="8">
        <f t="shared" si="2"/>
        <v>0.32</v>
      </c>
      <c r="P1239" s="9"/>
    </row>
    <row r="1240">
      <c r="A1240" s="6" t="s">
        <v>3182</v>
      </c>
      <c r="B1240" s="6" t="s">
        <v>3183</v>
      </c>
      <c r="C1240" s="6" t="s">
        <v>37</v>
      </c>
      <c r="D1240" s="6" t="s">
        <v>3184</v>
      </c>
      <c r="E1240" s="6" t="s">
        <v>389</v>
      </c>
      <c r="F1240" s="6" t="s">
        <v>87</v>
      </c>
      <c r="G1240" s="7">
        <v>0.18</v>
      </c>
      <c r="H1240" s="6" t="s">
        <v>148</v>
      </c>
      <c r="I1240" s="6" t="s">
        <v>20</v>
      </c>
      <c r="J1240" s="6">
        <v>2026.0</v>
      </c>
      <c r="K1240" s="10">
        <v>46115.0</v>
      </c>
      <c r="L1240" s="6">
        <v>1.0</v>
      </c>
      <c r="M1240" s="8">
        <f t="shared" si="2"/>
        <v>0.18</v>
      </c>
      <c r="P1240" s="9"/>
    </row>
    <row r="1241">
      <c r="A1241" s="6" t="s">
        <v>3185</v>
      </c>
      <c r="B1241" s="6" t="s">
        <v>647</v>
      </c>
      <c r="C1241" s="6" t="s">
        <v>37</v>
      </c>
      <c r="D1241" s="6" t="s">
        <v>3186</v>
      </c>
      <c r="E1241" s="6" t="s">
        <v>319</v>
      </c>
      <c r="F1241" s="6" t="s">
        <v>26</v>
      </c>
      <c r="G1241" s="7">
        <v>0.09</v>
      </c>
      <c r="H1241" s="6" t="s">
        <v>431</v>
      </c>
      <c r="I1241" s="6" t="s">
        <v>20</v>
      </c>
      <c r="J1241" s="6">
        <v>2019.0</v>
      </c>
      <c r="K1241" s="10">
        <v>46242.0</v>
      </c>
      <c r="L1241" s="6">
        <v>1.0</v>
      </c>
      <c r="M1241" s="8">
        <f t="shared" si="2"/>
        <v>0.09</v>
      </c>
      <c r="P1241" s="9"/>
    </row>
    <row r="1242">
      <c r="A1242" s="6" t="s">
        <v>3187</v>
      </c>
      <c r="B1242" s="6" t="s">
        <v>3188</v>
      </c>
      <c r="C1242" s="6" t="s">
        <v>37</v>
      </c>
      <c r="D1242" s="6" t="s">
        <v>3189</v>
      </c>
      <c r="E1242" s="6" t="s">
        <v>329</v>
      </c>
      <c r="F1242" s="6" t="s">
        <v>112</v>
      </c>
      <c r="G1242" s="7">
        <v>0.13</v>
      </c>
      <c r="H1242" s="6" t="s">
        <v>431</v>
      </c>
      <c r="I1242" s="6" t="s">
        <v>20</v>
      </c>
      <c r="J1242" s="6">
        <v>2019.0</v>
      </c>
      <c r="K1242" s="10">
        <v>46055.0</v>
      </c>
      <c r="L1242" s="6">
        <v>3.0</v>
      </c>
      <c r="M1242" s="8">
        <f t="shared" si="2"/>
        <v>0.39</v>
      </c>
      <c r="P1242" s="9"/>
    </row>
    <row r="1243">
      <c r="A1243" s="6" t="s">
        <v>3190</v>
      </c>
      <c r="B1243" s="6" t="s">
        <v>721</v>
      </c>
      <c r="C1243" s="6" t="s">
        <v>43</v>
      </c>
      <c r="D1243" s="6" t="s">
        <v>3191</v>
      </c>
      <c r="F1243" s="6" t="s">
        <v>26</v>
      </c>
      <c r="G1243" s="7">
        <v>0.1</v>
      </c>
      <c r="H1243" s="6" t="s">
        <v>431</v>
      </c>
      <c r="I1243" s="6" t="s">
        <v>20</v>
      </c>
      <c r="J1243" s="6">
        <v>2019.0</v>
      </c>
      <c r="L1243" s="6">
        <v>3.0</v>
      </c>
      <c r="M1243" s="8">
        <f t="shared" si="2"/>
        <v>0.3</v>
      </c>
      <c r="P1243" s="9"/>
    </row>
    <row r="1244">
      <c r="A1244" s="6" t="s">
        <v>3192</v>
      </c>
      <c r="B1244" s="6" t="s">
        <v>162</v>
      </c>
      <c r="C1244" s="6" t="s">
        <v>43</v>
      </c>
      <c r="D1244" s="6" t="s">
        <v>3193</v>
      </c>
      <c r="E1244" s="6" t="s">
        <v>135</v>
      </c>
      <c r="F1244" s="6" t="s">
        <v>40</v>
      </c>
      <c r="G1244" s="7">
        <v>0.08</v>
      </c>
      <c r="H1244" s="6" t="s">
        <v>266</v>
      </c>
      <c r="I1244" s="6" t="s">
        <v>20</v>
      </c>
      <c r="J1244" s="6">
        <v>2025.0</v>
      </c>
      <c r="L1244" s="6">
        <v>1.0</v>
      </c>
      <c r="M1244" s="8">
        <f t="shared" si="2"/>
        <v>0.08</v>
      </c>
      <c r="P1244" s="9"/>
    </row>
    <row r="1245">
      <c r="A1245" s="6" t="s">
        <v>3194</v>
      </c>
      <c r="B1245" s="6" t="s">
        <v>3195</v>
      </c>
      <c r="C1245" s="6" t="s">
        <v>204</v>
      </c>
      <c r="D1245" s="6" t="s">
        <v>3196</v>
      </c>
      <c r="E1245" s="6" t="s">
        <v>76</v>
      </c>
      <c r="F1245" s="6" t="s">
        <v>77</v>
      </c>
      <c r="G1245" s="7">
        <v>0.11</v>
      </c>
      <c r="H1245" s="6" t="s">
        <v>1148</v>
      </c>
      <c r="I1245" s="6" t="s">
        <v>20</v>
      </c>
      <c r="J1245" s="6">
        <v>2012.0</v>
      </c>
      <c r="K1245" s="10">
        <v>46023.0</v>
      </c>
      <c r="L1245" s="6">
        <v>4.0</v>
      </c>
      <c r="M1245" s="8">
        <f t="shared" si="2"/>
        <v>0.44</v>
      </c>
      <c r="P1245" s="9"/>
    </row>
    <row r="1246">
      <c r="A1246" s="6" t="s">
        <v>3197</v>
      </c>
      <c r="B1246" s="6" t="s">
        <v>462</v>
      </c>
      <c r="C1246" s="6" t="s">
        <v>43</v>
      </c>
      <c r="D1246" s="6" t="s">
        <v>3198</v>
      </c>
      <c r="E1246" s="6" t="s">
        <v>76</v>
      </c>
      <c r="F1246" s="6" t="s">
        <v>77</v>
      </c>
      <c r="G1246" s="7">
        <v>0.05</v>
      </c>
      <c r="H1246" s="6" t="s">
        <v>187</v>
      </c>
      <c r="I1246" s="6" t="s">
        <v>20</v>
      </c>
      <c r="J1246" s="6">
        <v>1995.0</v>
      </c>
      <c r="L1246" s="6">
        <v>2.0</v>
      </c>
      <c r="M1246" s="8">
        <f t="shared" si="2"/>
        <v>0.1</v>
      </c>
      <c r="P1246" s="9"/>
    </row>
    <row r="1247">
      <c r="A1247" s="6" t="s">
        <v>3199</v>
      </c>
      <c r="B1247" s="6" t="s">
        <v>2070</v>
      </c>
      <c r="C1247" s="6" t="s">
        <v>43</v>
      </c>
      <c r="D1247" s="6" t="s">
        <v>3200</v>
      </c>
      <c r="E1247" s="6" t="s">
        <v>3201</v>
      </c>
      <c r="F1247" s="6" t="s">
        <v>18</v>
      </c>
      <c r="G1247" s="7">
        <v>0.1</v>
      </c>
      <c r="H1247" s="6" t="s">
        <v>228</v>
      </c>
      <c r="I1247" s="6" t="s">
        <v>20</v>
      </c>
      <c r="J1247" s="6">
        <v>2025.0</v>
      </c>
      <c r="K1247" s="10">
        <v>46178.0</v>
      </c>
      <c r="L1247" s="6">
        <v>2.0</v>
      </c>
      <c r="M1247" s="8">
        <f t="shared" si="2"/>
        <v>0.2</v>
      </c>
      <c r="P1247" s="9"/>
    </row>
    <row r="1248">
      <c r="A1248" s="6" t="s">
        <v>3202</v>
      </c>
      <c r="B1248" s="6" t="s">
        <v>292</v>
      </c>
      <c r="C1248" s="6" t="s">
        <v>204</v>
      </c>
      <c r="D1248" s="6" t="s">
        <v>3203</v>
      </c>
      <c r="E1248" s="6" t="s">
        <v>210</v>
      </c>
      <c r="F1248" s="6" t="s">
        <v>18</v>
      </c>
      <c r="G1248" s="7">
        <v>0.12</v>
      </c>
      <c r="H1248" s="6" t="s">
        <v>3204</v>
      </c>
      <c r="I1248" s="6" t="s">
        <v>20</v>
      </c>
      <c r="J1248" s="6">
        <v>2023.0</v>
      </c>
      <c r="L1248" s="6">
        <v>1.0</v>
      </c>
      <c r="M1248" s="8">
        <f t="shared" si="2"/>
        <v>0.12</v>
      </c>
      <c r="P1248" s="9"/>
    </row>
    <row r="1249">
      <c r="A1249" s="6" t="s">
        <v>3205</v>
      </c>
      <c r="B1249" s="6" t="s">
        <v>3206</v>
      </c>
      <c r="C1249" s="6" t="s">
        <v>37</v>
      </c>
      <c r="D1249" s="6" t="s">
        <v>3207</v>
      </c>
      <c r="E1249" s="6" t="s">
        <v>1634</v>
      </c>
      <c r="F1249" s="6" t="s">
        <v>87</v>
      </c>
      <c r="G1249" s="7">
        <v>0.13</v>
      </c>
      <c r="H1249" s="6" t="s">
        <v>136</v>
      </c>
      <c r="I1249" s="6" t="s">
        <v>20</v>
      </c>
      <c r="J1249" s="6">
        <v>2026.0</v>
      </c>
      <c r="K1249" s="10">
        <v>46085.0</v>
      </c>
      <c r="L1249" s="6">
        <v>1.0</v>
      </c>
      <c r="M1249" s="8">
        <f t="shared" si="2"/>
        <v>0.13</v>
      </c>
      <c r="P1249" s="9"/>
    </row>
    <row r="1250">
      <c r="A1250" s="6" t="s">
        <v>3208</v>
      </c>
      <c r="B1250" s="6" t="s">
        <v>292</v>
      </c>
      <c r="C1250" s="6" t="s">
        <v>183</v>
      </c>
      <c r="D1250" s="6" t="s">
        <v>3209</v>
      </c>
      <c r="E1250" s="6" t="s">
        <v>1939</v>
      </c>
      <c r="F1250" s="6" t="s">
        <v>3210</v>
      </c>
      <c r="G1250" s="7">
        <v>0.75</v>
      </c>
      <c r="H1250" s="6" t="s">
        <v>363</v>
      </c>
      <c r="I1250" s="6" t="s">
        <v>20</v>
      </c>
      <c r="J1250" s="6">
        <v>2024.0</v>
      </c>
      <c r="L1250" s="6">
        <v>1.0</v>
      </c>
      <c r="M1250" s="8">
        <f t="shared" si="2"/>
        <v>0.75</v>
      </c>
      <c r="P1250" s="9"/>
    </row>
    <row r="1251">
      <c r="A1251" s="6" t="s">
        <v>3211</v>
      </c>
      <c r="B1251" s="6" t="s">
        <v>3212</v>
      </c>
      <c r="C1251" s="6" t="s">
        <v>37</v>
      </c>
      <c r="D1251" s="6" t="s">
        <v>3213</v>
      </c>
      <c r="E1251" s="6" t="s">
        <v>1939</v>
      </c>
      <c r="F1251" s="6" t="s">
        <v>977</v>
      </c>
      <c r="G1251" s="7">
        <v>0.14</v>
      </c>
      <c r="H1251" s="6" t="s">
        <v>136</v>
      </c>
      <c r="I1251" s="6" t="s">
        <v>20</v>
      </c>
      <c r="J1251" s="6">
        <v>2026.0</v>
      </c>
      <c r="K1251" s="10">
        <v>46082.0</v>
      </c>
      <c r="L1251" s="6">
        <v>2.0</v>
      </c>
      <c r="M1251" s="8">
        <f t="shared" si="2"/>
        <v>0.28</v>
      </c>
      <c r="P1251" s="9"/>
    </row>
    <row r="1252">
      <c r="A1252" s="6" t="s">
        <v>3214</v>
      </c>
      <c r="B1252" s="6" t="s">
        <v>3215</v>
      </c>
      <c r="C1252" s="6" t="s">
        <v>37</v>
      </c>
      <c r="D1252" s="6" t="s">
        <v>3216</v>
      </c>
      <c r="E1252" s="6" t="s">
        <v>190</v>
      </c>
      <c r="F1252" s="6" t="s">
        <v>18</v>
      </c>
      <c r="G1252" s="7">
        <v>0.5</v>
      </c>
      <c r="H1252" s="6" t="s">
        <v>1833</v>
      </c>
      <c r="I1252" s="6" t="s">
        <v>45</v>
      </c>
      <c r="J1252" s="6">
        <v>2018.0</v>
      </c>
      <c r="L1252" s="6">
        <v>1.0</v>
      </c>
      <c r="M1252" s="8">
        <f t="shared" si="2"/>
        <v>0.5</v>
      </c>
      <c r="P1252" s="9"/>
    </row>
    <row r="1253">
      <c r="A1253" s="6" t="s">
        <v>3217</v>
      </c>
      <c r="B1253" s="6" t="s">
        <v>854</v>
      </c>
      <c r="C1253" s="6" t="s">
        <v>43</v>
      </c>
      <c r="D1253" s="6" t="s">
        <v>3218</v>
      </c>
      <c r="E1253" s="6" t="s">
        <v>579</v>
      </c>
      <c r="F1253" s="6" t="s">
        <v>112</v>
      </c>
      <c r="G1253" s="7">
        <v>0.06</v>
      </c>
      <c r="H1253" s="7" t="s">
        <v>297</v>
      </c>
      <c r="I1253" s="6" t="s">
        <v>20</v>
      </c>
      <c r="J1253" s="6">
        <v>2022.0</v>
      </c>
      <c r="K1253" s="10">
        <v>46085.0</v>
      </c>
      <c r="L1253" s="6">
        <v>1.0</v>
      </c>
      <c r="M1253" s="8">
        <f t="shared" si="2"/>
        <v>0.06</v>
      </c>
      <c r="P1253" s="9"/>
    </row>
    <row r="1254">
      <c r="A1254" s="6" t="s">
        <v>3219</v>
      </c>
      <c r="B1254" s="6" t="s">
        <v>1835</v>
      </c>
      <c r="C1254" s="6" t="s">
        <v>204</v>
      </c>
      <c r="D1254" s="6" t="s">
        <v>3220</v>
      </c>
      <c r="E1254" s="6" t="s">
        <v>1027</v>
      </c>
      <c r="F1254" s="6" t="s">
        <v>77</v>
      </c>
      <c r="G1254" s="7">
        <v>1.31</v>
      </c>
      <c r="H1254" s="6" t="s">
        <v>687</v>
      </c>
      <c r="I1254" s="6" t="s">
        <v>45</v>
      </c>
      <c r="J1254" s="6">
        <v>2011.0</v>
      </c>
      <c r="K1254" s="10">
        <v>46055.0</v>
      </c>
      <c r="L1254" s="6">
        <v>1.0</v>
      </c>
      <c r="M1254" s="8">
        <f t="shared" si="2"/>
        <v>1.31</v>
      </c>
      <c r="P1254" s="9"/>
    </row>
    <row r="1255">
      <c r="A1255" s="6" t="s">
        <v>3221</v>
      </c>
      <c r="B1255" s="6" t="s">
        <v>2966</v>
      </c>
      <c r="C1255" s="6" t="s">
        <v>43</v>
      </c>
      <c r="D1255" s="6" t="s">
        <v>3222</v>
      </c>
      <c r="E1255" s="6" t="s">
        <v>654</v>
      </c>
      <c r="F1255" s="6" t="s">
        <v>18</v>
      </c>
      <c r="G1255" s="7">
        <v>0.05</v>
      </c>
      <c r="H1255" s="6" t="s">
        <v>34</v>
      </c>
      <c r="I1255" s="6" t="s">
        <v>20</v>
      </c>
      <c r="J1255" s="6">
        <v>2025.0</v>
      </c>
      <c r="K1255" s="10">
        <v>46085.0</v>
      </c>
      <c r="L1255" s="6">
        <v>2.0</v>
      </c>
      <c r="M1255" s="8">
        <f t="shared" si="2"/>
        <v>0.1</v>
      </c>
      <c r="P1255" s="9"/>
    </row>
    <row r="1256">
      <c r="A1256" s="6" t="s">
        <v>3223</v>
      </c>
      <c r="B1256" s="6" t="s">
        <v>2234</v>
      </c>
      <c r="C1256" s="6" t="s">
        <v>37</v>
      </c>
      <c r="D1256" s="6" t="s">
        <v>3224</v>
      </c>
      <c r="E1256" s="6" t="s">
        <v>329</v>
      </c>
      <c r="F1256" s="6" t="s">
        <v>112</v>
      </c>
      <c r="G1256" s="7">
        <v>0.17</v>
      </c>
      <c r="H1256" s="6" t="s">
        <v>1475</v>
      </c>
      <c r="I1256" s="6" t="s">
        <v>20</v>
      </c>
      <c r="J1256" s="6">
        <v>2020.0</v>
      </c>
      <c r="K1256" s="10">
        <v>46056.0</v>
      </c>
      <c r="L1256" s="6">
        <v>1.0</v>
      </c>
      <c r="M1256" s="8">
        <f t="shared" si="2"/>
        <v>0.17</v>
      </c>
      <c r="P1256" s="9"/>
    </row>
    <row r="1257">
      <c r="A1257" s="6" t="s">
        <v>3225</v>
      </c>
      <c r="B1257" s="6" t="s">
        <v>208</v>
      </c>
      <c r="C1257" s="6" t="s">
        <v>43</v>
      </c>
      <c r="D1257" s="6" t="s">
        <v>3226</v>
      </c>
      <c r="E1257" s="6" t="s">
        <v>86</v>
      </c>
      <c r="F1257" s="6" t="s">
        <v>87</v>
      </c>
      <c r="G1257" s="7">
        <v>0.05</v>
      </c>
      <c r="H1257" s="6" t="s">
        <v>99</v>
      </c>
      <c r="I1257" s="6" t="s">
        <v>20</v>
      </c>
      <c r="J1257" s="6">
        <v>2022.0</v>
      </c>
      <c r="K1257" s="10">
        <v>46054.0</v>
      </c>
      <c r="L1257" s="6">
        <v>1.0</v>
      </c>
      <c r="M1257" s="8">
        <f t="shared" si="2"/>
        <v>0.05</v>
      </c>
      <c r="P1257" s="9"/>
    </row>
    <row r="1258">
      <c r="A1258" s="6" t="s">
        <v>3227</v>
      </c>
      <c r="B1258" s="6" t="s">
        <v>1731</v>
      </c>
      <c r="C1258" s="6" t="s">
        <v>15</v>
      </c>
      <c r="D1258" s="6" t="s">
        <v>3228</v>
      </c>
      <c r="E1258" s="6" t="s">
        <v>2671</v>
      </c>
      <c r="F1258" s="6" t="s">
        <v>87</v>
      </c>
      <c r="G1258" s="7">
        <v>0.44</v>
      </c>
      <c r="H1258" s="6" t="s">
        <v>130</v>
      </c>
      <c r="I1258" s="6" t="s">
        <v>20</v>
      </c>
      <c r="J1258" s="6">
        <v>2014.0</v>
      </c>
      <c r="L1258" s="6">
        <v>1.0</v>
      </c>
      <c r="M1258" s="8">
        <f t="shared" si="2"/>
        <v>0.44</v>
      </c>
      <c r="P1258" s="9"/>
    </row>
    <row r="1259">
      <c r="A1259" s="6" t="s">
        <v>3229</v>
      </c>
      <c r="B1259" s="6" t="s">
        <v>3230</v>
      </c>
      <c r="C1259" s="6" t="s">
        <v>15</v>
      </c>
      <c r="D1259" s="6" t="s">
        <v>3231</v>
      </c>
      <c r="E1259" s="6" t="s">
        <v>3232</v>
      </c>
      <c r="F1259" s="6" t="s">
        <v>665</v>
      </c>
      <c r="G1259" s="7">
        <v>0.44</v>
      </c>
      <c r="H1259" s="6" t="s">
        <v>27</v>
      </c>
      <c r="I1259" s="6" t="s">
        <v>20</v>
      </c>
      <c r="J1259" s="6">
        <v>2026.0</v>
      </c>
      <c r="K1259" s="10">
        <v>46055.0</v>
      </c>
      <c r="L1259" s="6">
        <v>1.0</v>
      </c>
      <c r="M1259" s="8">
        <f t="shared" si="2"/>
        <v>0.44</v>
      </c>
      <c r="P1259" s="9"/>
    </row>
    <row r="1260">
      <c r="A1260" s="6" t="s">
        <v>3233</v>
      </c>
      <c r="B1260" s="6" t="s">
        <v>2592</v>
      </c>
      <c r="C1260" s="6" t="s">
        <v>37</v>
      </c>
      <c r="D1260" s="6" t="s">
        <v>3234</v>
      </c>
      <c r="E1260" s="6" t="s">
        <v>224</v>
      </c>
      <c r="F1260" s="6" t="s">
        <v>18</v>
      </c>
      <c r="G1260" s="7">
        <v>0.05</v>
      </c>
      <c r="H1260" s="6" t="s">
        <v>475</v>
      </c>
      <c r="I1260" s="6" t="s">
        <v>20</v>
      </c>
      <c r="J1260" s="6">
        <v>2024.0</v>
      </c>
      <c r="K1260" s="10">
        <v>46084.0</v>
      </c>
      <c r="L1260" s="6">
        <v>1.0</v>
      </c>
      <c r="M1260" s="8">
        <f t="shared" si="2"/>
        <v>0.05</v>
      </c>
      <c r="P1260" s="9"/>
    </row>
    <row r="1261">
      <c r="A1261" s="6" t="s">
        <v>3235</v>
      </c>
      <c r="B1261" s="6" t="s">
        <v>1394</v>
      </c>
      <c r="C1261" s="6" t="s">
        <v>43</v>
      </c>
      <c r="E1261" s="6" t="s">
        <v>248</v>
      </c>
      <c r="F1261" s="6" t="s">
        <v>77</v>
      </c>
      <c r="G1261" s="7">
        <v>0.09</v>
      </c>
      <c r="H1261" s="6" t="s">
        <v>2945</v>
      </c>
      <c r="I1261" s="6" t="s">
        <v>20</v>
      </c>
      <c r="J1261" s="6">
        <v>2003.0</v>
      </c>
      <c r="K1261" s="10">
        <v>46057.0</v>
      </c>
      <c r="L1261" s="6">
        <v>1.0</v>
      </c>
      <c r="M1261" s="8">
        <f t="shared" si="2"/>
        <v>0.09</v>
      </c>
      <c r="P1261" s="9"/>
    </row>
    <row r="1262">
      <c r="A1262" s="6" t="s">
        <v>3235</v>
      </c>
      <c r="B1262" s="6" t="s">
        <v>1394</v>
      </c>
      <c r="C1262" s="6" t="s">
        <v>43</v>
      </c>
      <c r="E1262" s="6" t="s">
        <v>248</v>
      </c>
      <c r="F1262" s="6" t="s">
        <v>77</v>
      </c>
      <c r="G1262" s="7">
        <v>14.99</v>
      </c>
      <c r="H1262" s="6" t="s">
        <v>3236</v>
      </c>
      <c r="I1262" s="6" t="s">
        <v>45</v>
      </c>
      <c r="J1262" s="6">
        <v>1999.0</v>
      </c>
      <c r="K1262" s="10">
        <v>46057.0</v>
      </c>
      <c r="L1262" s="6">
        <v>1.0</v>
      </c>
      <c r="M1262" s="8">
        <f t="shared" si="2"/>
        <v>14.99</v>
      </c>
      <c r="P1262" s="9"/>
    </row>
    <row r="1263">
      <c r="A1263" s="6" t="s">
        <v>3237</v>
      </c>
      <c r="B1263" s="6" t="s">
        <v>74</v>
      </c>
      <c r="C1263" s="6" t="s">
        <v>43</v>
      </c>
      <c r="D1263" s="6" t="s">
        <v>3238</v>
      </c>
      <c r="E1263" s="6" t="s">
        <v>179</v>
      </c>
      <c r="F1263" s="6" t="s">
        <v>112</v>
      </c>
      <c r="G1263" s="7">
        <v>0.39</v>
      </c>
      <c r="H1263" s="6" t="s">
        <v>88</v>
      </c>
      <c r="I1263" s="6" t="s">
        <v>45</v>
      </c>
      <c r="J1263" s="6">
        <v>2024.0</v>
      </c>
      <c r="L1263" s="6">
        <v>1.0</v>
      </c>
      <c r="M1263" s="8">
        <f t="shared" si="2"/>
        <v>0.39</v>
      </c>
      <c r="P1263" s="9"/>
    </row>
    <row r="1264">
      <c r="A1264" s="6" t="s">
        <v>3239</v>
      </c>
      <c r="B1264" s="6" t="s">
        <v>3240</v>
      </c>
      <c r="C1264" s="6" t="s">
        <v>43</v>
      </c>
      <c r="D1264" s="6" t="s">
        <v>3241</v>
      </c>
      <c r="E1264" s="6" t="s">
        <v>237</v>
      </c>
      <c r="F1264" s="6" t="s">
        <v>18</v>
      </c>
      <c r="G1264" s="7">
        <v>0.05</v>
      </c>
      <c r="H1264" s="6" t="s">
        <v>34</v>
      </c>
      <c r="I1264" s="6" t="s">
        <v>20</v>
      </c>
      <c r="J1264" s="6">
        <v>2025.0</v>
      </c>
      <c r="K1264" s="10">
        <v>46208.0</v>
      </c>
      <c r="L1264" s="6">
        <v>3.0</v>
      </c>
      <c r="M1264" s="8">
        <f t="shared" si="2"/>
        <v>0.15</v>
      </c>
      <c r="P1264" s="9"/>
    </row>
    <row r="1265">
      <c r="A1265" s="6" t="s">
        <v>3242</v>
      </c>
      <c r="B1265" s="6" t="s">
        <v>3243</v>
      </c>
      <c r="C1265" s="6" t="s">
        <v>43</v>
      </c>
      <c r="D1265" s="6" t="s">
        <v>3244</v>
      </c>
      <c r="E1265" s="6" t="s">
        <v>76</v>
      </c>
      <c r="F1265" s="6" t="s">
        <v>77</v>
      </c>
      <c r="G1265" s="7">
        <v>0.5</v>
      </c>
      <c r="H1265" s="6" t="s">
        <v>3245</v>
      </c>
      <c r="I1265" s="6" t="s">
        <v>20</v>
      </c>
      <c r="J1265" s="6">
        <v>1994.0</v>
      </c>
      <c r="K1265" s="10">
        <v>46023.0</v>
      </c>
      <c r="L1265" s="6">
        <v>1.0</v>
      </c>
      <c r="M1265" s="8">
        <f t="shared" si="2"/>
        <v>0.5</v>
      </c>
      <c r="P1265" s="9"/>
    </row>
    <row r="1266">
      <c r="A1266" s="6" t="s">
        <v>3246</v>
      </c>
      <c r="B1266" s="6" t="s">
        <v>254</v>
      </c>
      <c r="C1266" s="6" t="s">
        <v>43</v>
      </c>
      <c r="D1266" s="6" t="s">
        <v>3247</v>
      </c>
      <c r="E1266" s="6" t="s">
        <v>2397</v>
      </c>
      <c r="F1266" s="6" t="s">
        <v>87</v>
      </c>
      <c r="G1266" s="7">
        <v>0.08</v>
      </c>
      <c r="H1266" s="6" t="s">
        <v>83</v>
      </c>
      <c r="I1266" s="6" t="s">
        <v>20</v>
      </c>
      <c r="J1266" s="6">
        <v>1995.0</v>
      </c>
      <c r="L1266" s="6">
        <v>4.0</v>
      </c>
      <c r="M1266" s="8">
        <f t="shared" si="2"/>
        <v>0.32</v>
      </c>
      <c r="P1266" s="9"/>
    </row>
    <row r="1267">
      <c r="A1267" s="6" t="s">
        <v>3246</v>
      </c>
      <c r="B1267" s="6" t="s">
        <v>254</v>
      </c>
      <c r="C1267" s="6" t="s">
        <v>43</v>
      </c>
      <c r="D1267" s="6" t="s">
        <v>3247</v>
      </c>
      <c r="E1267" s="6" t="s">
        <v>2397</v>
      </c>
      <c r="F1267" s="6" t="s">
        <v>87</v>
      </c>
      <c r="G1267" s="7">
        <v>0.09</v>
      </c>
      <c r="H1267" s="6" t="s">
        <v>1064</v>
      </c>
      <c r="I1267" s="6" t="s">
        <v>20</v>
      </c>
      <c r="J1267" s="6">
        <v>1995.0</v>
      </c>
      <c r="L1267" s="6">
        <v>2.0</v>
      </c>
      <c r="M1267" s="8">
        <f t="shared" si="2"/>
        <v>0.18</v>
      </c>
      <c r="P1267" s="9"/>
    </row>
    <row r="1268">
      <c r="A1268" s="6" t="s">
        <v>3248</v>
      </c>
      <c r="B1268" s="6" t="s">
        <v>371</v>
      </c>
      <c r="C1268" s="6" t="s">
        <v>43</v>
      </c>
      <c r="D1268" s="6" t="s">
        <v>304</v>
      </c>
      <c r="E1268" s="6" t="s">
        <v>125</v>
      </c>
      <c r="F1268" s="6" t="s">
        <v>40</v>
      </c>
      <c r="G1268" s="7">
        <v>0.32</v>
      </c>
      <c r="H1268" s="6" t="s">
        <v>3249</v>
      </c>
      <c r="I1268" s="6" t="s">
        <v>45</v>
      </c>
      <c r="J1268" s="6">
        <v>2017.0</v>
      </c>
      <c r="K1268" s="10">
        <v>46023.0</v>
      </c>
      <c r="L1268" s="6">
        <v>1.0</v>
      </c>
      <c r="M1268" s="8">
        <f t="shared" si="2"/>
        <v>0.32</v>
      </c>
      <c r="P1268" s="9"/>
    </row>
    <row r="1269">
      <c r="A1269" s="6" t="s">
        <v>3250</v>
      </c>
      <c r="B1269" s="6" t="s">
        <v>74</v>
      </c>
      <c r="C1269" s="6" t="s">
        <v>37</v>
      </c>
      <c r="D1269" s="6" t="s">
        <v>3251</v>
      </c>
      <c r="E1269" s="6" t="s">
        <v>135</v>
      </c>
      <c r="F1269" s="6" t="s">
        <v>40</v>
      </c>
      <c r="G1269" s="7">
        <v>0.06</v>
      </c>
      <c r="H1269" s="6" t="s">
        <v>290</v>
      </c>
      <c r="I1269" s="6" t="s">
        <v>20</v>
      </c>
      <c r="J1269" s="6">
        <v>2019.0</v>
      </c>
      <c r="L1269" s="6">
        <v>1.0</v>
      </c>
      <c r="M1269" s="8">
        <f t="shared" si="2"/>
        <v>0.06</v>
      </c>
      <c r="P1269" s="9"/>
    </row>
    <row r="1270">
      <c r="A1270" s="6" t="s">
        <v>3252</v>
      </c>
      <c r="B1270" s="6" t="s">
        <v>74</v>
      </c>
      <c r="C1270" s="6" t="s">
        <v>43</v>
      </c>
      <c r="D1270" s="6" t="s">
        <v>3253</v>
      </c>
      <c r="E1270" s="6" t="s">
        <v>164</v>
      </c>
      <c r="F1270" s="6" t="s">
        <v>112</v>
      </c>
      <c r="G1270" s="7">
        <v>0.03</v>
      </c>
      <c r="H1270" s="6" t="s">
        <v>1856</v>
      </c>
      <c r="I1270" s="6" t="s">
        <v>20</v>
      </c>
      <c r="J1270" s="6">
        <v>2017.0</v>
      </c>
      <c r="L1270" s="6">
        <v>4.0</v>
      </c>
      <c r="M1270" s="8">
        <f t="shared" si="2"/>
        <v>0.12</v>
      </c>
      <c r="P1270" s="9"/>
    </row>
    <row r="1271">
      <c r="A1271" s="6" t="s">
        <v>3254</v>
      </c>
      <c r="B1271" s="6" t="s">
        <v>74</v>
      </c>
      <c r="C1271" s="6" t="s">
        <v>43</v>
      </c>
      <c r="D1271" s="6" t="s">
        <v>3255</v>
      </c>
      <c r="E1271" s="6" t="s">
        <v>179</v>
      </c>
      <c r="F1271" s="6" t="s">
        <v>112</v>
      </c>
      <c r="G1271" s="7">
        <v>0.11</v>
      </c>
      <c r="H1271" s="6" t="s">
        <v>363</v>
      </c>
      <c r="I1271" s="6" t="s">
        <v>20</v>
      </c>
      <c r="J1271" s="6">
        <v>2024.0</v>
      </c>
      <c r="L1271" s="6">
        <v>1.0</v>
      </c>
      <c r="M1271" s="8">
        <f t="shared" si="2"/>
        <v>0.11</v>
      </c>
      <c r="P1271" s="9"/>
    </row>
    <row r="1272">
      <c r="A1272" s="6" t="s">
        <v>3256</v>
      </c>
      <c r="B1272" s="6" t="s">
        <v>494</v>
      </c>
      <c r="C1272" s="6" t="s">
        <v>43</v>
      </c>
      <c r="D1272" s="6" t="s">
        <v>3257</v>
      </c>
      <c r="E1272" s="6" t="s">
        <v>389</v>
      </c>
      <c r="F1272" s="6" t="s">
        <v>87</v>
      </c>
      <c r="G1272" s="7">
        <v>0.06</v>
      </c>
      <c r="H1272" s="6" t="s">
        <v>297</v>
      </c>
      <c r="I1272" s="6" t="s">
        <v>20</v>
      </c>
      <c r="J1272" s="6">
        <v>2022.0</v>
      </c>
      <c r="L1272" s="6">
        <v>1.0</v>
      </c>
      <c r="M1272" s="8">
        <f t="shared" si="2"/>
        <v>0.06</v>
      </c>
      <c r="P1272" s="9"/>
    </row>
    <row r="1273">
      <c r="A1273" s="6" t="s">
        <v>3258</v>
      </c>
      <c r="B1273" s="6" t="s">
        <v>3259</v>
      </c>
      <c r="C1273" s="6" t="s">
        <v>23</v>
      </c>
      <c r="D1273" s="6" t="s">
        <v>3260</v>
      </c>
      <c r="E1273" s="6" t="s">
        <v>3261</v>
      </c>
      <c r="F1273" s="6" t="s">
        <v>112</v>
      </c>
      <c r="G1273" s="7">
        <v>0.04</v>
      </c>
      <c r="H1273" s="6" t="s">
        <v>3262</v>
      </c>
      <c r="I1273" s="6" t="s">
        <v>20</v>
      </c>
      <c r="J1273" s="6">
        <v>2025.0</v>
      </c>
      <c r="K1273" s="10">
        <v>46116.0</v>
      </c>
      <c r="L1273" s="6">
        <v>4.0</v>
      </c>
      <c r="M1273" s="8">
        <f t="shared" si="2"/>
        <v>0.16</v>
      </c>
      <c r="P1273" s="9"/>
    </row>
    <row r="1274">
      <c r="A1274" s="6" t="s">
        <v>3263</v>
      </c>
      <c r="B1274" s="6" t="s">
        <v>1238</v>
      </c>
      <c r="C1274" s="6" t="s">
        <v>43</v>
      </c>
      <c r="D1274" s="6" t="s">
        <v>3264</v>
      </c>
      <c r="E1274" s="6" t="s">
        <v>86</v>
      </c>
      <c r="F1274" s="6" t="s">
        <v>87</v>
      </c>
      <c r="G1274" s="7">
        <v>0.1</v>
      </c>
      <c r="H1274" s="6" t="s">
        <v>228</v>
      </c>
      <c r="I1274" s="6" t="s">
        <v>20</v>
      </c>
      <c r="J1274" s="6">
        <v>2025.0</v>
      </c>
      <c r="K1274" s="10">
        <v>46055.0</v>
      </c>
      <c r="L1274" s="6">
        <v>2.0</v>
      </c>
      <c r="M1274" s="8">
        <f t="shared" si="2"/>
        <v>0.2</v>
      </c>
      <c r="P1274" s="9"/>
    </row>
    <row r="1275">
      <c r="A1275" s="6" t="s">
        <v>3265</v>
      </c>
      <c r="B1275" s="6" t="s">
        <v>3266</v>
      </c>
      <c r="C1275" s="6" t="s">
        <v>156</v>
      </c>
      <c r="D1275" s="6" t="s">
        <v>3267</v>
      </c>
      <c r="E1275" s="6" t="s">
        <v>3268</v>
      </c>
      <c r="F1275" s="6" t="s">
        <v>87</v>
      </c>
      <c r="G1275" s="7">
        <v>1.8</v>
      </c>
      <c r="H1275" s="6" t="s">
        <v>153</v>
      </c>
      <c r="I1275" s="6" t="s">
        <v>20</v>
      </c>
      <c r="J1275" s="6">
        <v>2025.0</v>
      </c>
      <c r="K1275" s="10">
        <v>46179.0</v>
      </c>
      <c r="L1275" s="6">
        <v>1.0</v>
      </c>
      <c r="M1275" s="8">
        <f t="shared" si="2"/>
        <v>1.8</v>
      </c>
      <c r="P1275" s="9"/>
    </row>
    <row r="1276">
      <c r="A1276" s="6" t="s">
        <v>3269</v>
      </c>
      <c r="B1276" s="6" t="s">
        <v>254</v>
      </c>
      <c r="C1276" s="6" t="s">
        <v>377</v>
      </c>
      <c r="D1276" s="6" t="s">
        <v>3270</v>
      </c>
      <c r="E1276" s="6" t="s">
        <v>329</v>
      </c>
      <c r="F1276" s="6" t="s">
        <v>112</v>
      </c>
      <c r="G1276" s="7">
        <v>0.08</v>
      </c>
      <c r="H1276" s="6" t="s">
        <v>471</v>
      </c>
      <c r="I1276" s="6" t="s">
        <v>20</v>
      </c>
      <c r="J1276" s="6">
        <v>2026.0</v>
      </c>
      <c r="L1276" s="6">
        <v>2.0</v>
      </c>
      <c r="M1276" s="8">
        <f t="shared" si="2"/>
        <v>0.16</v>
      </c>
      <c r="P1276" s="9"/>
    </row>
    <row r="1277">
      <c r="A1277" s="6" t="s">
        <v>3269</v>
      </c>
      <c r="B1277" s="6" t="s">
        <v>254</v>
      </c>
      <c r="C1277" s="6" t="s">
        <v>377</v>
      </c>
      <c r="D1277" s="6" t="s">
        <v>3270</v>
      </c>
      <c r="E1277" s="6" t="s">
        <v>329</v>
      </c>
      <c r="F1277" s="6" t="s">
        <v>112</v>
      </c>
      <c r="G1277" s="7">
        <v>0.35</v>
      </c>
      <c r="H1277" s="6" t="s">
        <v>471</v>
      </c>
      <c r="I1277" s="6" t="s">
        <v>45</v>
      </c>
      <c r="J1277" s="6">
        <v>2026.0</v>
      </c>
      <c r="L1277" s="6">
        <v>1.0</v>
      </c>
      <c r="M1277" s="8">
        <f t="shared" si="2"/>
        <v>0.35</v>
      </c>
      <c r="P1277" s="9"/>
    </row>
    <row r="1278">
      <c r="A1278" s="6" t="s">
        <v>3271</v>
      </c>
      <c r="B1278" s="6" t="s">
        <v>3272</v>
      </c>
      <c r="C1278" s="6" t="s">
        <v>15</v>
      </c>
      <c r="D1278" s="6" t="s">
        <v>3273</v>
      </c>
      <c r="E1278" s="6" t="s">
        <v>1896</v>
      </c>
      <c r="F1278" s="6" t="s">
        <v>87</v>
      </c>
      <c r="G1278" s="7">
        <v>0.23</v>
      </c>
      <c r="H1278" s="6" t="s">
        <v>19</v>
      </c>
      <c r="I1278" s="6" t="s">
        <v>20</v>
      </c>
      <c r="J1278" s="6">
        <v>2023.0</v>
      </c>
      <c r="K1278" s="10">
        <v>46085.0</v>
      </c>
      <c r="L1278" s="6">
        <v>2.0</v>
      </c>
      <c r="M1278" s="8">
        <f t="shared" si="2"/>
        <v>0.46</v>
      </c>
      <c r="P1278" s="9"/>
    </row>
    <row r="1279">
      <c r="A1279" s="6" t="s">
        <v>3274</v>
      </c>
      <c r="B1279" s="6" t="s">
        <v>3275</v>
      </c>
      <c r="C1279" s="6" t="s">
        <v>15</v>
      </c>
      <c r="D1279" s="6" t="s">
        <v>3276</v>
      </c>
      <c r="E1279" s="6" t="s">
        <v>3277</v>
      </c>
      <c r="F1279" s="6" t="s">
        <v>3278</v>
      </c>
      <c r="G1279" s="7">
        <v>0.19</v>
      </c>
      <c r="H1279" s="6" t="s">
        <v>2391</v>
      </c>
      <c r="I1279" s="6" t="s">
        <v>20</v>
      </c>
      <c r="J1279" s="6">
        <v>2025.0</v>
      </c>
      <c r="K1279" s="10">
        <v>46023.0</v>
      </c>
      <c r="L1279" s="6">
        <v>1.0</v>
      </c>
      <c r="M1279" s="8">
        <f t="shared" si="2"/>
        <v>0.19</v>
      </c>
      <c r="P1279" s="9"/>
    </row>
    <row r="1280">
      <c r="A1280" s="6" t="s">
        <v>3279</v>
      </c>
      <c r="B1280" s="6" t="s">
        <v>440</v>
      </c>
      <c r="C1280" s="6" t="s">
        <v>61</v>
      </c>
      <c r="D1280" s="6" t="s">
        <v>3280</v>
      </c>
      <c r="E1280" s="6" t="s">
        <v>3281</v>
      </c>
      <c r="F1280" s="6" t="s">
        <v>717</v>
      </c>
      <c r="G1280" s="7">
        <v>1.5</v>
      </c>
      <c r="H1280" s="6" t="s">
        <v>187</v>
      </c>
      <c r="I1280" s="6" t="s">
        <v>20</v>
      </c>
      <c r="J1280" s="6">
        <v>1995.0</v>
      </c>
      <c r="L1280" s="6">
        <v>1.0</v>
      </c>
      <c r="M1280" s="8">
        <f t="shared" si="2"/>
        <v>1.5</v>
      </c>
      <c r="N1280" s="6" t="s">
        <v>122</v>
      </c>
      <c r="P1280" s="9"/>
    </row>
    <row r="1281">
      <c r="A1281" s="6" t="s">
        <v>3282</v>
      </c>
      <c r="B1281" s="6" t="s">
        <v>2747</v>
      </c>
      <c r="C1281" s="6" t="s">
        <v>15</v>
      </c>
      <c r="D1281" s="6" t="s">
        <v>3283</v>
      </c>
      <c r="E1281" s="6" t="s">
        <v>3284</v>
      </c>
      <c r="F1281" s="6" t="s">
        <v>3285</v>
      </c>
      <c r="G1281" s="7">
        <v>0.25</v>
      </c>
      <c r="H1281" s="6" t="s">
        <v>153</v>
      </c>
      <c r="I1281" s="6" t="s">
        <v>20</v>
      </c>
      <c r="J1281" s="6">
        <v>2025.0</v>
      </c>
      <c r="K1281" s="10">
        <v>46179.0</v>
      </c>
      <c r="L1281" s="6">
        <v>2.0</v>
      </c>
      <c r="M1281" s="8">
        <f t="shared" si="2"/>
        <v>0.5</v>
      </c>
      <c r="P1281" s="9"/>
    </row>
    <row r="1282">
      <c r="A1282" s="6" t="s">
        <v>3286</v>
      </c>
      <c r="B1282" s="6" t="s">
        <v>657</v>
      </c>
      <c r="C1282" s="6" t="s">
        <v>15</v>
      </c>
      <c r="D1282" s="6" t="s">
        <v>3287</v>
      </c>
      <c r="E1282" s="6" t="s">
        <v>25</v>
      </c>
      <c r="F1282" s="6" t="s">
        <v>26</v>
      </c>
      <c r="G1282" s="7">
        <v>0.03</v>
      </c>
      <c r="H1282" s="6" t="s">
        <v>1344</v>
      </c>
      <c r="I1282" s="6" t="s">
        <v>20</v>
      </c>
      <c r="J1282" s="6">
        <v>2018.0</v>
      </c>
      <c r="L1282" s="6">
        <v>1.0</v>
      </c>
      <c r="M1282" s="8">
        <f t="shared" si="2"/>
        <v>0.03</v>
      </c>
      <c r="P1282" s="9"/>
    </row>
    <row r="1283">
      <c r="A1283" s="6" t="s">
        <v>3288</v>
      </c>
      <c r="B1283" s="6" t="s">
        <v>3289</v>
      </c>
      <c r="C1283" s="6" t="s">
        <v>418</v>
      </c>
      <c r="D1283" s="6" t="s">
        <v>3290</v>
      </c>
      <c r="E1283" s="6" t="s">
        <v>107</v>
      </c>
      <c r="F1283" s="6" t="s">
        <v>18</v>
      </c>
      <c r="G1283" s="7">
        <v>0.06</v>
      </c>
      <c r="H1283" s="6" t="s">
        <v>471</v>
      </c>
      <c r="I1283" s="6" t="s">
        <v>20</v>
      </c>
      <c r="J1283" s="6">
        <v>2026.0</v>
      </c>
      <c r="K1283" s="10">
        <v>46054.0</v>
      </c>
      <c r="L1283" s="6">
        <v>1.0</v>
      </c>
      <c r="M1283" s="8">
        <f t="shared" si="2"/>
        <v>0.06</v>
      </c>
      <c r="P1283" s="9"/>
    </row>
    <row r="1284">
      <c r="A1284" s="6" t="s">
        <v>3288</v>
      </c>
      <c r="B1284" s="6" t="s">
        <v>3289</v>
      </c>
      <c r="C1284" s="6" t="s">
        <v>418</v>
      </c>
      <c r="D1284" s="6" t="s">
        <v>3290</v>
      </c>
      <c r="E1284" s="6" t="s">
        <v>107</v>
      </c>
      <c r="F1284" s="6" t="s">
        <v>18</v>
      </c>
      <c r="G1284" s="7">
        <v>0.27</v>
      </c>
      <c r="H1284" s="6" t="s">
        <v>471</v>
      </c>
      <c r="I1284" s="6" t="s">
        <v>45</v>
      </c>
      <c r="J1284" s="6">
        <v>2026.0</v>
      </c>
      <c r="K1284" s="10">
        <v>46054.0</v>
      </c>
      <c r="L1284" s="6">
        <v>1.0</v>
      </c>
      <c r="M1284" s="8">
        <f t="shared" si="2"/>
        <v>0.27</v>
      </c>
      <c r="P1284" s="9"/>
    </row>
    <row r="1285">
      <c r="A1285" s="6" t="s">
        <v>3291</v>
      </c>
      <c r="B1285" s="6" t="s">
        <v>2339</v>
      </c>
      <c r="C1285" s="6" t="s">
        <v>377</v>
      </c>
      <c r="D1285" s="6" t="s">
        <v>3292</v>
      </c>
      <c r="E1285" s="6" t="s">
        <v>98</v>
      </c>
      <c r="F1285" s="6" t="s">
        <v>18</v>
      </c>
      <c r="G1285" s="7">
        <v>0.05</v>
      </c>
      <c r="H1285" s="6" t="s">
        <v>471</v>
      </c>
      <c r="I1285" s="6" t="s">
        <v>20</v>
      </c>
      <c r="J1285" s="6">
        <v>2026.0</v>
      </c>
      <c r="K1285" s="10">
        <v>46055.0</v>
      </c>
      <c r="L1285" s="6">
        <v>1.0</v>
      </c>
      <c r="M1285" s="8">
        <f t="shared" si="2"/>
        <v>0.05</v>
      </c>
      <c r="P1285" s="9"/>
    </row>
    <row r="1286">
      <c r="A1286" s="6" t="s">
        <v>3293</v>
      </c>
      <c r="B1286" s="6" t="s">
        <v>192</v>
      </c>
      <c r="C1286" s="6" t="s">
        <v>418</v>
      </c>
      <c r="D1286" s="6" t="s">
        <v>3294</v>
      </c>
      <c r="E1286" s="6" t="s">
        <v>215</v>
      </c>
      <c r="F1286" s="6" t="s">
        <v>312</v>
      </c>
      <c r="G1286" s="7">
        <v>0.39</v>
      </c>
      <c r="H1286" s="6" t="s">
        <v>2211</v>
      </c>
      <c r="I1286" s="6" t="s">
        <v>20</v>
      </c>
      <c r="J1286" s="6">
        <v>1999.0</v>
      </c>
      <c r="L1286" s="6">
        <v>1.0</v>
      </c>
      <c r="M1286" s="8">
        <f t="shared" si="2"/>
        <v>0.39</v>
      </c>
      <c r="P1286" s="9"/>
    </row>
    <row r="1287">
      <c r="A1287" s="6" t="s">
        <v>3293</v>
      </c>
      <c r="B1287" s="6" t="s">
        <v>192</v>
      </c>
      <c r="C1287" s="6" t="s">
        <v>204</v>
      </c>
      <c r="D1287" s="6" t="s">
        <v>3295</v>
      </c>
      <c r="E1287" s="6" t="s">
        <v>215</v>
      </c>
      <c r="F1287" s="6" t="s">
        <v>26</v>
      </c>
      <c r="G1287" s="7">
        <v>0.65</v>
      </c>
      <c r="H1287" s="6" t="s">
        <v>324</v>
      </c>
      <c r="I1287" s="6" t="s">
        <v>20</v>
      </c>
      <c r="J1287" s="6">
        <v>1995.0</v>
      </c>
      <c r="L1287" s="6">
        <v>1.0</v>
      </c>
      <c r="M1287" s="8">
        <f t="shared" si="2"/>
        <v>0.65</v>
      </c>
      <c r="P1287" s="9"/>
    </row>
    <row r="1288">
      <c r="A1288" s="6" t="s">
        <v>3296</v>
      </c>
      <c r="B1288" s="6" t="s">
        <v>2632</v>
      </c>
      <c r="C1288" s="6" t="s">
        <v>43</v>
      </c>
      <c r="D1288" s="6" t="s">
        <v>3297</v>
      </c>
      <c r="E1288" s="6" t="s">
        <v>25</v>
      </c>
      <c r="F1288" s="6" t="s">
        <v>26</v>
      </c>
      <c r="G1288" s="7">
        <v>0.05</v>
      </c>
      <c r="H1288" s="6" t="s">
        <v>88</v>
      </c>
      <c r="I1288" s="6" t="s">
        <v>20</v>
      </c>
      <c r="J1288" s="6">
        <v>2024.0</v>
      </c>
      <c r="K1288" s="6" t="s">
        <v>445</v>
      </c>
      <c r="L1288" s="6">
        <v>1.0</v>
      </c>
      <c r="M1288" s="8">
        <f t="shared" si="2"/>
        <v>0.05</v>
      </c>
      <c r="P1288" s="9"/>
    </row>
    <row r="1289">
      <c r="A1289" s="6" t="s">
        <v>3298</v>
      </c>
      <c r="B1289" s="6" t="s">
        <v>2632</v>
      </c>
      <c r="C1289" s="6" t="s">
        <v>43</v>
      </c>
      <c r="D1289" s="6" t="s">
        <v>3299</v>
      </c>
      <c r="E1289" s="6" t="s">
        <v>25</v>
      </c>
      <c r="F1289" s="6" t="s">
        <v>26</v>
      </c>
      <c r="G1289" s="7">
        <v>0.05</v>
      </c>
      <c r="H1289" s="6" t="s">
        <v>88</v>
      </c>
      <c r="I1289" s="6" t="s">
        <v>20</v>
      </c>
      <c r="J1289" s="6">
        <v>2024.0</v>
      </c>
      <c r="K1289" s="6" t="s">
        <v>445</v>
      </c>
      <c r="L1289" s="6">
        <v>1.0</v>
      </c>
      <c r="M1289" s="8">
        <f t="shared" si="2"/>
        <v>0.05</v>
      </c>
      <c r="P1289" s="9"/>
    </row>
    <row r="1290">
      <c r="A1290" s="6" t="s">
        <v>3300</v>
      </c>
      <c r="B1290" s="6" t="s">
        <v>3301</v>
      </c>
      <c r="C1290" s="6" t="s">
        <v>37</v>
      </c>
      <c r="D1290" s="6" t="s">
        <v>3302</v>
      </c>
      <c r="E1290" s="6" t="s">
        <v>3303</v>
      </c>
      <c r="F1290" s="6" t="s">
        <v>50</v>
      </c>
      <c r="G1290" s="7">
        <v>0.14</v>
      </c>
      <c r="H1290" s="6" t="s">
        <v>238</v>
      </c>
      <c r="I1290" s="6" t="s">
        <v>20</v>
      </c>
      <c r="J1290" s="6">
        <v>2024.0</v>
      </c>
      <c r="K1290" s="10">
        <v>46023.0</v>
      </c>
      <c r="L1290" s="6">
        <v>1.0</v>
      </c>
      <c r="M1290" s="8">
        <f t="shared" si="2"/>
        <v>0.14</v>
      </c>
      <c r="P1290" s="9"/>
    </row>
    <row r="1291">
      <c r="A1291" s="6" t="s">
        <v>3304</v>
      </c>
      <c r="B1291" s="6" t="s">
        <v>2905</v>
      </c>
      <c r="C1291" s="6" t="s">
        <v>43</v>
      </c>
      <c r="D1291" s="6" t="s">
        <v>3305</v>
      </c>
      <c r="E1291" s="6" t="s">
        <v>57</v>
      </c>
      <c r="F1291" s="6" t="s">
        <v>40</v>
      </c>
      <c r="G1291" s="7">
        <v>0.05</v>
      </c>
      <c r="H1291" s="6" t="s">
        <v>34</v>
      </c>
      <c r="I1291" s="6" t="s">
        <v>20</v>
      </c>
      <c r="J1291" s="6">
        <v>2025.0</v>
      </c>
      <c r="K1291" s="10">
        <v>46083.0</v>
      </c>
      <c r="L1291" s="6">
        <v>5.0</v>
      </c>
      <c r="M1291" s="8">
        <f t="shared" si="2"/>
        <v>0.25</v>
      </c>
      <c r="P1291" s="9"/>
    </row>
    <row r="1292">
      <c r="A1292" s="6" t="s">
        <v>3306</v>
      </c>
      <c r="B1292" s="6" t="s">
        <v>789</v>
      </c>
      <c r="C1292" s="6" t="s">
        <v>37</v>
      </c>
      <c r="D1292" s="6" t="s">
        <v>3307</v>
      </c>
      <c r="E1292" s="6" t="s">
        <v>57</v>
      </c>
      <c r="F1292" s="6" t="s">
        <v>40</v>
      </c>
      <c r="G1292" s="7">
        <v>0.15</v>
      </c>
      <c r="H1292" s="6" t="s">
        <v>34</v>
      </c>
      <c r="I1292" s="6" t="s">
        <v>20</v>
      </c>
      <c r="J1292" s="6">
        <v>2025.0</v>
      </c>
      <c r="L1292" s="6">
        <v>1.0</v>
      </c>
      <c r="M1292" s="8">
        <f t="shared" si="2"/>
        <v>0.15</v>
      </c>
      <c r="P1292" s="9"/>
    </row>
    <row r="1293">
      <c r="A1293" s="6" t="s">
        <v>3308</v>
      </c>
      <c r="B1293" s="6" t="s">
        <v>138</v>
      </c>
      <c r="C1293" s="6" t="s">
        <v>43</v>
      </c>
      <c r="D1293" s="6" t="s">
        <v>3309</v>
      </c>
      <c r="E1293" s="6" t="s">
        <v>224</v>
      </c>
      <c r="F1293" s="6" t="s">
        <v>18</v>
      </c>
      <c r="G1293" s="7">
        <v>0.05</v>
      </c>
      <c r="H1293" s="6" t="s">
        <v>475</v>
      </c>
      <c r="I1293" s="6" t="s">
        <v>20</v>
      </c>
      <c r="J1293" s="6">
        <v>2024.0</v>
      </c>
      <c r="L1293" s="6">
        <v>4.0</v>
      </c>
      <c r="M1293" s="8">
        <f t="shared" si="2"/>
        <v>0.2</v>
      </c>
      <c r="P1293" s="9"/>
    </row>
    <row r="1294">
      <c r="A1294" s="6" t="s">
        <v>3310</v>
      </c>
      <c r="B1294" s="6" t="s">
        <v>789</v>
      </c>
      <c r="C1294" s="6" t="s">
        <v>377</v>
      </c>
      <c r="D1294" s="6" t="s">
        <v>3311</v>
      </c>
      <c r="E1294" s="6" t="s">
        <v>25</v>
      </c>
      <c r="F1294" s="6" t="s">
        <v>312</v>
      </c>
      <c r="G1294" s="7">
        <v>0.05</v>
      </c>
      <c r="H1294" s="6" t="s">
        <v>475</v>
      </c>
      <c r="I1294" s="6" t="s">
        <v>20</v>
      </c>
      <c r="J1294" s="6">
        <v>2024.0</v>
      </c>
      <c r="L1294" s="6">
        <v>1.0</v>
      </c>
      <c r="M1294" s="8">
        <f t="shared" si="2"/>
        <v>0.05</v>
      </c>
      <c r="P1294" s="9"/>
    </row>
    <row r="1295">
      <c r="A1295" s="6" t="s">
        <v>3310</v>
      </c>
      <c r="B1295" s="6" t="s">
        <v>789</v>
      </c>
      <c r="C1295" s="6" t="s">
        <v>43</v>
      </c>
      <c r="D1295" s="6" t="s">
        <v>3312</v>
      </c>
      <c r="E1295" s="6" t="s">
        <v>25</v>
      </c>
      <c r="F1295" s="6" t="s">
        <v>26</v>
      </c>
      <c r="G1295" s="7">
        <v>0.05</v>
      </c>
      <c r="H1295" s="6" t="s">
        <v>475</v>
      </c>
      <c r="I1295" s="6" t="s">
        <v>20</v>
      </c>
      <c r="J1295" s="6">
        <v>2024.0</v>
      </c>
      <c r="L1295" s="6">
        <v>2.0</v>
      </c>
      <c r="M1295" s="8">
        <f t="shared" si="2"/>
        <v>0.1</v>
      </c>
      <c r="P1295" s="9"/>
    </row>
    <row r="1296">
      <c r="A1296" s="6" t="s">
        <v>3313</v>
      </c>
      <c r="B1296" s="6" t="s">
        <v>1875</v>
      </c>
      <c r="C1296" s="6" t="s">
        <v>30</v>
      </c>
      <c r="D1296" s="6" t="s">
        <v>3314</v>
      </c>
      <c r="E1296" s="6" t="s">
        <v>76</v>
      </c>
      <c r="F1296" s="6" t="s">
        <v>77</v>
      </c>
      <c r="G1296" s="7">
        <v>0.16</v>
      </c>
      <c r="H1296" s="6" t="s">
        <v>1776</v>
      </c>
      <c r="I1296" s="6" t="s">
        <v>20</v>
      </c>
      <c r="J1296" s="6">
        <v>2017.0</v>
      </c>
      <c r="K1296" s="10">
        <v>46024.0</v>
      </c>
      <c r="L1296" s="6">
        <v>3.0</v>
      </c>
      <c r="M1296" s="8">
        <f t="shared" si="2"/>
        <v>0.48</v>
      </c>
      <c r="P1296" s="9"/>
    </row>
    <row r="1297">
      <c r="A1297" s="6" t="s">
        <v>3315</v>
      </c>
      <c r="B1297" s="6" t="s">
        <v>74</v>
      </c>
      <c r="C1297" s="6" t="s">
        <v>43</v>
      </c>
      <c r="D1297" s="6" t="s">
        <v>3316</v>
      </c>
      <c r="E1297" s="6" t="s">
        <v>164</v>
      </c>
      <c r="F1297" s="6" t="s">
        <v>112</v>
      </c>
      <c r="G1297" s="7">
        <v>0.06</v>
      </c>
      <c r="H1297" s="6" t="s">
        <v>1028</v>
      </c>
      <c r="I1297" s="6" t="s">
        <v>20</v>
      </c>
      <c r="J1297" s="6">
        <v>2011.0</v>
      </c>
      <c r="L1297" s="6">
        <v>1.0</v>
      </c>
      <c r="M1297" s="8">
        <f t="shared" si="2"/>
        <v>0.06</v>
      </c>
      <c r="P1297" s="9"/>
    </row>
    <row r="1298">
      <c r="A1298" s="6" t="s">
        <v>3317</v>
      </c>
      <c r="B1298" s="6" t="s">
        <v>3318</v>
      </c>
      <c r="C1298" s="6" t="s">
        <v>377</v>
      </c>
      <c r="D1298" s="6" t="s">
        <v>3319</v>
      </c>
      <c r="E1298" s="6" t="s">
        <v>125</v>
      </c>
      <c r="F1298" s="6" t="s">
        <v>697</v>
      </c>
      <c r="G1298" s="7">
        <v>0.05</v>
      </c>
      <c r="H1298" s="6" t="s">
        <v>434</v>
      </c>
      <c r="I1298" s="6" t="s">
        <v>20</v>
      </c>
      <c r="J1298" s="6">
        <v>2000.0</v>
      </c>
      <c r="K1298" s="10">
        <v>46023.0</v>
      </c>
      <c r="L1298" s="6">
        <v>2.0</v>
      </c>
      <c r="M1298" s="8">
        <f t="shared" si="2"/>
        <v>0.1</v>
      </c>
      <c r="P1298" s="9"/>
    </row>
    <row r="1299">
      <c r="A1299" s="6" t="s">
        <v>3320</v>
      </c>
      <c r="B1299" s="6" t="s">
        <v>162</v>
      </c>
      <c r="C1299" s="6" t="s">
        <v>43</v>
      </c>
      <c r="D1299" s="6" t="s">
        <v>3321</v>
      </c>
      <c r="E1299" s="6" t="s">
        <v>82</v>
      </c>
      <c r="F1299" s="6" t="s">
        <v>77</v>
      </c>
      <c r="G1299" s="7">
        <v>0.05</v>
      </c>
      <c r="H1299" s="6" t="s">
        <v>1048</v>
      </c>
      <c r="I1299" s="6" t="s">
        <v>20</v>
      </c>
      <c r="J1299" s="6">
        <v>2008.0</v>
      </c>
      <c r="L1299" s="6">
        <v>1.0</v>
      </c>
      <c r="M1299" s="8">
        <f t="shared" si="2"/>
        <v>0.05</v>
      </c>
      <c r="P1299" s="9"/>
    </row>
    <row r="1300">
      <c r="A1300" s="6" t="s">
        <v>3322</v>
      </c>
      <c r="B1300" s="6" t="s">
        <v>1444</v>
      </c>
      <c r="C1300" s="6" t="s">
        <v>15</v>
      </c>
      <c r="D1300" s="6" t="s">
        <v>3323</v>
      </c>
      <c r="E1300" s="6" t="s">
        <v>457</v>
      </c>
      <c r="F1300" s="6" t="s">
        <v>112</v>
      </c>
      <c r="G1300" s="7">
        <v>0.09</v>
      </c>
      <c r="H1300" s="6" t="s">
        <v>19</v>
      </c>
      <c r="I1300" s="6" t="s">
        <v>20</v>
      </c>
      <c r="J1300" s="6">
        <v>2023.0</v>
      </c>
      <c r="K1300" s="10">
        <v>46056.0</v>
      </c>
      <c r="L1300" s="6">
        <v>1.0</v>
      </c>
      <c r="M1300" s="8">
        <f t="shared" si="2"/>
        <v>0.09</v>
      </c>
      <c r="P1300" s="9"/>
    </row>
    <row r="1301">
      <c r="A1301" s="6" t="s">
        <v>3324</v>
      </c>
      <c r="B1301" s="6" t="s">
        <v>146</v>
      </c>
      <c r="C1301" s="6" t="s">
        <v>3325</v>
      </c>
      <c r="D1301" s="6" t="s">
        <v>3326</v>
      </c>
      <c r="E1301" s="6" t="s">
        <v>111</v>
      </c>
      <c r="F1301" s="6" t="s">
        <v>112</v>
      </c>
      <c r="G1301" s="7">
        <v>1.0</v>
      </c>
      <c r="H1301" s="6" t="s">
        <v>89</v>
      </c>
      <c r="I1301" s="6" t="s">
        <v>20</v>
      </c>
      <c r="J1301" s="6">
        <v>2021.0</v>
      </c>
      <c r="L1301" s="6">
        <v>1.0</v>
      </c>
      <c r="M1301" s="8">
        <f t="shared" si="2"/>
        <v>1</v>
      </c>
      <c r="P1301" s="9"/>
    </row>
    <row r="1302">
      <c r="A1302" s="6" t="s">
        <v>3327</v>
      </c>
      <c r="B1302" s="6" t="s">
        <v>3328</v>
      </c>
      <c r="C1302" s="6" t="s">
        <v>43</v>
      </c>
      <c r="D1302" s="6" t="s">
        <v>3329</v>
      </c>
      <c r="E1302" s="6" t="s">
        <v>158</v>
      </c>
      <c r="F1302" s="6" t="s">
        <v>159</v>
      </c>
      <c r="G1302" s="7">
        <v>0.12</v>
      </c>
      <c r="H1302" s="6" t="s">
        <v>597</v>
      </c>
      <c r="I1302" s="6" t="s">
        <v>20</v>
      </c>
      <c r="J1302" s="6">
        <v>2024.0</v>
      </c>
      <c r="K1302" s="10">
        <v>46025.0</v>
      </c>
      <c r="L1302" s="6">
        <v>1.0</v>
      </c>
      <c r="M1302" s="8">
        <f t="shared" si="2"/>
        <v>0.12</v>
      </c>
      <c r="P1302" s="9"/>
    </row>
    <row r="1303">
      <c r="A1303" s="6" t="s">
        <v>3330</v>
      </c>
      <c r="B1303" s="6" t="s">
        <v>3331</v>
      </c>
      <c r="C1303" s="6" t="s">
        <v>37</v>
      </c>
      <c r="D1303" s="6" t="s">
        <v>3332</v>
      </c>
      <c r="E1303" s="6" t="s">
        <v>135</v>
      </c>
      <c r="F1303" s="6" t="s">
        <v>40</v>
      </c>
      <c r="G1303" s="7">
        <v>0.15</v>
      </c>
      <c r="H1303" s="6" t="s">
        <v>363</v>
      </c>
      <c r="I1303" s="6" t="s">
        <v>20</v>
      </c>
      <c r="J1303" s="6">
        <v>2024.0</v>
      </c>
      <c r="K1303" s="10">
        <v>46055.0</v>
      </c>
      <c r="L1303" s="6">
        <v>1.0</v>
      </c>
      <c r="M1303" s="8">
        <f t="shared" si="2"/>
        <v>0.15</v>
      </c>
      <c r="P1303" s="9"/>
    </row>
    <row r="1304">
      <c r="A1304" s="6" t="s">
        <v>3333</v>
      </c>
      <c r="B1304" s="6" t="s">
        <v>1020</v>
      </c>
      <c r="C1304" s="6" t="s">
        <v>418</v>
      </c>
      <c r="D1304" s="6" t="s">
        <v>3334</v>
      </c>
      <c r="E1304" s="6" t="s">
        <v>176</v>
      </c>
      <c r="F1304" s="6" t="s">
        <v>77</v>
      </c>
      <c r="G1304" s="7">
        <v>0.06</v>
      </c>
      <c r="H1304" s="6" t="s">
        <v>471</v>
      </c>
      <c r="I1304" s="6" t="s">
        <v>20</v>
      </c>
      <c r="J1304" s="6">
        <v>2026.0</v>
      </c>
      <c r="K1304" s="10">
        <v>46115.0</v>
      </c>
      <c r="L1304" s="6">
        <v>1.0</v>
      </c>
      <c r="M1304" s="8">
        <f t="shared" si="2"/>
        <v>0.06</v>
      </c>
      <c r="P1304" s="9"/>
    </row>
    <row r="1305">
      <c r="A1305" s="6" t="s">
        <v>3335</v>
      </c>
      <c r="B1305" s="6" t="s">
        <v>3336</v>
      </c>
      <c r="C1305" s="6" t="s">
        <v>37</v>
      </c>
      <c r="D1305" s="6" t="s">
        <v>3337</v>
      </c>
      <c r="E1305" s="6" t="s">
        <v>117</v>
      </c>
      <c r="F1305" s="6" t="s">
        <v>77</v>
      </c>
      <c r="G1305" s="7">
        <v>0.15</v>
      </c>
      <c r="H1305" s="6" t="s">
        <v>249</v>
      </c>
      <c r="I1305" s="6" t="s">
        <v>20</v>
      </c>
      <c r="J1305" s="6">
        <v>2014.0</v>
      </c>
      <c r="K1305" s="10">
        <v>46024.0</v>
      </c>
      <c r="L1305" s="6">
        <v>1.0</v>
      </c>
      <c r="M1305" s="8">
        <f t="shared" si="2"/>
        <v>0.15</v>
      </c>
      <c r="P1305" s="9"/>
    </row>
    <row r="1306">
      <c r="A1306" s="6" t="s">
        <v>3338</v>
      </c>
      <c r="B1306" s="6" t="s">
        <v>504</v>
      </c>
      <c r="C1306" s="6" t="s">
        <v>43</v>
      </c>
      <c r="D1306" s="6" t="s">
        <v>3339</v>
      </c>
      <c r="E1306" s="6" t="s">
        <v>164</v>
      </c>
      <c r="F1306" s="6" t="s">
        <v>112</v>
      </c>
      <c r="G1306" s="7">
        <v>0.05</v>
      </c>
      <c r="H1306" s="6" t="s">
        <v>88</v>
      </c>
      <c r="I1306" s="6" t="s">
        <v>20</v>
      </c>
      <c r="J1306" s="6">
        <v>2024.0</v>
      </c>
      <c r="K1306" s="10">
        <v>46055.0</v>
      </c>
      <c r="L1306" s="6">
        <v>1.0</v>
      </c>
      <c r="M1306" s="8">
        <f t="shared" si="2"/>
        <v>0.05</v>
      </c>
      <c r="P1306" s="9"/>
    </row>
    <row r="1307">
      <c r="A1307" s="6" t="s">
        <v>3340</v>
      </c>
      <c r="B1307" s="6" t="s">
        <v>1095</v>
      </c>
      <c r="C1307" s="6" t="s">
        <v>37</v>
      </c>
      <c r="D1307" s="6" t="s">
        <v>3341</v>
      </c>
      <c r="E1307" s="6" t="s">
        <v>117</v>
      </c>
      <c r="F1307" s="6" t="s">
        <v>77</v>
      </c>
      <c r="G1307" s="7">
        <v>2.98</v>
      </c>
      <c r="H1307" s="6" t="s">
        <v>373</v>
      </c>
      <c r="I1307" s="6" t="s">
        <v>45</v>
      </c>
      <c r="J1307" s="6">
        <v>2015.0</v>
      </c>
      <c r="K1307" s="10">
        <v>46023.0</v>
      </c>
      <c r="L1307" s="6">
        <v>1.0</v>
      </c>
      <c r="M1307" s="8">
        <f t="shared" si="2"/>
        <v>2.98</v>
      </c>
      <c r="N1307" s="6" t="s">
        <v>122</v>
      </c>
      <c r="P1307" s="9"/>
    </row>
    <row r="1308">
      <c r="A1308" s="6" t="s">
        <v>3342</v>
      </c>
      <c r="B1308" s="6" t="s">
        <v>625</v>
      </c>
      <c r="C1308" s="6" t="s">
        <v>377</v>
      </c>
      <c r="D1308" s="6" t="s">
        <v>3343</v>
      </c>
      <c r="E1308" s="6" t="s">
        <v>76</v>
      </c>
      <c r="F1308" s="6" t="s">
        <v>2232</v>
      </c>
      <c r="G1308" s="7">
        <v>0.05</v>
      </c>
      <c r="H1308" s="6" t="s">
        <v>283</v>
      </c>
      <c r="I1308" s="6" t="s">
        <v>20</v>
      </c>
      <c r="J1308" s="6">
        <v>2013.0</v>
      </c>
      <c r="K1308" s="10">
        <v>46082.0</v>
      </c>
      <c r="L1308" s="6">
        <v>4.0</v>
      </c>
      <c r="M1308" s="8">
        <f t="shared" si="2"/>
        <v>0.2</v>
      </c>
      <c r="P1308" s="9"/>
    </row>
    <row r="1309">
      <c r="A1309" s="6" t="s">
        <v>3344</v>
      </c>
      <c r="B1309" s="6" t="s">
        <v>3345</v>
      </c>
      <c r="C1309" s="6" t="s">
        <v>43</v>
      </c>
      <c r="D1309" s="6" t="s">
        <v>3346</v>
      </c>
      <c r="E1309" s="6" t="s">
        <v>164</v>
      </c>
      <c r="F1309" s="6" t="s">
        <v>112</v>
      </c>
      <c r="G1309" s="7">
        <v>0.04</v>
      </c>
      <c r="H1309" s="6" t="s">
        <v>1287</v>
      </c>
      <c r="I1309" s="6" t="s">
        <v>20</v>
      </c>
      <c r="J1309" s="6">
        <v>2021.0</v>
      </c>
      <c r="K1309" s="10">
        <v>46055.0</v>
      </c>
      <c r="L1309" s="6">
        <v>1.0</v>
      </c>
      <c r="M1309" s="8">
        <f t="shared" si="2"/>
        <v>0.04</v>
      </c>
      <c r="P1309" s="9"/>
    </row>
    <row r="1310">
      <c r="A1310" s="6" t="s">
        <v>3347</v>
      </c>
      <c r="B1310" s="6" t="s">
        <v>1694</v>
      </c>
      <c r="C1310" s="6" t="s">
        <v>43</v>
      </c>
      <c r="D1310" s="6" t="s">
        <v>3348</v>
      </c>
      <c r="E1310" s="6" t="s">
        <v>25</v>
      </c>
      <c r="F1310" s="6" t="s">
        <v>26</v>
      </c>
      <c r="G1310" s="7">
        <v>0.05</v>
      </c>
      <c r="H1310" s="6" t="s">
        <v>582</v>
      </c>
      <c r="I1310" s="6" t="s">
        <v>20</v>
      </c>
      <c r="J1310" s="6">
        <v>2023.0</v>
      </c>
      <c r="K1310" s="10">
        <v>46024.0</v>
      </c>
      <c r="L1310" s="6">
        <v>1.0</v>
      </c>
      <c r="M1310" s="8">
        <f t="shared" si="2"/>
        <v>0.05</v>
      </c>
      <c r="P1310" s="9"/>
    </row>
    <row r="1311">
      <c r="A1311" s="6" t="s">
        <v>3349</v>
      </c>
      <c r="B1311" s="6" t="s">
        <v>462</v>
      </c>
      <c r="C1311" s="6" t="s">
        <v>37</v>
      </c>
      <c r="D1311" s="6" t="s">
        <v>3350</v>
      </c>
      <c r="E1311" s="6" t="s">
        <v>2136</v>
      </c>
      <c r="F1311" s="6" t="s">
        <v>1000</v>
      </c>
      <c r="G1311" s="7">
        <v>0.16</v>
      </c>
      <c r="H1311" s="6" t="s">
        <v>136</v>
      </c>
      <c r="I1311" s="6" t="s">
        <v>20</v>
      </c>
      <c r="J1311" s="6">
        <v>2026.0</v>
      </c>
      <c r="L1311" s="6">
        <v>1.0</v>
      </c>
      <c r="M1311" s="8">
        <f t="shared" si="2"/>
        <v>0.16</v>
      </c>
      <c r="P1311" s="9"/>
    </row>
    <row r="1312">
      <c r="A1312" s="6" t="s">
        <v>3351</v>
      </c>
      <c r="B1312" s="6" t="s">
        <v>3352</v>
      </c>
      <c r="C1312" s="6" t="s">
        <v>37</v>
      </c>
      <c r="D1312" s="6" t="s">
        <v>3353</v>
      </c>
      <c r="E1312" s="6" t="s">
        <v>248</v>
      </c>
      <c r="F1312" s="6" t="s">
        <v>77</v>
      </c>
      <c r="G1312" s="7">
        <v>0.2</v>
      </c>
      <c r="H1312" s="6" t="s">
        <v>297</v>
      </c>
      <c r="I1312" s="6" t="s">
        <v>20</v>
      </c>
      <c r="J1312" s="6">
        <v>2022.0</v>
      </c>
      <c r="K1312" s="10">
        <v>46055.0</v>
      </c>
      <c r="L1312" s="6">
        <v>1.0</v>
      </c>
      <c r="M1312" s="8">
        <f t="shared" si="2"/>
        <v>0.2</v>
      </c>
      <c r="P1312" s="9"/>
    </row>
    <row r="1313">
      <c r="A1313" s="6" t="s">
        <v>3354</v>
      </c>
      <c r="B1313" s="6" t="s">
        <v>3355</v>
      </c>
      <c r="C1313" s="6" t="s">
        <v>37</v>
      </c>
      <c r="D1313" s="6" t="s">
        <v>3356</v>
      </c>
      <c r="E1313" s="6" t="s">
        <v>86</v>
      </c>
      <c r="F1313" s="6" t="s">
        <v>87</v>
      </c>
      <c r="G1313" s="7">
        <v>0.33</v>
      </c>
      <c r="H1313" s="6" t="s">
        <v>1867</v>
      </c>
      <c r="I1313" s="6" t="s">
        <v>20</v>
      </c>
      <c r="J1313" s="6">
        <v>2004.0</v>
      </c>
      <c r="K1313" s="10">
        <v>46054.0</v>
      </c>
      <c r="L1313" s="6">
        <v>1.0</v>
      </c>
      <c r="M1313" s="8">
        <f t="shared" si="2"/>
        <v>0.33</v>
      </c>
      <c r="P1313" s="9"/>
    </row>
    <row r="1314">
      <c r="A1314" s="6" t="s">
        <v>3357</v>
      </c>
      <c r="B1314" s="6" t="s">
        <v>3050</v>
      </c>
      <c r="C1314" s="6" t="s">
        <v>37</v>
      </c>
      <c r="D1314" s="6" t="s">
        <v>3358</v>
      </c>
      <c r="E1314" s="6" t="s">
        <v>140</v>
      </c>
      <c r="F1314" s="6" t="s">
        <v>87</v>
      </c>
      <c r="G1314" s="7">
        <v>0.25</v>
      </c>
      <c r="H1314" s="6" t="s">
        <v>452</v>
      </c>
      <c r="I1314" s="6" t="s">
        <v>20</v>
      </c>
      <c r="J1314" s="6">
        <v>1995.0</v>
      </c>
      <c r="K1314" s="10">
        <v>46023.0</v>
      </c>
      <c r="L1314" s="6">
        <v>1.0</v>
      </c>
      <c r="M1314" s="8">
        <f t="shared" si="2"/>
        <v>0.25</v>
      </c>
      <c r="P1314" s="9"/>
    </row>
    <row r="1315">
      <c r="A1315" s="6" t="s">
        <v>3359</v>
      </c>
      <c r="B1315" s="6" t="s">
        <v>3360</v>
      </c>
      <c r="C1315" s="6" t="s">
        <v>43</v>
      </c>
      <c r="D1315" s="6" t="s">
        <v>3361</v>
      </c>
      <c r="E1315" s="6" t="s">
        <v>256</v>
      </c>
      <c r="F1315" s="6" t="s">
        <v>87</v>
      </c>
      <c r="G1315" s="7">
        <v>0.09</v>
      </c>
      <c r="H1315" s="6" t="s">
        <v>88</v>
      </c>
      <c r="I1315" s="6" t="s">
        <v>20</v>
      </c>
      <c r="J1315" s="6">
        <v>2024.0</v>
      </c>
      <c r="K1315" s="10">
        <v>46056.0</v>
      </c>
      <c r="L1315" s="6">
        <v>1.0</v>
      </c>
      <c r="M1315" s="8">
        <f t="shared" si="2"/>
        <v>0.09</v>
      </c>
      <c r="P1315" s="9"/>
    </row>
    <row r="1316">
      <c r="A1316" s="6" t="s">
        <v>3362</v>
      </c>
      <c r="B1316" s="6" t="s">
        <v>778</v>
      </c>
      <c r="C1316" s="6" t="s">
        <v>15</v>
      </c>
      <c r="D1316" s="6" t="s">
        <v>3363</v>
      </c>
      <c r="E1316" s="6" t="s">
        <v>509</v>
      </c>
      <c r="F1316" s="6" t="s">
        <v>87</v>
      </c>
      <c r="G1316" s="7">
        <v>14.99</v>
      </c>
      <c r="H1316" s="6" t="s">
        <v>130</v>
      </c>
      <c r="I1316" s="6" t="s">
        <v>20</v>
      </c>
      <c r="J1316" s="6">
        <v>2014.0</v>
      </c>
      <c r="L1316" s="6">
        <v>1.0</v>
      </c>
      <c r="M1316" s="8">
        <f t="shared" si="2"/>
        <v>14.99</v>
      </c>
      <c r="P1316" s="9"/>
    </row>
    <row r="1317">
      <c r="A1317" s="6" t="s">
        <v>3364</v>
      </c>
      <c r="B1317" s="6" t="s">
        <v>3050</v>
      </c>
      <c r="C1317" s="6" t="s">
        <v>43</v>
      </c>
      <c r="D1317" s="6" t="s">
        <v>3365</v>
      </c>
      <c r="E1317" s="6" t="s">
        <v>256</v>
      </c>
      <c r="F1317" s="6" t="s">
        <v>87</v>
      </c>
      <c r="G1317" s="7">
        <v>0.06</v>
      </c>
      <c r="H1317" s="6" t="s">
        <v>3366</v>
      </c>
      <c r="I1317" s="6" t="s">
        <v>20</v>
      </c>
      <c r="J1317" s="6">
        <v>2004.0</v>
      </c>
      <c r="K1317" s="10">
        <v>46055.0</v>
      </c>
      <c r="L1317" s="6">
        <v>1.0</v>
      </c>
      <c r="M1317" s="8">
        <f t="shared" si="2"/>
        <v>0.06</v>
      </c>
      <c r="P1317" s="9"/>
    </row>
    <row r="1318">
      <c r="A1318" s="6" t="s">
        <v>3367</v>
      </c>
      <c r="B1318" s="6" t="s">
        <v>1865</v>
      </c>
      <c r="C1318" s="6" t="s">
        <v>43</v>
      </c>
      <c r="D1318" s="6" t="s">
        <v>3368</v>
      </c>
      <c r="E1318" s="6" t="s">
        <v>86</v>
      </c>
      <c r="F1318" s="6" t="s">
        <v>87</v>
      </c>
      <c r="G1318" s="7">
        <v>0.08</v>
      </c>
      <c r="H1318" s="6" t="s">
        <v>3369</v>
      </c>
      <c r="I1318" s="6" t="s">
        <v>20</v>
      </c>
      <c r="J1318" s="6">
        <v>2003.0</v>
      </c>
      <c r="K1318" s="10">
        <v>46055.0</v>
      </c>
      <c r="L1318" s="6">
        <v>1.0</v>
      </c>
      <c r="M1318" s="8">
        <f t="shared" si="2"/>
        <v>0.08</v>
      </c>
      <c r="P1318" s="9"/>
    </row>
    <row r="1319">
      <c r="A1319" s="6" t="s">
        <v>3370</v>
      </c>
      <c r="B1319" s="6" t="s">
        <v>836</v>
      </c>
      <c r="C1319" s="6" t="s">
        <v>37</v>
      </c>
      <c r="D1319" s="6" t="s">
        <v>3371</v>
      </c>
      <c r="E1319" s="6" t="s">
        <v>389</v>
      </c>
      <c r="F1319" s="6" t="s">
        <v>87</v>
      </c>
      <c r="G1319" s="7">
        <v>0.27</v>
      </c>
      <c r="H1319" s="6" t="s">
        <v>3372</v>
      </c>
      <c r="I1319" s="6" t="s">
        <v>20</v>
      </c>
      <c r="J1319" s="6">
        <v>2003.0</v>
      </c>
      <c r="K1319" s="10">
        <v>46084.0</v>
      </c>
      <c r="L1319" s="6">
        <v>1.0</v>
      </c>
      <c r="M1319" s="8">
        <f t="shared" si="2"/>
        <v>0.27</v>
      </c>
      <c r="P1319" s="9"/>
    </row>
    <row r="1320">
      <c r="A1320" s="6" t="s">
        <v>3373</v>
      </c>
      <c r="B1320" s="6" t="s">
        <v>3374</v>
      </c>
      <c r="C1320" s="6" t="s">
        <v>15</v>
      </c>
      <c r="D1320" s="6" t="s">
        <v>3375</v>
      </c>
      <c r="E1320" s="6" t="s">
        <v>1010</v>
      </c>
      <c r="F1320" s="6" t="s">
        <v>87</v>
      </c>
      <c r="G1320" s="7">
        <v>0.19</v>
      </c>
      <c r="H1320" s="6" t="s">
        <v>2682</v>
      </c>
      <c r="I1320" s="6" t="s">
        <v>20</v>
      </c>
      <c r="J1320" s="6">
        <v>2018.0</v>
      </c>
      <c r="K1320" s="10">
        <v>46055.0</v>
      </c>
      <c r="L1320" s="6">
        <v>1.0</v>
      </c>
      <c r="M1320" s="8">
        <f t="shared" si="2"/>
        <v>0.19</v>
      </c>
      <c r="P1320" s="9"/>
    </row>
    <row r="1321">
      <c r="A1321" s="6" t="s">
        <v>3376</v>
      </c>
      <c r="B1321" s="6" t="s">
        <v>836</v>
      </c>
      <c r="C1321" s="6" t="s">
        <v>30</v>
      </c>
      <c r="D1321" s="6" t="s">
        <v>3377</v>
      </c>
      <c r="E1321" s="6" t="s">
        <v>1634</v>
      </c>
      <c r="F1321" s="6" t="s">
        <v>87</v>
      </c>
      <c r="G1321" s="7">
        <v>0.98</v>
      </c>
      <c r="H1321" s="6" t="s">
        <v>407</v>
      </c>
      <c r="I1321" s="6" t="s">
        <v>45</v>
      </c>
      <c r="J1321" s="6">
        <v>2016.0</v>
      </c>
      <c r="K1321" s="10">
        <v>46116.0</v>
      </c>
      <c r="L1321" s="6">
        <v>1.0</v>
      </c>
      <c r="M1321" s="8">
        <f t="shared" si="2"/>
        <v>0.98</v>
      </c>
      <c r="P1321" s="9"/>
    </row>
    <row r="1322">
      <c r="A1322" s="6" t="s">
        <v>3378</v>
      </c>
      <c r="B1322" s="6" t="s">
        <v>907</v>
      </c>
      <c r="C1322" s="6" t="s">
        <v>23</v>
      </c>
      <c r="D1322" s="6" t="s">
        <v>3379</v>
      </c>
      <c r="E1322" s="6" t="s">
        <v>3380</v>
      </c>
      <c r="F1322" s="6" t="s">
        <v>665</v>
      </c>
      <c r="G1322" s="7">
        <v>0.09</v>
      </c>
      <c r="H1322" s="6" t="s">
        <v>130</v>
      </c>
      <c r="I1322" s="6" t="s">
        <v>20</v>
      </c>
      <c r="J1322" s="6">
        <v>2014.0</v>
      </c>
      <c r="K1322" s="10">
        <v>46025.0</v>
      </c>
      <c r="L1322" s="6">
        <v>1.0</v>
      </c>
      <c r="M1322" s="8">
        <f t="shared" si="2"/>
        <v>0.09</v>
      </c>
      <c r="P1322" s="9"/>
    </row>
    <row r="1323">
      <c r="A1323" s="6" t="s">
        <v>3381</v>
      </c>
      <c r="B1323" s="6" t="s">
        <v>3382</v>
      </c>
      <c r="C1323" s="6" t="s">
        <v>43</v>
      </c>
      <c r="D1323" s="6" t="s">
        <v>3383</v>
      </c>
      <c r="E1323" s="6" t="s">
        <v>140</v>
      </c>
      <c r="F1323" s="6" t="s">
        <v>87</v>
      </c>
      <c r="G1323" s="7">
        <v>0.09</v>
      </c>
      <c r="H1323" s="6" t="s">
        <v>3384</v>
      </c>
      <c r="I1323" s="6" t="s">
        <v>20</v>
      </c>
      <c r="J1323" s="6">
        <v>1995.0</v>
      </c>
      <c r="K1323" s="10">
        <v>46023.0</v>
      </c>
      <c r="L1323" s="6">
        <v>2.0</v>
      </c>
      <c r="M1323" s="8">
        <f t="shared" si="2"/>
        <v>0.18</v>
      </c>
      <c r="P1323" s="9"/>
    </row>
    <row r="1324">
      <c r="A1324" s="6" t="s">
        <v>3385</v>
      </c>
      <c r="B1324" s="6" t="s">
        <v>2935</v>
      </c>
      <c r="C1324" s="6" t="s">
        <v>37</v>
      </c>
      <c r="D1324" s="6" t="s">
        <v>3386</v>
      </c>
      <c r="E1324" s="6" t="s">
        <v>1588</v>
      </c>
      <c r="F1324" s="6" t="s">
        <v>87</v>
      </c>
      <c r="G1324" s="7">
        <v>0.45</v>
      </c>
      <c r="H1324" s="6" t="s">
        <v>3372</v>
      </c>
      <c r="I1324" s="6" t="s">
        <v>20</v>
      </c>
      <c r="J1324" s="6">
        <v>2003.0</v>
      </c>
      <c r="K1324" s="10">
        <v>46116.0</v>
      </c>
      <c r="L1324" s="6">
        <v>1.0</v>
      </c>
      <c r="M1324" s="8">
        <f t="shared" si="2"/>
        <v>0.45</v>
      </c>
      <c r="P1324" s="9"/>
    </row>
    <row r="1325">
      <c r="A1325" s="6" t="s">
        <v>3387</v>
      </c>
      <c r="B1325" s="6" t="s">
        <v>836</v>
      </c>
      <c r="C1325" s="6" t="s">
        <v>43</v>
      </c>
      <c r="D1325" s="6" t="s">
        <v>3388</v>
      </c>
      <c r="E1325" s="6" t="s">
        <v>86</v>
      </c>
      <c r="F1325" s="6" t="s">
        <v>87</v>
      </c>
      <c r="G1325" s="7">
        <v>0.08</v>
      </c>
      <c r="H1325" s="6" t="s">
        <v>3372</v>
      </c>
      <c r="I1325" s="6" t="s">
        <v>20</v>
      </c>
      <c r="J1325" s="6">
        <v>2003.0</v>
      </c>
      <c r="K1325" s="10">
        <v>46055.0</v>
      </c>
      <c r="L1325" s="6">
        <v>1.0</v>
      </c>
      <c r="M1325" s="8">
        <f t="shared" si="2"/>
        <v>0.08</v>
      </c>
      <c r="P1325" s="9"/>
    </row>
    <row r="1326">
      <c r="A1326" s="6" t="s">
        <v>3389</v>
      </c>
      <c r="B1326" s="6" t="s">
        <v>162</v>
      </c>
      <c r="C1326" s="6" t="s">
        <v>43</v>
      </c>
      <c r="D1326" s="6" t="s">
        <v>3390</v>
      </c>
      <c r="E1326" s="6" t="s">
        <v>256</v>
      </c>
      <c r="F1326" s="6" t="s">
        <v>87</v>
      </c>
      <c r="G1326" s="7">
        <v>0.06</v>
      </c>
      <c r="H1326" s="6" t="s">
        <v>431</v>
      </c>
      <c r="I1326" s="6" t="s">
        <v>20</v>
      </c>
      <c r="J1326" s="6">
        <v>2019.0</v>
      </c>
      <c r="L1326" s="6">
        <v>1.0</v>
      </c>
      <c r="M1326" s="8">
        <f t="shared" si="2"/>
        <v>0.06</v>
      </c>
      <c r="P1326" s="9"/>
    </row>
    <row r="1327">
      <c r="A1327" s="6" t="s">
        <v>3391</v>
      </c>
      <c r="B1327" s="6" t="s">
        <v>3392</v>
      </c>
      <c r="C1327" s="6" t="s">
        <v>43</v>
      </c>
      <c r="D1327" s="6" t="s">
        <v>3393</v>
      </c>
      <c r="E1327" s="6" t="s">
        <v>86</v>
      </c>
      <c r="F1327" s="6" t="s">
        <v>87</v>
      </c>
      <c r="G1327" s="7">
        <v>0.38</v>
      </c>
      <c r="H1327" s="6" t="s">
        <v>148</v>
      </c>
      <c r="I1327" s="6" t="s">
        <v>45</v>
      </c>
      <c r="J1327" s="6">
        <v>2026.0</v>
      </c>
      <c r="K1327" s="10">
        <v>46055.0</v>
      </c>
      <c r="L1327" s="6">
        <v>1.0</v>
      </c>
      <c r="M1327" s="8">
        <f t="shared" si="2"/>
        <v>0.38</v>
      </c>
      <c r="P1327" s="9"/>
    </row>
    <row r="1328">
      <c r="A1328" s="6" t="s">
        <v>3394</v>
      </c>
      <c r="B1328" s="6" t="s">
        <v>836</v>
      </c>
      <c r="C1328" s="6" t="s">
        <v>43</v>
      </c>
      <c r="D1328" s="6" t="s">
        <v>3395</v>
      </c>
      <c r="E1328" s="6" t="s">
        <v>140</v>
      </c>
      <c r="F1328" s="6" t="s">
        <v>87</v>
      </c>
      <c r="G1328" s="7">
        <v>0.12</v>
      </c>
      <c r="H1328" s="6" t="s">
        <v>3372</v>
      </c>
      <c r="I1328" s="6" t="s">
        <v>20</v>
      </c>
      <c r="J1328" s="6">
        <v>2003.0</v>
      </c>
      <c r="K1328" s="10">
        <v>46023.0</v>
      </c>
      <c r="L1328" s="6">
        <v>1.0</v>
      </c>
      <c r="M1328" s="8">
        <f t="shared" si="2"/>
        <v>0.12</v>
      </c>
      <c r="P1328" s="9"/>
    </row>
    <row r="1329">
      <c r="A1329" s="6" t="s">
        <v>3396</v>
      </c>
      <c r="B1329" s="6" t="s">
        <v>3397</v>
      </c>
      <c r="C1329" s="6" t="s">
        <v>43</v>
      </c>
      <c r="D1329" s="6" t="s">
        <v>3398</v>
      </c>
      <c r="E1329" s="6" t="s">
        <v>389</v>
      </c>
      <c r="F1329" s="6" t="s">
        <v>87</v>
      </c>
      <c r="G1329" s="7">
        <v>0.08</v>
      </c>
      <c r="H1329" s="6" t="s">
        <v>1493</v>
      </c>
      <c r="I1329" s="6" t="s">
        <v>20</v>
      </c>
      <c r="J1329" s="6">
        <v>2015.0</v>
      </c>
      <c r="K1329" s="10">
        <v>46056.0</v>
      </c>
      <c r="L1329" s="6">
        <v>1.0</v>
      </c>
      <c r="M1329" s="8">
        <f t="shared" si="2"/>
        <v>0.08</v>
      </c>
      <c r="P1329" s="9"/>
    </row>
    <row r="1330">
      <c r="A1330" s="6" t="s">
        <v>3399</v>
      </c>
      <c r="B1330" s="6" t="s">
        <v>3050</v>
      </c>
      <c r="C1330" s="6" t="s">
        <v>30</v>
      </c>
      <c r="D1330" s="6" t="s">
        <v>3400</v>
      </c>
      <c r="E1330" s="6" t="s">
        <v>86</v>
      </c>
      <c r="F1330" s="6" t="s">
        <v>87</v>
      </c>
      <c r="G1330" s="7">
        <v>0.25</v>
      </c>
      <c r="H1330" s="6" t="s">
        <v>1392</v>
      </c>
      <c r="I1330" s="6" t="s">
        <v>20</v>
      </c>
      <c r="J1330" s="6">
        <v>2014.0</v>
      </c>
      <c r="K1330" s="10">
        <v>46054.0</v>
      </c>
      <c r="L1330" s="6">
        <v>1.0</v>
      </c>
      <c r="M1330" s="8">
        <f t="shared" si="2"/>
        <v>0.25</v>
      </c>
      <c r="P1330" s="9"/>
    </row>
    <row r="1331">
      <c r="A1331" s="6" t="s">
        <v>3401</v>
      </c>
      <c r="B1331" s="6" t="s">
        <v>836</v>
      </c>
      <c r="C1331" s="6" t="s">
        <v>37</v>
      </c>
      <c r="D1331" s="6" t="s">
        <v>3402</v>
      </c>
      <c r="E1331" s="6" t="s">
        <v>356</v>
      </c>
      <c r="F1331" s="6" t="s">
        <v>87</v>
      </c>
      <c r="G1331" s="7">
        <v>0.08</v>
      </c>
      <c r="H1331" s="6" t="s">
        <v>464</v>
      </c>
      <c r="I1331" s="6" t="s">
        <v>20</v>
      </c>
      <c r="J1331" s="6">
        <v>2002.0</v>
      </c>
      <c r="K1331" s="6" t="s">
        <v>100</v>
      </c>
      <c r="L1331" s="6">
        <v>1.0</v>
      </c>
      <c r="M1331" s="8">
        <f t="shared" si="2"/>
        <v>0.08</v>
      </c>
      <c r="P1331" s="9"/>
    </row>
    <row r="1332">
      <c r="A1332" s="6" t="s">
        <v>3403</v>
      </c>
      <c r="B1332" s="6" t="s">
        <v>3050</v>
      </c>
      <c r="C1332" s="6" t="s">
        <v>30</v>
      </c>
      <c r="D1332" s="6" t="s">
        <v>3404</v>
      </c>
      <c r="E1332" s="6" t="s">
        <v>757</v>
      </c>
      <c r="F1332" s="6" t="s">
        <v>87</v>
      </c>
      <c r="G1332" s="7">
        <v>0.25</v>
      </c>
      <c r="H1332" s="6" t="s">
        <v>2937</v>
      </c>
      <c r="I1332" s="6" t="s">
        <v>20</v>
      </c>
      <c r="J1332" s="6">
        <v>2018.0</v>
      </c>
      <c r="K1332" s="10">
        <v>46115.0</v>
      </c>
      <c r="L1332" s="6">
        <v>1.0</v>
      </c>
      <c r="M1332" s="8">
        <f t="shared" si="2"/>
        <v>0.25</v>
      </c>
      <c r="P1332" s="9"/>
    </row>
    <row r="1333">
      <c r="A1333" s="6" t="s">
        <v>3405</v>
      </c>
      <c r="B1333" s="6" t="s">
        <v>3406</v>
      </c>
      <c r="C1333" s="6" t="s">
        <v>43</v>
      </c>
      <c r="D1333" s="6" t="s">
        <v>3407</v>
      </c>
      <c r="E1333" s="6" t="s">
        <v>185</v>
      </c>
      <c r="F1333" s="6" t="s">
        <v>26</v>
      </c>
      <c r="G1333" s="7">
        <v>0.05</v>
      </c>
      <c r="H1333" s="6" t="s">
        <v>217</v>
      </c>
      <c r="I1333" s="6" t="s">
        <v>20</v>
      </c>
      <c r="J1333" s="6">
        <v>2003.0</v>
      </c>
      <c r="K1333" s="10">
        <v>46055.0</v>
      </c>
      <c r="L1333" s="6">
        <v>1.0</v>
      </c>
      <c r="M1333" s="8">
        <f t="shared" si="2"/>
        <v>0.05</v>
      </c>
      <c r="P1333" s="9"/>
    </row>
    <row r="1334">
      <c r="A1334" s="6" t="s">
        <v>3408</v>
      </c>
      <c r="B1334" s="6" t="s">
        <v>836</v>
      </c>
      <c r="C1334" s="6" t="s">
        <v>37</v>
      </c>
      <c r="D1334" s="6" t="s">
        <v>3409</v>
      </c>
      <c r="E1334" s="6" t="s">
        <v>389</v>
      </c>
      <c r="F1334" s="6" t="s">
        <v>87</v>
      </c>
      <c r="G1334" s="7">
        <v>0.45</v>
      </c>
      <c r="H1334" s="6" t="s">
        <v>3410</v>
      </c>
      <c r="I1334" s="6" t="s">
        <v>20</v>
      </c>
      <c r="J1334" s="6">
        <v>2019.0</v>
      </c>
      <c r="K1334" s="10">
        <v>46055.0</v>
      </c>
      <c r="L1334" s="6">
        <v>1.0</v>
      </c>
      <c r="M1334" s="8">
        <f t="shared" si="2"/>
        <v>0.45</v>
      </c>
      <c r="P1334" s="9"/>
    </row>
    <row r="1335">
      <c r="A1335" s="6" t="s">
        <v>3411</v>
      </c>
      <c r="B1335" s="6" t="s">
        <v>3382</v>
      </c>
      <c r="C1335" s="6" t="s">
        <v>43</v>
      </c>
      <c r="D1335" s="6" t="s">
        <v>3412</v>
      </c>
      <c r="E1335" s="6" t="s">
        <v>86</v>
      </c>
      <c r="F1335" s="6" t="s">
        <v>87</v>
      </c>
      <c r="G1335" s="7">
        <v>0.08</v>
      </c>
      <c r="H1335" s="6" t="s">
        <v>324</v>
      </c>
      <c r="I1335" s="6" t="s">
        <v>20</v>
      </c>
      <c r="J1335" s="6">
        <v>1995.0</v>
      </c>
      <c r="K1335" s="10">
        <v>46025.0</v>
      </c>
      <c r="L1335" s="6">
        <v>3.0</v>
      </c>
      <c r="M1335" s="8">
        <f t="shared" si="2"/>
        <v>0.24</v>
      </c>
      <c r="P1335" s="9"/>
    </row>
    <row r="1336">
      <c r="A1336" s="6" t="s">
        <v>3411</v>
      </c>
      <c r="B1336" s="6" t="s">
        <v>3382</v>
      </c>
      <c r="C1336" s="6" t="s">
        <v>43</v>
      </c>
      <c r="D1336" s="6" t="s">
        <v>3412</v>
      </c>
      <c r="E1336" s="6" t="s">
        <v>86</v>
      </c>
      <c r="F1336" s="6" t="s">
        <v>87</v>
      </c>
      <c r="G1336" s="7">
        <v>0.17</v>
      </c>
      <c r="H1336" s="6" t="s">
        <v>316</v>
      </c>
      <c r="I1336" s="6" t="s">
        <v>20</v>
      </c>
      <c r="J1336" s="6">
        <v>1995.0</v>
      </c>
      <c r="K1336" s="10">
        <v>46025.0</v>
      </c>
      <c r="L1336" s="6">
        <v>6.0</v>
      </c>
      <c r="M1336" s="8">
        <f t="shared" si="2"/>
        <v>1.02</v>
      </c>
      <c r="P1336" s="9"/>
    </row>
    <row r="1337">
      <c r="A1337" s="6" t="s">
        <v>3413</v>
      </c>
      <c r="B1337" s="6" t="s">
        <v>3414</v>
      </c>
      <c r="C1337" s="6" t="s">
        <v>43</v>
      </c>
      <c r="E1337" s="6" t="s">
        <v>256</v>
      </c>
      <c r="F1337" s="6" t="s">
        <v>87</v>
      </c>
      <c r="G1337" s="7">
        <v>0.05</v>
      </c>
      <c r="H1337" s="6" t="s">
        <v>232</v>
      </c>
      <c r="I1337" s="6" t="s">
        <v>20</v>
      </c>
      <c r="J1337" s="6">
        <v>2010.0</v>
      </c>
      <c r="K1337" s="10">
        <v>46056.0</v>
      </c>
      <c r="L1337" s="6">
        <v>1.0</v>
      </c>
      <c r="M1337" s="8">
        <f t="shared" si="2"/>
        <v>0.05</v>
      </c>
      <c r="P1337" s="9"/>
    </row>
    <row r="1338">
      <c r="A1338" s="6" t="s">
        <v>3415</v>
      </c>
      <c r="B1338" s="6" t="s">
        <v>3050</v>
      </c>
      <c r="C1338" s="6" t="s">
        <v>43</v>
      </c>
      <c r="D1338" s="6" t="s">
        <v>3416</v>
      </c>
      <c r="E1338" s="6" t="s">
        <v>256</v>
      </c>
      <c r="F1338" s="6" t="s">
        <v>87</v>
      </c>
      <c r="G1338" s="7">
        <v>0.05</v>
      </c>
      <c r="H1338" s="6" t="s">
        <v>464</v>
      </c>
      <c r="I1338" s="6" t="s">
        <v>20</v>
      </c>
      <c r="J1338" s="6">
        <v>2002.0</v>
      </c>
      <c r="K1338" s="10">
        <v>46054.0</v>
      </c>
      <c r="L1338" s="6">
        <v>1.0</v>
      </c>
      <c r="M1338" s="8">
        <f t="shared" si="2"/>
        <v>0.05</v>
      </c>
      <c r="P1338" s="9"/>
    </row>
    <row r="1339">
      <c r="A1339" s="6" t="s">
        <v>3417</v>
      </c>
      <c r="B1339" s="6" t="s">
        <v>3397</v>
      </c>
      <c r="C1339" s="6" t="s">
        <v>43</v>
      </c>
      <c r="D1339" s="6" t="s">
        <v>3418</v>
      </c>
      <c r="E1339" s="6" t="s">
        <v>86</v>
      </c>
      <c r="F1339" s="6" t="s">
        <v>87</v>
      </c>
      <c r="G1339" s="7">
        <v>0.05</v>
      </c>
      <c r="H1339" s="6" t="s">
        <v>217</v>
      </c>
      <c r="I1339" s="6" t="s">
        <v>20</v>
      </c>
      <c r="J1339" s="6">
        <v>2003.0</v>
      </c>
      <c r="K1339" s="10">
        <v>46023.0</v>
      </c>
      <c r="L1339" s="6">
        <v>1.0</v>
      </c>
      <c r="M1339" s="8">
        <f t="shared" si="2"/>
        <v>0.05</v>
      </c>
      <c r="P1339" s="9"/>
    </row>
    <row r="1340">
      <c r="A1340" s="6" t="s">
        <v>3419</v>
      </c>
      <c r="B1340" s="6" t="s">
        <v>836</v>
      </c>
      <c r="C1340" s="6" t="s">
        <v>43</v>
      </c>
      <c r="D1340" s="6" t="s">
        <v>3420</v>
      </c>
      <c r="E1340" s="6" t="s">
        <v>140</v>
      </c>
      <c r="F1340" s="6" t="s">
        <v>87</v>
      </c>
      <c r="G1340" s="7">
        <v>0.08</v>
      </c>
      <c r="H1340" s="6" t="s">
        <v>464</v>
      </c>
      <c r="I1340" s="6" t="s">
        <v>20</v>
      </c>
      <c r="J1340" s="6">
        <v>2002.0</v>
      </c>
      <c r="K1340" s="10">
        <v>46023.0</v>
      </c>
      <c r="L1340" s="6">
        <v>1.0</v>
      </c>
      <c r="M1340" s="8">
        <f t="shared" si="2"/>
        <v>0.08</v>
      </c>
      <c r="P1340" s="9"/>
    </row>
    <row r="1341">
      <c r="A1341" s="6" t="s">
        <v>3421</v>
      </c>
      <c r="B1341" s="6" t="s">
        <v>3422</v>
      </c>
      <c r="C1341" s="6" t="s">
        <v>43</v>
      </c>
      <c r="D1341" s="6" t="s">
        <v>3423</v>
      </c>
      <c r="E1341" s="6" t="s">
        <v>86</v>
      </c>
      <c r="F1341" s="6" t="s">
        <v>87</v>
      </c>
      <c r="G1341" s="7">
        <v>0.22</v>
      </c>
      <c r="H1341" s="6" t="s">
        <v>259</v>
      </c>
      <c r="I1341" s="6" t="s">
        <v>20</v>
      </c>
      <c r="J1341" s="6">
        <v>1996.0</v>
      </c>
      <c r="K1341" s="10">
        <v>46054.0</v>
      </c>
      <c r="L1341" s="6">
        <v>1.0</v>
      </c>
      <c r="M1341" s="8">
        <f t="shared" si="2"/>
        <v>0.22</v>
      </c>
      <c r="P1341" s="9"/>
    </row>
    <row r="1342">
      <c r="A1342" s="6" t="s">
        <v>3424</v>
      </c>
      <c r="B1342" s="6" t="s">
        <v>2739</v>
      </c>
      <c r="C1342" s="6" t="s">
        <v>43</v>
      </c>
      <c r="D1342" s="6" t="s">
        <v>3425</v>
      </c>
      <c r="E1342" s="6" t="s">
        <v>140</v>
      </c>
      <c r="F1342" s="6" t="s">
        <v>87</v>
      </c>
      <c r="G1342" s="7">
        <v>0.69</v>
      </c>
      <c r="H1342" s="6" t="s">
        <v>582</v>
      </c>
      <c r="I1342" s="6" t="s">
        <v>20</v>
      </c>
      <c r="J1342" s="6">
        <v>2023.0</v>
      </c>
      <c r="K1342" s="10">
        <v>46054.0</v>
      </c>
      <c r="L1342" s="6">
        <v>1.0</v>
      </c>
      <c r="M1342" s="8">
        <f t="shared" si="2"/>
        <v>0.69</v>
      </c>
      <c r="P1342" s="9"/>
    </row>
    <row r="1343">
      <c r="A1343" s="6" t="s">
        <v>3426</v>
      </c>
      <c r="B1343" s="6" t="s">
        <v>907</v>
      </c>
      <c r="C1343" s="6" t="s">
        <v>15</v>
      </c>
      <c r="D1343" s="6" t="s">
        <v>3427</v>
      </c>
      <c r="E1343" s="6" t="s">
        <v>3428</v>
      </c>
      <c r="F1343" s="6" t="s">
        <v>87</v>
      </c>
      <c r="G1343" s="7">
        <v>1.99</v>
      </c>
      <c r="H1343" s="6" t="s">
        <v>130</v>
      </c>
      <c r="I1343" s="6" t="s">
        <v>20</v>
      </c>
      <c r="J1343" s="6">
        <v>2014.0</v>
      </c>
      <c r="K1343" s="10">
        <v>46055.0</v>
      </c>
      <c r="L1343" s="6">
        <v>1.0</v>
      </c>
      <c r="M1343" s="8">
        <f t="shared" si="2"/>
        <v>1.99</v>
      </c>
      <c r="P1343" s="9"/>
    </row>
    <row r="1344">
      <c r="A1344" s="6" t="s">
        <v>3429</v>
      </c>
      <c r="B1344" s="6" t="s">
        <v>1120</v>
      </c>
      <c r="C1344" s="6" t="s">
        <v>43</v>
      </c>
      <c r="D1344" s="6" t="s">
        <v>3430</v>
      </c>
      <c r="E1344" s="6" t="s">
        <v>140</v>
      </c>
      <c r="F1344" s="6" t="s">
        <v>87</v>
      </c>
      <c r="G1344" s="7">
        <v>0.08</v>
      </c>
      <c r="H1344" s="6" t="s">
        <v>141</v>
      </c>
      <c r="I1344" s="6" t="s">
        <v>20</v>
      </c>
      <c r="J1344" s="6">
        <v>1995.0</v>
      </c>
      <c r="K1344" s="10">
        <v>46023.0</v>
      </c>
      <c r="L1344" s="6">
        <v>1.0</v>
      </c>
      <c r="M1344" s="8">
        <f t="shared" si="2"/>
        <v>0.08</v>
      </c>
      <c r="P1344" s="9"/>
    </row>
    <row r="1345">
      <c r="A1345" s="6" t="s">
        <v>3431</v>
      </c>
      <c r="B1345" s="6" t="s">
        <v>74</v>
      </c>
      <c r="C1345" s="6" t="s">
        <v>43</v>
      </c>
      <c r="D1345" s="6" t="s">
        <v>3432</v>
      </c>
      <c r="E1345" s="6" t="s">
        <v>125</v>
      </c>
      <c r="F1345" s="6" t="s">
        <v>40</v>
      </c>
      <c r="G1345" s="7">
        <v>0.18</v>
      </c>
      <c r="H1345" s="6" t="s">
        <v>1833</v>
      </c>
      <c r="I1345" s="6" t="s">
        <v>20</v>
      </c>
      <c r="J1345" s="6">
        <v>2018.0</v>
      </c>
      <c r="L1345" s="6">
        <v>1.0</v>
      </c>
      <c r="M1345" s="8">
        <f t="shared" si="2"/>
        <v>0.18</v>
      </c>
      <c r="P1345" s="9"/>
    </row>
    <row r="1346">
      <c r="A1346" s="6" t="s">
        <v>3433</v>
      </c>
      <c r="B1346" s="6" t="s">
        <v>3434</v>
      </c>
      <c r="C1346" s="6" t="s">
        <v>662</v>
      </c>
      <c r="D1346" s="6" t="s">
        <v>3435</v>
      </c>
      <c r="E1346" s="6" t="s">
        <v>3436</v>
      </c>
      <c r="F1346" s="6" t="s">
        <v>40</v>
      </c>
      <c r="G1346" s="7">
        <v>5.44</v>
      </c>
      <c r="H1346" s="6" t="s">
        <v>342</v>
      </c>
      <c r="I1346" s="6" t="s">
        <v>20</v>
      </c>
      <c r="J1346" s="6">
        <v>2014.0</v>
      </c>
      <c r="L1346" s="6">
        <v>1.0</v>
      </c>
      <c r="M1346" s="8">
        <f t="shared" si="2"/>
        <v>5.44</v>
      </c>
      <c r="P1346" s="9"/>
    </row>
    <row r="1347">
      <c r="A1347" s="6" t="s">
        <v>3437</v>
      </c>
      <c r="B1347" s="6" t="s">
        <v>170</v>
      </c>
      <c r="C1347" s="6" t="s">
        <v>156</v>
      </c>
      <c r="D1347" s="6" t="s">
        <v>3438</v>
      </c>
      <c r="E1347" s="6" t="s">
        <v>172</v>
      </c>
      <c r="F1347" s="6" t="s">
        <v>26</v>
      </c>
      <c r="G1347" s="7">
        <v>0.19</v>
      </c>
      <c r="H1347" s="6" t="s">
        <v>153</v>
      </c>
      <c r="I1347" s="6" t="s">
        <v>20</v>
      </c>
      <c r="J1347" s="6">
        <v>2025.0</v>
      </c>
      <c r="L1347" s="6">
        <v>2.0</v>
      </c>
      <c r="M1347" s="8">
        <f t="shared" si="2"/>
        <v>0.38</v>
      </c>
      <c r="P1347" s="9"/>
    </row>
    <row r="1348">
      <c r="A1348" s="6" t="s">
        <v>3439</v>
      </c>
      <c r="B1348" s="6" t="s">
        <v>150</v>
      </c>
      <c r="C1348" s="6" t="s">
        <v>15</v>
      </c>
      <c r="D1348" s="6" t="s">
        <v>3440</v>
      </c>
      <c r="E1348" s="6" t="s">
        <v>3441</v>
      </c>
      <c r="F1348" s="6" t="s">
        <v>77</v>
      </c>
      <c r="G1348" s="7">
        <v>3.24</v>
      </c>
      <c r="H1348" s="6" t="s">
        <v>153</v>
      </c>
      <c r="I1348" s="6" t="s">
        <v>20</v>
      </c>
      <c r="J1348" s="6">
        <v>2025.0</v>
      </c>
      <c r="K1348" s="10">
        <v>46117.0</v>
      </c>
      <c r="L1348" s="6">
        <v>1.0</v>
      </c>
      <c r="M1348" s="8">
        <f t="shared" si="2"/>
        <v>3.24</v>
      </c>
      <c r="P1348" s="9"/>
    </row>
    <row r="1349">
      <c r="A1349" s="6" t="s">
        <v>3442</v>
      </c>
      <c r="B1349" s="6" t="s">
        <v>3443</v>
      </c>
      <c r="C1349" s="6" t="s">
        <v>37</v>
      </c>
      <c r="D1349" s="6" t="s">
        <v>3444</v>
      </c>
      <c r="E1349" s="6" t="s">
        <v>3445</v>
      </c>
      <c r="F1349" s="6" t="s">
        <v>519</v>
      </c>
      <c r="G1349" s="7">
        <v>0.59</v>
      </c>
      <c r="H1349" s="6" t="s">
        <v>2053</v>
      </c>
      <c r="I1349" s="6" t="s">
        <v>45</v>
      </c>
      <c r="J1349" s="6">
        <v>2023.0</v>
      </c>
      <c r="K1349" s="10">
        <v>46082.0</v>
      </c>
      <c r="L1349" s="6">
        <v>1.0</v>
      </c>
      <c r="M1349" s="8">
        <f t="shared" si="2"/>
        <v>0.59</v>
      </c>
      <c r="P1349" s="9"/>
    </row>
    <row r="1350">
      <c r="A1350" s="6" t="s">
        <v>3446</v>
      </c>
      <c r="B1350" s="6" t="s">
        <v>3447</v>
      </c>
      <c r="C1350" s="6" t="s">
        <v>43</v>
      </c>
      <c r="D1350" s="6" t="s">
        <v>3448</v>
      </c>
      <c r="E1350" s="6" t="s">
        <v>164</v>
      </c>
      <c r="F1350" s="6" t="s">
        <v>112</v>
      </c>
      <c r="G1350" s="7">
        <v>0.03</v>
      </c>
      <c r="H1350" s="6" t="s">
        <v>249</v>
      </c>
      <c r="I1350" s="6" t="s">
        <v>20</v>
      </c>
      <c r="J1350" s="6">
        <v>2014.0</v>
      </c>
      <c r="K1350" s="10">
        <v>46024.0</v>
      </c>
      <c r="L1350" s="6">
        <v>1.0</v>
      </c>
      <c r="M1350" s="8">
        <f t="shared" si="2"/>
        <v>0.03</v>
      </c>
      <c r="P1350" s="9"/>
    </row>
    <row r="1351">
      <c r="A1351" s="6" t="s">
        <v>3449</v>
      </c>
      <c r="B1351" s="6" t="s">
        <v>1394</v>
      </c>
      <c r="C1351" s="6" t="s">
        <v>43</v>
      </c>
      <c r="D1351" s="6" t="s">
        <v>3450</v>
      </c>
      <c r="E1351" s="6" t="s">
        <v>125</v>
      </c>
      <c r="F1351" s="6" t="s">
        <v>40</v>
      </c>
      <c r="G1351" s="7">
        <v>0.08</v>
      </c>
      <c r="H1351" s="6" t="s">
        <v>1048</v>
      </c>
      <c r="I1351" s="6" t="s">
        <v>20</v>
      </c>
      <c r="J1351" s="6">
        <v>2008.0</v>
      </c>
      <c r="K1351" s="6" t="s">
        <v>301</v>
      </c>
      <c r="L1351" s="6">
        <v>1.0</v>
      </c>
      <c r="M1351" s="8">
        <f t="shared" si="2"/>
        <v>0.08</v>
      </c>
      <c r="P1351" s="9"/>
    </row>
    <row r="1352">
      <c r="A1352" s="6" t="s">
        <v>3451</v>
      </c>
      <c r="B1352" s="6" t="s">
        <v>3452</v>
      </c>
      <c r="C1352" s="6" t="s">
        <v>37</v>
      </c>
      <c r="D1352" s="6" t="s">
        <v>3453</v>
      </c>
      <c r="E1352" s="6" t="s">
        <v>1297</v>
      </c>
      <c r="F1352" s="6" t="s">
        <v>112</v>
      </c>
      <c r="G1352" s="7">
        <v>0.05</v>
      </c>
      <c r="H1352" s="6" t="s">
        <v>249</v>
      </c>
      <c r="I1352" s="6" t="s">
        <v>20</v>
      </c>
      <c r="J1352" s="6">
        <v>2014.0</v>
      </c>
      <c r="K1352" s="10">
        <v>46117.0</v>
      </c>
      <c r="L1352" s="6">
        <v>2.0</v>
      </c>
      <c r="M1352" s="8">
        <f t="shared" si="2"/>
        <v>0.1</v>
      </c>
      <c r="P1352" s="9"/>
    </row>
    <row r="1353">
      <c r="A1353" s="6" t="s">
        <v>3454</v>
      </c>
      <c r="B1353" s="6" t="s">
        <v>412</v>
      </c>
      <c r="C1353" s="6" t="s">
        <v>37</v>
      </c>
      <c r="D1353" s="6" t="s">
        <v>3455</v>
      </c>
      <c r="E1353" s="6" t="s">
        <v>1752</v>
      </c>
      <c r="F1353" s="6" t="s">
        <v>40</v>
      </c>
      <c r="G1353" s="7">
        <v>0.09</v>
      </c>
      <c r="H1353" s="6" t="s">
        <v>444</v>
      </c>
      <c r="I1353" s="6" t="s">
        <v>20</v>
      </c>
      <c r="J1353" s="6">
        <v>2012.0</v>
      </c>
      <c r="K1353" s="10">
        <v>46116.0</v>
      </c>
      <c r="L1353" s="6">
        <v>4.0</v>
      </c>
      <c r="M1353" s="8">
        <f t="shared" si="2"/>
        <v>0.36</v>
      </c>
      <c r="P1353" s="9"/>
    </row>
    <row r="1354">
      <c r="A1354" s="6" t="s">
        <v>3456</v>
      </c>
      <c r="B1354" s="6" t="s">
        <v>396</v>
      </c>
      <c r="C1354" s="6" t="s">
        <v>43</v>
      </c>
      <c r="D1354" s="6" t="s">
        <v>3457</v>
      </c>
      <c r="E1354" s="6" t="s">
        <v>25</v>
      </c>
      <c r="F1354" s="6" t="s">
        <v>26</v>
      </c>
      <c r="G1354" s="7">
        <v>0.17</v>
      </c>
      <c r="H1354" s="6" t="s">
        <v>674</v>
      </c>
      <c r="I1354" s="6" t="s">
        <v>20</v>
      </c>
      <c r="J1354" s="6">
        <v>2021.0</v>
      </c>
      <c r="L1354" s="6">
        <v>1.0</v>
      </c>
      <c r="M1354" s="8">
        <f t="shared" si="2"/>
        <v>0.17</v>
      </c>
      <c r="P1354" s="9"/>
    </row>
    <row r="1355">
      <c r="A1355" s="6" t="s">
        <v>3458</v>
      </c>
      <c r="B1355" s="6" t="s">
        <v>524</v>
      </c>
      <c r="C1355" s="6" t="s">
        <v>43</v>
      </c>
      <c r="D1355" s="6" t="s">
        <v>3459</v>
      </c>
      <c r="E1355" s="6" t="s">
        <v>526</v>
      </c>
      <c r="F1355" s="6" t="s">
        <v>26</v>
      </c>
      <c r="G1355" s="7">
        <v>0.05</v>
      </c>
      <c r="H1355" s="6" t="s">
        <v>1392</v>
      </c>
      <c r="I1355" s="6" t="s">
        <v>20</v>
      </c>
      <c r="J1355" s="6">
        <v>2014.0</v>
      </c>
      <c r="K1355" s="10">
        <v>46116.0</v>
      </c>
      <c r="L1355" s="6">
        <v>1.0</v>
      </c>
      <c r="M1355" s="8">
        <f t="shared" si="2"/>
        <v>0.05</v>
      </c>
      <c r="P1355" s="9"/>
    </row>
    <row r="1356">
      <c r="A1356" s="6" t="s">
        <v>3460</v>
      </c>
      <c r="B1356" s="6" t="s">
        <v>524</v>
      </c>
      <c r="C1356" s="6" t="s">
        <v>43</v>
      </c>
      <c r="D1356" s="6" t="s">
        <v>3461</v>
      </c>
      <c r="E1356" s="6" t="s">
        <v>994</v>
      </c>
      <c r="F1356" s="6" t="s">
        <v>26</v>
      </c>
      <c r="G1356" s="7">
        <v>0.04</v>
      </c>
      <c r="H1356" s="6" t="s">
        <v>121</v>
      </c>
      <c r="I1356" s="6" t="s">
        <v>20</v>
      </c>
      <c r="J1356" s="6">
        <v>2021.0</v>
      </c>
      <c r="K1356" s="10">
        <v>46084.0</v>
      </c>
      <c r="L1356" s="6">
        <v>1.0</v>
      </c>
      <c r="M1356" s="8">
        <f t="shared" si="2"/>
        <v>0.04</v>
      </c>
      <c r="P1356" s="9"/>
    </row>
    <row r="1357">
      <c r="A1357" s="6" t="s">
        <v>3462</v>
      </c>
      <c r="B1357" s="6" t="s">
        <v>219</v>
      </c>
      <c r="C1357" s="6" t="s">
        <v>43</v>
      </c>
      <c r="D1357" s="6" t="s">
        <v>3463</v>
      </c>
      <c r="E1357" s="6" t="s">
        <v>25</v>
      </c>
      <c r="F1357" s="6" t="s">
        <v>26</v>
      </c>
      <c r="G1357" s="7">
        <v>2.64</v>
      </c>
      <c r="H1357" s="6" t="s">
        <v>1833</v>
      </c>
      <c r="I1357" s="6" t="s">
        <v>20</v>
      </c>
      <c r="J1357" s="6">
        <v>2018.0</v>
      </c>
      <c r="L1357" s="6">
        <v>1.0</v>
      </c>
      <c r="M1357" s="8">
        <f t="shared" si="2"/>
        <v>2.64</v>
      </c>
      <c r="P1357" s="9"/>
    </row>
    <row r="1358">
      <c r="A1358" s="6" t="s">
        <v>3464</v>
      </c>
      <c r="B1358" s="6" t="s">
        <v>3465</v>
      </c>
      <c r="C1358" s="6" t="s">
        <v>15</v>
      </c>
      <c r="D1358" s="6" t="s">
        <v>3466</v>
      </c>
      <c r="E1358" s="6" t="s">
        <v>1998</v>
      </c>
      <c r="F1358" s="6" t="s">
        <v>77</v>
      </c>
      <c r="G1358" s="7">
        <v>0.38</v>
      </c>
      <c r="H1358" s="6" t="s">
        <v>19</v>
      </c>
      <c r="I1358" s="6" t="s">
        <v>20</v>
      </c>
      <c r="J1358" s="6">
        <v>2023.0</v>
      </c>
      <c r="K1358" s="10">
        <v>46025.0</v>
      </c>
      <c r="L1358" s="6">
        <v>2.0</v>
      </c>
      <c r="M1358" s="8">
        <f t="shared" si="2"/>
        <v>0.76</v>
      </c>
      <c r="P1358" s="9"/>
    </row>
    <row r="1359">
      <c r="A1359" s="6" t="s">
        <v>3467</v>
      </c>
      <c r="B1359" s="6" t="s">
        <v>170</v>
      </c>
      <c r="C1359" s="6" t="s">
        <v>156</v>
      </c>
      <c r="D1359" s="6" t="s">
        <v>3468</v>
      </c>
      <c r="E1359" s="6" t="s">
        <v>172</v>
      </c>
      <c r="F1359" s="6" t="s">
        <v>26</v>
      </c>
      <c r="G1359" s="7">
        <v>0.18</v>
      </c>
      <c r="H1359" s="6" t="s">
        <v>153</v>
      </c>
      <c r="I1359" s="6" t="s">
        <v>20</v>
      </c>
      <c r="J1359" s="6">
        <v>2025.0</v>
      </c>
      <c r="L1359" s="6">
        <v>3.0</v>
      </c>
      <c r="M1359" s="8">
        <f t="shared" si="2"/>
        <v>0.54</v>
      </c>
      <c r="P1359" s="9"/>
    </row>
    <row r="1360">
      <c r="A1360" s="6" t="s">
        <v>3469</v>
      </c>
      <c r="B1360" s="6" t="s">
        <v>3470</v>
      </c>
      <c r="C1360" s="6" t="s">
        <v>30</v>
      </c>
      <c r="D1360" s="6" t="s">
        <v>3471</v>
      </c>
      <c r="E1360" s="6" t="s">
        <v>93</v>
      </c>
      <c r="F1360" s="6" t="s">
        <v>77</v>
      </c>
      <c r="G1360" s="7">
        <v>0.25</v>
      </c>
      <c r="H1360" s="6" t="s">
        <v>506</v>
      </c>
      <c r="I1360" s="6" t="s">
        <v>20</v>
      </c>
      <c r="J1360" s="6">
        <v>2016.0</v>
      </c>
      <c r="K1360" s="10">
        <v>46083.0</v>
      </c>
      <c r="L1360" s="6">
        <v>2.0</v>
      </c>
      <c r="M1360" s="8">
        <f t="shared" si="2"/>
        <v>0.5</v>
      </c>
      <c r="P1360" s="9"/>
    </row>
    <row r="1361">
      <c r="A1361" s="6" t="s">
        <v>3472</v>
      </c>
      <c r="B1361" s="6" t="s">
        <v>3473</v>
      </c>
      <c r="C1361" s="6" t="s">
        <v>61</v>
      </c>
      <c r="D1361" s="6" t="s">
        <v>3474</v>
      </c>
      <c r="E1361" s="6" t="s">
        <v>93</v>
      </c>
      <c r="F1361" s="6" t="s">
        <v>77</v>
      </c>
      <c r="G1361" s="7">
        <v>0.38</v>
      </c>
      <c r="H1361" s="6" t="s">
        <v>3475</v>
      </c>
      <c r="I1361" s="6" t="s">
        <v>20</v>
      </c>
      <c r="J1361" s="6">
        <v>2021.0</v>
      </c>
      <c r="K1361" s="10">
        <v>46083.0</v>
      </c>
      <c r="L1361" s="6">
        <v>1.0</v>
      </c>
      <c r="M1361" s="8">
        <f t="shared" si="2"/>
        <v>0.38</v>
      </c>
      <c r="P1361" s="9"/>
    </row>
    <row r="1362">
      <c r="A1362" s="6" t="s">
        <v>3476</v>
      </c>
      <c r="B1362" s="6" t="s">
        <v>3477</v>
      </c>
      <c r="C1362" s="6" t="s">
        <v>23</v>
      </c>
      <c r="D1362" s="6" t="s">
        <v>3478</v>
      </c>
      <c r="E1362" s="6" t="s">
        <v>980</v>
      </c>
      <c r="F1362" s="6" t="s">
        <v>112</v>
      </c>
      <c r="G1362" s="7">
        <v>0.05</v>
      </c>
      <c r="H1362" s="6" t="s">
        <v>153</v>
      </c>
      <c r="I1362" s="6" t="s">
        <v>20</v>
      </c>
      <c r="J1362" s="6">
        <v>2025.0</v>
      </c>
      <c r="K1362" s="10">
        <v>46082.0</v>
      </c>
      <c r="L1362" s="6">
        <v>7.0</v>
      </c>
      <c r="M1362" s="8">
        <f t="shared" si="2"/>
        <v>0.35</v>
      </c>
      <c r="P1362" s="9"/>
    </row>
    <row r="1363">
      <c r="A1363" s="6" t="s">
        <v>3479</v>
      </c>
      <c r="B1363" s="6" t="s">
        <v>3480</v>
      </c>
      <c r="C1363" s="6" t="s">
        <v>15</v>
      </c>
      <c r="D1363" s="6" t="s">
        <v>3481</v>
      </c>
      <c r="E1363" s="6" t="s">
        <v>1998</v>
      </c>
      <c r="F1363" s="6" t="s">
        <v>77</v>
      </c>
      <c r="G1363" s="7">
        <v>0.17</v>
      </c>
      <c r="H1363" s="6" t="s">
        <v>19</v>
      </c>
      <c r="I1363" s="6" t="s">
        <v>20</v>
      </c>
      <c r="J1363" s="6">
        <v>2023.0</v>
      </c>
      <c r="K1363" s="10">
        <v>46055.0</v>
      </c>
      <c r="L1363" s="6">
        <v>2.0</v>
      </c>
      <c r="M1363" s="8">
        <f t="shared" si="2"/>
        <v>0.34</v>
      </c>
      <c r="P1363" s="9"/>
    </row>
    <row r="1364">
      <c r="A1364" s="6" t="s">
        <v>3482</v>
      </c>
      <c r="B1364" s="6" t="s">
        <v>529</v>
      </c>
      <c r="C1364" s="6" t="s">
        <v>37</v>
      </c>
      <c r="D1364" s="6" t="s">
        <v>3483</v>
      </c>
      <c r="E1364" s="6" t="s">
        <v>1093</v>
      </c>
      <c r="F1364" s="6" t="s">
        <v>77</v>
      </c>
      <c r="G1364" s="7">
        <v>0.17</v>
      </c>
      <c r="H1364" s="6" t="s">
        <v>113</v>
      </c>
      <c r="I1364" s="6" t="s">
        <v>20</v>
      </c>
      <c r="J1364" s="6">
        <v>2023.0</v>
      </c>
      <c r="K1364" s="10">
        <v>46147.0</v>
      </c>
      <c r="L1364" s="6">
        <v>1.0</v>
      </c>
      <c r="M1364" s="8">
        <f t="shared" si="2"/>
        <v>0.17</v>
      </c>
      <c r="P1364" s="9"/>
    </row>
    <row r="1365">
      <c r="A1365" s="6" t="s">
        <v>3484</v>
      </c>
      <c r="B1365" s="6" t="s">
        <v>3485</v>
      </c>
      <c r="C1365" s="6" t="s">
        <v>37</v>
      </c>
      <c r="D1365" s="6" t="s">
        <v>3486</v>
      </c>
      <c r="E1365" s="6" t="s">
        <v>570</v>
      </c>
      <c r="F1365" s="6" t="s">
        <v>77</v>
      </c>
      <c r="G1365" s="7">
        <v>0.38</v>
      </c>
      <c r="H1365" s="6" t="s">
        <v>113</v>
      </c>
      <c r="I1365" s="6" t="s">
        <v>20</v>
      </c>
      <c r="J1365" s="6">
        <v>2023.0</v>
      </c>
      <c r="K1365" s="10">
        <v>46116.0</v>
      </c>
      <c r="L1365" s="6">
        <v>1.0</v>
      </c>
      <c r="M1365" s="8">
        <f t="shared" si="2"/>
        <v>0.38</v>
      </c>
      <c r="P1365" s="9"/>
    </row>
    <row r="1366">
      <c r="A1366" s="6" t="s">
        <v>3487</v>
      </c>
      <c r="B1366" s="6" t="s">
        <v>3488</v>
      </c>
      <c r="C1366" s="6" t="s">
        <v>43</v>
      </c>
      <c r="D1366" s="6" t="s">
        <v>3489</v>
      </c>
      <c r="E1366" s="6" t="s">
        <v>140</v>
      </c>
      <c r="F1366" s="6" t="s">
        <v>87</v>
      </c>
      <c r="G1366" s="7">
        <v>1.64</v>
      </c>
      <c r="H1366" s="6" t="s">
        <v>206</v>
      </c>
      <c r="I1366" s="6" t="s">
        <v>20</v>
      </c>
      <c r="J1366" s="6">
        <v>1996.0</v>
      </c>
      <c r="K1366" s="10">
        <v>46023.0</v>
      </c>
      <c r="L1366" s="6">
        <v>2.0</v>
      </c>
      <c r="M1366" s="8">
        <f t="shared" si="2"/>
        <v>3.28</v>
      </c>
      <c r="P1366" s="9"/>
    </row>
    <row r="1367">
      <c r="A1367" s="6" t="s">
        <v>3487</v>
      </c>
      <c r="B1367" s="6" t="s">
        <v>3488</v>
      </c>
      <c r="C1367" s="6" t="s">
        <v>43</v>
      </c>
      <c r="D1367" s="6" t="s">
        <v>3489</v>
      </c>
      <c r="E1367" s="6" t="s">
        <v>140</v>
      </c>
      <c r="F1367" s="6" t="s">
        <v>87</v>
      </c>
      <c r="G1367" s="7">
        <v>1.49</v>
      </c>
      <c r="H1367" s="6" t="s">
        <v>206</v>
      </c>
      <c r="I1367" s="6" t="s">
        <v>20</v>
      </c>
      <c r="J1367" s="6">
        <v>1996.0</v>
      </c>
      <c r="K1367" s="10">
        <v>46023.0</v>
      </c>
      <c r="L1367" s="6">
        <v>2.0</v>
      </c>
      <c r="M1367" s="8">
        <f t="shared" si="2"/>
        <v>2.98</v>
      </c>
      <c r="P1367" s="9"/>
    </row>
    <row r="1368">
      <c r="A1368" s="6" t="s">
        <v>3490</v>
      </c>
      <c r="B1368" s="6" t="s">
        <v>3491</v>
      </c>
      <c r="C1368" s="6" t="s">
        <v>15</v>
      </c>
      <c r="D1368" s="6" t="s">
        <v>3492</v>
      </c>
      <c r="E1368" s="6" t="s">
        <v>1550</v>
      </c>
      <c r="F1368" s="6" t="s">
        <v>77</v>
      </c>
      <c r="G1368" s="7">
        <v>0.25</v>
      </c>
      <c r="H1368" s="6" t="s">
        <v>19</v>
      </c>
      <c r="I1368" s="6" t="s">
        <v>20</v>
      </c>
      <c r="J1368" s="6">
        <v>2023.0</v>
      </c>
      <c r="K1368" s="10">
        <v>46084.0</v>
      </c>
      <c r="L1368" s="6">
        <v>2.0</v>
      </c>
      <c r="M1368" s="8">
        <f t="shared" si="2"/>
        <v>0.5</v>
      </c>
      <c r="P1368" s="9"/>
    </row>
    <row r="1369">
      <c r="A1369" s="6" t="s">
        <v>3493</v>
      </c>
      <c r="B1369" s="6" t="s">
        <v>462</v>
      </c>
      <c r="C1369" s="6" t="s">
        <v>43</v>
      </c>
      <c r="D1369" s="6" t="s">
        <v>3494</v>
      </c>
      <c r="E1369" s="6" t="s">
        <v>86</v>
      </c>
      <c r="F1369" s="6" t="s">
        <v>87</v>
      </c>
      <c r="G1369" s="7">
        <v>3.7</v>
      </c>
      <c r="H1369" s="6" t="s">
        <v>475</v>
      </c>
      <c r="I1369" s="6" t="s">
        <v>20</v>
      </c>
      <c r="J1369" s="6">
        <v>2024.0</v>
      </c>
      <c r="L1369" s="6">
        <v>1.0</v>
      </c>
      <c r="M1369" s="8">
        <f t="shared" si="2"/>
        <v>3.7</v>
      </c>
      <c r="N1369" s="6" t="s">
        <v>122</v>
      </c>
      <c r="P1369" s="9"/>
    </row>
    <row r="1370">
      <c r="A1370" s="6" t="s">
        <v>3493</v>
      </c>
      <c r="B1370" s="6" t="s">
        <v>462</v>
      </c>
      <c r="C1370" s="6" t="s">
        <v>43</v>
      </c>
      <c r="D1370" s="6" t="s">
        <v>3494</v>
      </c>
      <c r="E1370" s="6" t="s">
        <v>86</v>
      </c>
      <c r="F1370" s="6" t="s">
        <v>87</v>
      </c>
      <c r="G1370" s="7">
        <v>9.49</v>
      </c>
      <c r="H1370" s="6" t="s">
        <v>475</v>
      </c>
      <c r="I1370" s="6" t="s">
        <v>45</v>
      </c>
      <c r="J1370" s="6">
        <v>2024.0</v>
      </c>
      <c r="L1370" s="6">
        <v>1.0</v>
      </c>
      <c r="M1370" s="8">
        <f t="shared" si="2"/>
        <v>9.49</v>
      </c>
      <c r="N1370" s="6" t="s">
        <v>122</v>
      </c>
      <c r="P1370" s="9"/>
    </row>
    <row r="1371">
      <c r="A1371" s="6" t="s">
        <v>3495</v>
      </c>
      <c r="B1371" s="6" t="s">
        <v>778</v>
      </c>
      <c r="C1371" s="6" t="s">
        <v>15</v>
      </c>
      <c r="D1371" s="6" t="s">
        <v>3496</v>
      </c>
      <c r="E1371" s="6" t="s">
        <v>125</v>
      </c>
      <c r="F1371" s="6" t="s">
        <v>40</v>
      </c>
      <c r="G1371" s="7">
        <v>0.33</v>
      </c>
      <c r="H1371" s="6" t="s">
        <v>617</v>
      </c>
      <c r="I1371" s="6" t="s">
        <v>20</v>
      </c>
      <c r="J1371" s="6">
        <v>2026.0</v>
      </c>
      <c r="L1371" s="6">
        <v>1.0</v>
      </c>
      <c r="M1371" s="8">
        <f t="shared" si="2"/>
        <v>0.33</v>
      </c>
      <c r="P1371" s="9"/>
    </row>
    <row r="1372">
      <c r="A1372" s="6" t="s">
        <v>3497</v>
      </c>
      <c r="B1372" s="6" t="s">
        <v>494</v>
      </c>
      <c r="C1372" s="6" t="s">
        <v>43</v>
      </c>
      <c r="D1372" s="6" t="s">
        <v>3498</v>
      </c>
      <c r="E1372" s="6" t="s">
        <v>329</v>
      </c>
      <c r="F1372" s="6" t="s">
        <v>112</v>
      </c>
      <c r="G1372" s="7">
        <v>0.06</v>
      </c>
      <c r="H1372" s="6" t="s">
        <v>297</v>
      </c>
      <c r="I1372" s="6" t="s">
        <v>20</v>
      </c>
      <c r="J1372" s="6">
        <v>2022.0</v>
      </c>
      <c r="L1372" s="6">
        <v>1.0</v>
      </c>
      <c r="M1372" s="8">
        <f t="shared" si="2"/>
        <v>0.06</v>
      </c>
      <c r="P1372" s="9"/>
    </row>
    <row r="1373">
      <c r="A1373" s="6" t="s">
        <v>3499</v>
      </c>
      <c r="B1373" s="6" t="s">
        <v>3477</v>
      </c>
      <c r="C1373" s="6" t="s">
        <v>23</v>
      </c>
      <c r="D1373" s="6" t="s">
        <v>3500</v>
      </c>
      <c r="E1373" s="6" t="s">
        <v>179</v>
      </c>
      <c r="F1373" s="6" t="s">
        <v>112</v>
      </c>
      <c r="G1373" s="7">
        <v>0.05</v>
      </c>
      <c r="H1373" s="6" t="s">
        <v>153</v>
      </c>
      <c r="I1373" s="6" t="s">
        <v>20</v>
      </c>
      <c r="J1373" s="6">
        <v>2025.0</v>
      </c>
      <c r="K1373" s="10">
        <v>46023.0</v>
      </c>
      <c r="L1373" s="6">
        <v>11.0</v>
      </c>
      <c r="M1373" s="8">
        <f t="shared" si="2"/>
        <v>0.55</v>
      </c>
      <c r="P1373" s="9"/>
    </row>
    <row r="1374">
      <c r="A1374" s="6" t="s">
        <v>3501</v>
      </c>
      <c r="B1374" s="6" t="s">
        <v>3502</v>
      </c>
      <c r="C1374" s="6" t="s">
        <v>30</v>
      </c>
      <c r="D1374" s="6" t="s">
        <v>3503</v>
      </c>
      <c r="E1374" s="6" t="s">
        <v>256</v>
      </c>
      <c r="F1374" s="6" t="s">
        <v>87</v>
      </c>
      <c r="G1374" s="7">
        <v>9.75</v>
      </c>
      <c r="H1374" s="6" t="s">
        <v>453</v>
      </c>
      <c r="I1374" s="6" t="s">
        <v>20</v>
      </c>
      <c r="J1374" s="6">
        <v>1994.0</v>
      </c>
      <c r="K1374" s="10">
        <v>46055.0</v>
      </c>
      <c r="L1374" s="6">
        <v>1.0</v>
      </c>
      <c r="M1374" s="8">
        <f t="shared" si="2"/>
        <v>9.75</v>
      </c>
      <c r="P1374" s="9"/>
    </row>
    <row r="1375">
      <c r="A1375" s="6" t="s">
        <v>3504</v>
      </c>
      <c r="B1375" s="6" t="s">
        <v>1206</v>
      </c>
      <c r="C1375" s="6" t="s">
        <v>43</v>
      </c>
      <c r="D1375" s="6" t="s">
        <v>3505</v>
      </c>
      <c r="E1375" s="6" t="s">
        <v>994</v>
      </c>
      <c r="F1375" s="6" t="s">
        <v>26</v>
      </c>
      <c r="G1375" s="7">
        <v>0.05</v>
      </c>
      <c r="H1375" s="6" t="s">
        <v>324</v>
      </c>
      <c r="I1375" s="6" t="s">
        <v>20</v>
      </c>
      <c r="J1375" s="6">
        <v>1995.0</v>
      </c>
      <c r="K1375" s="10">
        <v>46083.0</v>
      </c>
      <c r="L1375" s="6">
        <v>3.0</v>
      </c>
      <c r="M1375" s="8">
        <f t="shared" si="2"/>
        <v>0.15</v>
      </c>
      <c r="P1375" s="9"/>
    </row>
    <row r="1376">
      <c r="A1376" s="6" t="s">
        <v>3504</v>
      </c>
      <c r="B1376" s="6" t="s">
        <v>1206</v>
      </c>
      <c r="C1376" s="6" t="s">
        <v>43</v>
      </c>
      <c r="D1376" s="6" t="s">
        <v>3505</v>
      </c>
      <c r="E1376" s="6" t="s">
        <v>994</v>
      </c>
      <c r="F1376" s="6" t="s">
        <v>26</v>
      </c>
      <c r="G1376" s="7">
        <v>0.1</v>
      </c>
      <c r="H1376" s="6" t="s">
        <v>316</v>
      </c>
      <c r="I1376" s="6" t="s">
        <v>20</v>
      </c>
      <c r="J1376" s="6">
        <v>1995.0</v>
      </c>
      <c r="K1376" s="10">
        <v>46083.0</v>
      </c>
      <c r="L1376" s="6">
        <v>6.0</v>
      </c>
      <c r="M1376" s="8">
        <f t="shared" si="2"/>
        <v>0.6</v>
      </c>
      <c r="P1376" s="9"/>
    </row>
    <row r="1377">
      <c r="A1377" s="6" t="s">
        <v>3506</v>
      </c>
      <c r="B1377" s="6" t="s">
        <v>2969</v>
      </c>
      <c r="C1377" s="6" t="s">
        <v>23</v>
      </c>
      <c r="D1377" s="6" t="s">
        <v>3507</v>
      </c>
      <c r="E1377" s="6" t="s">
        <v>1550</v>
      </c>
      <c r="F1377" s="6" t="s">
        <v>77</v>
      </c>
      <c r="G1377" s="7">
        <v>0.05</v>
      </c>
      <c r="H1377" s="6" t="s">
        <v>780</v>
      </c>
      <c r="I1377" s="6" t="s">
        <v>20</v>
      </c>
      <c r="J1377" s="6">
        <v>2025.0</v>
      </c>
      <c r="K1377" s="10">
        <v>46115.0</v>
      </c>
      <c r="L1377" s="6">
        <v>1.0</v>
      </c>
      <c r="M1377" s="8">
        <f t="shared" si="2"/>
        <v>0.05</v>
      </c>
      <c r="P1377" s="9"/>
    </row>
    <row r="1378">
      <c r="A1378" s="6" t="s">
        <v>3508</v>
      </c>
      <c r="B1378" s="6" t="s">
        <v>138</v>
      </c>
      <c r="C1378" s="6" t="s">
        <v>30</v>
      </c>
      <c r="D1378" s="6" t="s">
        <v>3509</v>
      </c>
      <c r="E1378" s="6" t="s">
        <v>117</v>
      </c>
      <c r="F1378" s="6" t="s">
        <v>77</v>
      </c>
      <c r="G1378" s="7">
        <v>2.66</v>
      </c>
      <c r="H1378" s="6" t="s">
        <v>187</v>
      </c>
      <c r="I1378" s="6" t="s">
        <v>20</v>
      </c>
      <c r="J1378" s="6">
        <v>1995.0</v>
      </c>
      <c r="L1378" s="6">
        <v>1.0</v>
      </c>
      <c r="M1378" s="8">
        <f t="shared" si="2"/>
        <v>2.66</v>
      </c>
      <c r="P1378" s="9"/>
    </row>
    <row r="1379">
      <c r="A1379" s="6" t="s">
        <v>3510</v>
      </c>
      <c r="B1379" s="6" t="s">
        <v>162</v>
      </c>
      <c r="C1379" s="6" t="s">
        <v>43</v>
      </c>
      <c r="D1379" s="6" t="s">
        <v>3511</v>
      </c>
      <c r="E1379" s="6" t="s">
        <v>76</v>
      </c>
      <c r="F1379" s="6" t="s">
        <v>77</v>
      </c>
      <c r="G1379" s="7">
        <v>0.05</v>
      </c>
      <c r="H1379" s="6" t="s">
        <v>363</v>
      </c>
      <c r="I1379" s="6" t="s">
        <v>20</v>
      </c>
      <c r="J1379" s="6">
        <v>2024.0</v>
      </c>
      <c r="L1379" s="6">
        <v>1.0</v>
      </c>
      <c r="M1379" s="8">
        <f t="shared" si="2"/>
        <v>0.05</v>
      </c>
      <c r="P1379" s="9"/>
    </row>
    <row r="1380">
      <c r="A1380" s="6" t="s">
        <v>3512</v>
      </c>
      <c r="B1380" s="6" t="s">
        <v>3513</v>
      </c>
      <c r="C1380" s="6" t="s">
        <v>23</v>
      </c>
      <c r="D1380" s="6" t="s">
        <v>3514</v>
      </c>
      <c r="E1380" s="6" t="s">
        <v>1010</v>
      </c>
      <c r="F1380" s="6" t="s">
        <v>87</v>
      </c>
      <c r="G1380" s="7">
        <v>0.03</v>
      </c>
      <c r="H1380" s="6" t="s">
        <v>369</v>
      </c>
      <c r="I1380" s="6" t="s">
        <v>20</v>
      </c>
      <c r="J1380" s="6">
        <v>2019.0</v>
      </c>
      <c r="K1380" s="10">
        <v>46024.0</v>
      </c>
      <c r="L1380" s="6">
        <v>1.0</v>
      </c>
      <c r="M1380" s="8">
        <f t="shared" si="2"/>
        <v>0.03</v>
      </c>
      <c r="P1380" s="9"/>
    </row>
    <row r="1381">
      <c r="A1381" s="6" t="s">
        <v>3515</v>
      </c>
      <c r="B1381" s="6" t="s">
        <v>3516</v>
      </c>
      <c r="C1381" s="6" t="s">
        <v>43</v>
      </c>
      <c r="D1381" s="6" t="s">
        <v>3517</v>
      </c>
      <c r="E1381" s="6" t="s">
        <v>3518</v>
      </c>
      <c r="F1381" s="6" t="s">
        <v>536</v>
      </c>
      <c r="G1381" s="7">
        <v>0.05</v>
      </c>
      <c r="H1381" s="6" t="s">
        <v>1048</v>
      </c>
      <c r="I1381" s="6" t="s">
        <v>20</v>
      </c>
      <c r="J1381" s="6">
        <v>2008.0</v>
      </c>
      <c r="K1381" s="10">
        <v>46084.0</v>
      </c>
      <c r="L1381" s="6">
        <v>2.0</v>
      </c>
      <c r="M1381" s="8">
        <f t="shared" si="2"/>
        <v>0.1</v>
      </c>
      <c r="P1381" s="9"/>
    </row>
    <row r="1382">
      <c r="A1382" s="6" t="s">
        <v>3519</v>
      </c>
      <c r="B1382" s="6" t="s">
        <v>74</v>
      </c>
      <c r="C1382" s="6" t="s">
        <v>43</v>
      </c>
      <c r="D1382" s="6" t="s">
        <v>3520</v>
      </c>
      <c r="E1382" s="6" t="s">
        <v>176</v>
      </c>
      <c r="F1382" s="6" t="s">
        <v>77</v>
      </c>
      <c r="G1382" s="7">
        <v>0.05</v>
      </c>
      <c r="H1382" s="6" t="s">
        <v>1148</v>
      </c>
      <c r="I1382" s="6" t="s">
        <v>20</v>
      </c>
      <c r="J1382" s="6">
        <v>2012.0</v>
      </c>
      <c r="L1382" s="6">
        <v>1.0</v>
      </c>
      <c r="M1382" s="8">
        <f t="shared" si="2"/>
        <v>0.05</v>
      </c>
      <c r="P1382" s="9"/>
    </row>
    <row r="1383">
      <c r="A1383" s="6" t="s">
        <v>3521</v>
      </c>
      <c r="B1383" s="6" t="s">
        <v>1533</v>
      </c>
      <c r="C1383" s="6" t="s">
        <v>418</v>
      </c>
      <c r="D1383" s="6" t="s">
        <v>3522</v>
      </c>
      <c r="E1383" s="6" t="s">
        <v>248</v>
      </c>
      <c r="F1383" s="6" t="s">
        <v>77</v>
      </c>
      <c r="G1383" s="7">
        <v>0.12</v>
      </c>
      <c r="H1383" s="6" t="s">
        <v>471</v>
      </c>
      <c r="I1383" s="6" t="s">
        <v>20</v>
      </c>
      <c r="J1383" s="6">
        <v>2026.0</v>
      </c>
      <c r="K1383" s="10">
        <v>46055.0</v>
      </c>
      <c r="L1383" s="6">
        <v>1.0</v>
      </c>
      <c r="M1383" s="8">
        <f t="shared" si="2"/>
        <v>0.12</v>
      </c>
      <c r="P1383" s="9"/>
    </row>
    <row r="1384">
      <c r="A1384" s="6" t="s">
        <v>3523</v>
      </c>
      <c r="B1384" s="6" t="s">
        <v>703</v>
      </c>
      <c r="C1384" s="6" t="s">
        <v>37</v>
      </c>
      <c r="D1384" s="6" t="s">
        <v>3524</v>
      </c>
      <c r="E1384" s="6" t="s">
        <v>248</v>
      </c>
      <c r="F1384" s="6" t="s">
        <v>77</v>
      </c>
      <c r="G1384" s="7">
        <v>0.13</v>
      </c>
      <c r="H1384" s="6" t="s">
        <v>2033</v>
      </c>
      <c r="I1384" s="6" t="s">
        <v>20</v>
      </c>
      <c r="J1384" s="6">
        <v>2019.0</v>
      </c>
      <c r="K1384" s="10">
        <v>46055.0</v>
      </c>
      <c r="L1384" s="6">
        <v>3.0</v>
      </c>
      <c r="M1384" s="8">
        <f t="shared" si="2"/>
        <v>0.39</v>
      </c>
      <c r="P1384" s="9"/>
    </row>
    <row r="1385">
      <c r="A1385" s="6" t="s">
        <v>3525</v>
      </c>
      <c r="B1385" s="6" t="s">
        <v>3526</v>
      </c>
      <c r="C1385" s="6" t="s">
        <v>23</v>
      </c>
      <c r="D1385" s="6" t="s">
        <v>3527</v>
      </c>
      <c r="E1385" s="6" t="s">
        <v>263</v>
      </c>
      <c r="F1385" s="6" t="s">
        <v>77</v>
      </c>
      <c r="G1385" s="7">
        <v>0.2</v>
      </c>
      <c r="H1385" s="6" t="s">
        <v>780</v>
      </c>
      <c r="I1385" s="6" t="s">
        <v>45</v>
      </c>
      <c r="J1385" s="6">
        <v>2025.0</v>
      </c>
      <c r="K1385" s="10">
        <v>46024.0</v>
      </c>
      <c r="L1385" s="6">
        <v>1.0</v>
      </c>
      <c r="M1385" s="8">
        <f t="shared" si="2"/>
        <v>0.2</v>
      </c>
      <c r="P1385" s="9"/>
    </row>
    <row r="1386">
      <c r="A1386" s="6" t="s">
        <v>3528</v>
      </c>
      <c r="B1386" s="6" t="s">
        <v>3529</v>
      </c>
      <c r="C1386" s="6" t="s">
        <v>43</v>
      </c>
      <c r="E1386" s="6" t="s">
        <v>256</v>
      </c>
      <c r="F1386" s="6" t="s">
        <v>87</v>
      </c>
      <c r="G1386" s="7">
        <v>0.04</v>
      </c>
      <c r="H1386" s="6" t="s">
        <v>324</v>
      </c>
      <c r="I1386" s="6" t="s">
        <v>20</v>
      </c>
      <c r="J1386" s="6">
        <v>1995.0</v>
      </c>
      <c r="K1386" s="10">
        <v>46055.0</v>
      </c>
      <c r="L1386" s="6">
        <v>3.0</v>
      </c>
      <c r="M1386" s="8">
        <f t="shared" si="2"/>
        <v>0.12</v>
      </c>
      <c r="P1386" s="9"/>
    </row>
    <row r="1387">
      <c r="A1387" s="6" t="s">
        <v>3528</v>
      </c>
      <c r="B1387" s="6" t="s">
        <v>3529</v>
      </c>
      <c r="C1387" s="6" t="s">
        <v>43</v>
      </c>
      <c r="E1387" s="6" t="s">
        <v>256</v>
      </c>
      <c r="F1387" s="6" t="s">
        <v>87</v>
      </c>
      <c r="G1387" s="7">
        <v>0.06</v>
      </c>
      <c r="H1387" s="6" t="s">
        <v>316</v>
      </c>
      <c r="I1387" s="6" t="s">
        <v>20</v>
      </c>
      <c r="J1387" s="6">
        <v>1995.0</v>
      </c>
      <c r="K1387" s="10">
        <v>46055.0</v>
      </c>
      <c r="L1387" s="6">
        <v>5.0</v>
      </c>
      <c r="M1387" s="8">
        <f t="shared" si="2"/>
        <v>0.3</v>
      </c>
      <c r="P1387" s="9"/>
    </row>
    <row r="1388">
      <c r="A1388" s="6" t="s">
        <v>3530</v>
      </c>
      <c r="B1388" s="6" t="s">
        <v>3531</v>
      </c>
      <c r="C1388" s="6" t="s">
        <v>43</v>
      </c>
      <c r="D1388" s="6" t="s">
        <v>3532</v>
      </c>
      <c r="E1388" s="6" t="s">
        <v>579</v>
      </c>
      <c r="F1388" s="6" t="s">
        <v>112</v>
      </c>
      <c r="G1388" s="7">
        <v>0.06</v>
      </c>
      <c r="H1388" s="6" t="s">
        <v>232</v>
      </c>
      <c r="I1388" s="6" t="s">
        <v>20</v>
      </c>
      <c r="J1388" s="6">
        <v>2010.0</v>
      </c>
      <c r="K1388" s="10">
        <v>46055.0</v>
      </c>
      <c r="L1388" s="6">
        <v>1.0</v>
      </c>
      <c r="M1388" s="8">
        <f t="shared" si="2"/>
        <v>0.06</v>
      </c>
      <c r="P1388" s="9"/>
    </row>
    <row r="1389">
      <c r="A1389" s="6" t="s">
        <v>3533</v>
      </c>
      <c r="B1389" s="6" t="s">
        <v>1577</v>
      </c>
      <c r="C1389" s="6" t="s">
        <v>37</v>
      </c>
      <c r="D1389" s="6" t="s">
        <v>3534</v>
      </c>
      <c r="F1389" s="6" t="s">
        <v>26</v>
      </c>
      <c r="G1389" s="7">
        <v>0.25</v>
      </c>
      <c r="H1389" s="6" t="s">
        <v>3535</v>
      </c>
      <c r="I1389" s="6" t="s">
        <v>20</v>
      </c>
      <c r="J1389" s="6">
        <v>2011.0</v>
      </c>
      <c r="L1389" s="6">
        <v>4.0</v>
      </c>
      <c r="M1389" s="8">
        <f t="shared" si="2"/>
        <v>1</v>
      </c>
      <c r="P1389" s="9"/>
    </row>
    <row r="1390">
      <c r="A1390" s="6" t="s">
        <v>3536</v>
      </c>
      <c r="B1390" s="6" t="s">
        <v>3537</v>
      </c>
      <c r="C1390" s="6" t="s">
        <v>43</v>
      </c>
      <c r="D1390" s="6" t="s">
        <v>3538</v>
      </c>
      <c r="E1390" s="6" t="s">
        <v>329</v>
      </c>
      <c r="F1390" s="6" t="s">
        <v>112</v>
      </c>
      <c r="G1390" s="7">
        <v>0.15</v>
      </c>
      <c r="H1390" s="6" t="s">
        <v>3539</v>
      </c>
      <c r="I1390" s="6" t="s">
        <v>20</v>
      </c>
      <c r="J1390" s="6">
        <v>2015.0</v>
      </c>
      <c r="K1390" s="10">
        <v>46055.0</v>
      </c>
      <c r="L1390" s="6">
        <v>1.0</v>
      </c>
      <c r="M1390" s="8">
        <f t="shared" si="2"/>
        <v>0.15</v>
      </c>
      <c r="P1390" s="9"/>
    </row>
    <row r="1391">
      <c r="A1391" s="6" t="s">
        <v>3540</v>
      </c>
      <c r="B1391" s="6" t="s">
        <v>3422</v>
      </c>
      <c r="C1391" s="6" t="s">
        <v>37</v>
      </c>
      <c r="D1391" s="6" t="s">
        <v>3541</v>
      </c>
      <c r="E1391" s="6" t="s">
        <v>140</v>
      </c>
      <c r="F1391" s="6" t="s">
        <v>87</v>
      </c>
      <c r="G1391" s="7">
        <v>0.22</v>
      </c>
      <c r="H1391" s="6" t="s">
        <v>228</v>
      </c>
      <c r="I1391" s="6" t="s">
        <v>20</v>
      </c>
      <c r="J1391" s="6">
        <v>2025.0</v>
      </c>
      <c r="K1391" s="10">
        <v>46024.0</v>
      </c>
      <c r="L1391" s="6">
        <v>1.0</v>
      </c>
      <c r="M1391" s="8">
        <f t="shared" si="2"/>
        <v>0.22</v>
      </c>
      <c r="P1391" s="9"/>
    </row>
    <row r="1392">
      <c r="A1392" s="6" t="s">
        <v>3542</v>
      </c>
      <c r="B1392" s="6" t="s">
        <v>1577</v>
      </c>
      <c r="C1392" s="6" t="s">
        <v>43</v>
      </c>
      <c r="D1392" s="6" t="s">
        <v>3543</v>
      </c>
      <c r="F1392" s="6" t="s">
        <v>26</v>
      </c>
      <c r="G1392" s="7">
        <v>0.25</v>
      </c>
      <c r="H1392" s="6" t="s">
        <v>19</v>
      </c>
      <c r="I1392" s="6" t="s">
        <v>20</v>
      </c>
      <c r="J1392" s="6">
        <v>2023.0</v>
      </c>
      <c r="L1392" s="6">
        <v>1.0</v>
      </c>
      <c r="M1392" s="8">
        <f t="shared" si="2"/>
        <v>0.25</v>
      </c>
      <c r="P1392" s="9"/>
    </row>
    <row r="1393">
      <c r="A1393" s="6" t="s">
        <v>3544</v>
      </c>
      <c r="B1393" s="6" t="s">
        <v>3545</v>
      </c>
      <c r="C1393" s="6" t="s">
        <v>43</v>
      </c>
      <c r="D1393" s="6" t="s">
        <v>3546</v>
      </c>
      <c r="E1393" s="6" t="s">
        <v>1702</v>
      </c>
      <c r="F1393" s="6" t="s">
        <v>112</v>
      </c>
      <c r="G1393" s="7">
        <v>0.1</v>
      </c>
      <c r="H1393" s="6" t="s">
        <v>297</v>
      </c>
      <c r="I1393" s="6" t="s">
        <v>20</v>
      </c>
      <c r="J1393" s="6">
        <v>2022.0</v>
      </c>
      <c r="K1393" s="10">
        <v>46148.0</v>
      </c>
      <c r="L1393" s="6">
        <v>1.0</v>
      </c>
      <c r="M1393" s="8">
        <f t="shared" si="2"/>
        <v>0.1</v>
      </c>
      <c r="P1393" s="9"/>
    </row>
    <row r="1394">
      <c r="A1394" s="6" t="s">
        <v>3547</v>
      </c>
      <c r="B1394" s="6" t="s">
        <v>3548</v>
      </c>
      <c r="C1394" s="6" t="s">
        <v>43</v>
      </c>
      <c r="D1394" s="6" t="s">
        <v>3549</v>
      </c>
      <c r="E1394" s="6" t="s">
        <v>891</v>
      </c>
      <c r="F1394" s="6" t="s">
        <v>77</v>
      </c>
      <c r="G1394" s="7">
        <v>0.2</v>
      </c>
      <c r="H1394" s="6" t="s">
        <v>58</v>
      </c>
      <c r="I1394" s="6" t="s">
        <v>20</v>
      </c>
      <c r="J1394" s="6">
        <v>1995.0</v>
      </c>
      <c r="K1394" s="10">
        <v>46114.0</v>
      </c>
      <c r="L1394" s="6">
        <v>1.0</v>
      </c>
      <c r="M1394" s="8">
        <f t="shared" si="2"/>
        <v>0.2</v>
      </c>
      <c r="P1394" s="9"/>
    </row>
    <row r="1395">
      <c r="A1395" s="6" t="s">
        <v>3550</v>
      </c>
      <c r="B1395" s="6" t="s">
        <v>192</v>
      </c>
      <c r="C1395" s="6" t="s">
        <v>30</v>
      </c>
      <c r="D1395" s="6" t="s">
        <v>3551</v>
      </c>
      <c r="E1395" s="6" t="s">
        <v>994</v>
      </c>
      <c r="F1395" s="6" t="s">
        <v>112</v>
      </c>
      <c r="G1395" s="7">
        <v>0.75</v>
      </c>
      <c r="H1395" s="6" t="s">
        <v>324</v>
      </c>
      <c r="I1395" s="6" t="s">
        <v>20</v>
      </c>
      <c r="J1395" s="6">
        <v>1995.0</v>
      </c>
      <c r="L1395" s="6">
        <v>1.0</v>
      </c>
      <c r="M1395" s="8">
        <f t="shared" si="2"/>
        <v>0.75</v>
      </c>
      <c r="P1395" s="9"/>
    </row>
    <row r="1396">
      <c r="A1396" s="6" t="s">
        <v>3552</v>
      </c>
      <c r="B1396" s="6" t="s">
        <v>254</v>
      </c>
      <c r="C1396" s="6" t="s">
        <v>37</v>
      </c>
      <c r="D1396" s="6" t="s">
        <v>3553</v>
      </c>
      <c r="E1396" s="6" t="s">
        <v>125</v>
      </c>
      <c r="F1396" s="6" t="s">
        <v>40</v>
      </c>
      <c r="G1396" s="7">
        <v>0.68</v>
      </c>
      <c r="H1396" s="6" t="s">
        <v>316</v>
      </c>
      <c r="I1396" s="6" t="s">
        <v>20</v>
      </c>
      <c r="J1396" s="6">
        <v>1995.0</v>
      </c>
      <c r="L1396" s="6">
        <v>2.0</v>
      </c>
      <c r="M1396" s="8">
        <f t="shared" si="2"/>
        <v>1.36</v>
      </c>
      <c r="P1396" s="9"/>
    </row>
    <row r="1397">
      <c r="A1397" s="6" t="s">
        <v>3554</v>
      </c>
      <c r="B1397" s="6" t="s">
        <v>494</v>
      </c>
      <c r="C1397" s="6" t="s">
        <v>37</v>
      </c>
      <c r="D1397" s="6" t="s">
        <v>3555</v>
      </c>
      <c r="E1397" s="6" t="s">
        <v>389</v>
      </c>
      <c r="F1397" s="6" t="s">
        <v>87</v>
      </c>
      <c r="G1397" s="7">
        <v>0.03</v>
      </c>
      <c r="H1397" s="6" t="s">
        <v>1776</v>
      </c>
      <c r="I1397" s="6" t="s">
        <v>20</v>
      </c>
      <c r="J1397" s="6">
        <v>2017.0</v>
      </c>
      <c r="L1397" s="6">
        <v>1.0</v>
      </c>
      <c r="M1397" s="8">
        <f t="shared" si="2"/>
        <v>0.03</v>
      </c>
      <c r="N1397" s="6" t="s">
        <v>374</v>
      </c>
      <c r="P1397" s="9"/>
    </row>
    <row r="1398">
      <c r="A1398" s="6" t="s">
        <v>3556</v>
      </c>
      <c r="B1398" s="6" t="s">
        <v>3557</v>
      </c>
      <c r="C1398" s="6" t="s">
        <v>37</v>
      </c>
      <c r="D1398" s="6" t="s">
        <v>3558</v>
      </c>
      <c r="E1398" s="6" t="s">
        <v>3445</v>
      </c>
      <c r="F1398" s="6" t="s">
        <v>519</v>
      </c>
      <c r="G1398" s="7">
        <v>0.1</v>
      </c>
      <c r="H1398" s="6" t="s">
        <v>475</v>
      </c>
      <c r="I1398" s="6" t="s">
        <v>20</v>
      </c>
      <c r="J1398" s="6">
        <v>2024.0</v>
      </c>
      <c r="K1398" s="10">
        <v>46055.0</v>
      </c>
      <c r="L1398" s="6">
        <v>3.0</v>
      </c>
      <c r="M1398" s="8">
        <f t="shared" si="2"/>
        <v>0.3</v>
      </c>
      <c r="P1398" s="9"/>
    </row>
    <row r="1399">
      <c r="A1399" s="6" t="s">
        <v>3559</v>
      </c>
      <c r="B1399" s="6" t="s">
        <v>2250</v>
      </c>
      <c r="C1399" s="6" t="s">
        <v>43</v>
      </c>
      <c r="D1399" s="6" t="s">
        <v>3560</v>
      </c>
      <c r="E1399" s="6" t="s">
        <v>2030</v>
      </c>
      <c r="F1399" s="6" t="s">
        <v>40</v>
      </c>
      <c r="G1399" s="7">
        <v>0.03</v>
      </c>
      <c r="H1399" s="6" t="s">
        <v>1511</v>
      </c>
      <c r="I1399" s="6" t="s">
        <v>20</v>
      </c>
      <c r="J1399" s="6">
        <v>2014.0</v>
      </c>
      <c r="K1399" s="10">
        <v>46113.0</v>
      </c>
      <c r="L1399" s="6">
        <v>1.0</v>
      </c>
      <c r="M1399" s="8">
        <f t="shared" si="2"/>
        <v>0.03</v>
      </c>
      <c r="P1399" s="9"/>
    </row>
    <row r="1400">
      <c r="A1400" s="6" t="s">
        <v>3561</v>
      </c>
      <c r="B1400" s="6" t="s">
        <v>246</v>
      </c>
      <c r="C1400" s="6" t="s">
        <v>43</v>
      </c>
      <c r="D1400" s="6" t="s">
        <v>3562</v>
      </c>
      <c r="E1400" s="6" t="s">
        <v>176</v>
      </c>
      <c r="F1400" s="6" t="s">
        <v>77</v>
      </c>
      <c r="G1400" s="7">
        <v>0.2</v>
      </c>
      <c r="H1400" s="6" t="s">
        <v>249</v>
      </c>
      <c r="I1400" s="6" t="s">
        <v>20</v>
      </c>
      <c r="J1400" s="6">
        <v>2014.0</v>
      </c>
      <c r="K1400" s="10">
        <v>46113.0</v>
      </c>
      <c r="L1400" s="6">
        <v>5.0</v>
      </c>
      <c r="M1400" s="8">
        <f t="shared" si="2"/>
        <v>1</v>
      </c>
      <c r="P1400" s="9"/>
    </row>
    <row r="1401">
      <c r="A1401" s="6" t="s">
        <v>3561</v>
      </c>
      <c r="B1401" s="6" t="s">
        <v>246</v>
      </c>
      <c r="C1401" s="6" t="s">
        <v>43</v>
      </c>
      <c r="D1401" s="6" t="s">
        <v>3562</v>
      </c>
      <c r="E1401" s="6" t="s">
        <v>176</v>
      </c>
      <c r="F1401" s="6" t="s">
        <v>77</v>
      </c>
      <c r="G1401" s="7">
        <v>12.96</v>
      </c>
      <c r="H1401" s="6" t="s">
        <v>249</v>
      </c>
      <c r="I1401" s="6" t="s">
        <v>45</v>
      </c>
      <c r="J1401" s="6">
        <v>2014.0</v>
      </c>
      <c r="K1401" s="10">
        <v>46113.0</v>
      </c>
      <c r="L1401" s="6">
        <v>1.0</v>
      </c>
      <c r="M1401" s="8">
        <f t="shared" si="2"/>
        <v>12.96</v>
      </c>
      <c r="P1401" s="9"/>
    </row>
    <row r="1402">
      <c r="A1402" s="6" t="s">
        <v>3563</v>
      </c>
      <c r="B1402" s="6" t="s">
        <v>500</v>
      </c>
      <c r="C1402" s="6" t="s">
        <v>43</v>
      </c>
      <c r="D1402" s="6" t="s">
        <v>3564</v>
      </c>
      <c r="E1402" s="6" t="s">
        <v>176</v>
      </c>
      <c r="F1402" s="6" t="s">
        <v>77</v>
      </c>
      <c r="G1402" s="7">
        <v>0.05</v>
      </c>
      <c r="H1402" s="6" t="s">
        <v>228</v>
      </c>
      <c r="I1402" s="6" t="s">
        <v>20</v>
      </c>
      <c r="J1402" s="6">
        <v>2025.0</v>
      </c>
      <c r="K1402" s="10">
        <v>46056.0</v>
      </c>
      <c r="L1402" s="6">
        <v>1.0</v>
      </c>
      <c r="M1402" s="8">
        <f t="shared" si="2"/>
        <v>0.05</v>
      </c>
      <c r="P1402" s="9"/>
    </row>
    <row r="1403">
      <c r="A1403" s="6" t="s">
        <v>3565</v>
      </c>
      <c r="B1403" s="6" t="s">
        <v>3566</v>
      </c>
      <c r="C1403" s="6" t="s">
        <v>43</v>
      </c>
      <c r="D1403" s="6" t="s">
        <v>3567</v>
      </c>
      <c r="E1403" s="6" t="s">
        <v>76</v>
      </c>
      <c r="F1403" s="6" t="s">
        <v>77</v>
      </c>
      <c r="G1403" s="7">
        <v>0.05</v>
      </c>
      <c r="H1403" s="6" t="s">
        <v>586</v>
      </c>
      <c r="I1403" s="6" t="s">
        <v>20</v>
      </c>
      <c r="J1403" s="6">
        <v>2012.0</v>
      </c>
      <c r="K1403" s="10">
        <v>46023.0</v>
      </c>
      <c r="L1403" s="6">
        <v>1.0</v>
      </c>
      <c r="M1403" s="8">
        <f t="shared" si="2"/>
        <v>0.05</v>
      </c>
      <c r="P1403" s="9"/>
    </row>
    <row r="1404">
      <c r="A1404" s="6" t="s">
        <v>3568</v>
      </c>
      <c r="B1404" s="6" t="s">
        <v>3569</v>
      </c>
      <c r="C1404" s="6" t="s">
        <v>15</v>
      </c>
      <c r="D1404" s="6" t="s">
        <v>3570</v>
      </c>
      <c r="E1404" s="6" t="s">
        <v>263</v>
      </c>
      <c r="F1404" s="6" t="s">
        <v>77</v>
      </c>
      <c r="G1404" s="7">
        <v>0.28</v>
      </c>
      <c r="H1404" s="6" t="s">
        <v>19</v>
      </c>
      <c r="I1404" s="6" t="s">
        <v>20</v>
      </c>
      <c r="J1404" s="6">
        <v>2023.0</v>
      </c>
      <c r="K1404" s="10">
        <v>46113.0</v>
      </c>
      <c r="L1404" s="6">
        <v>1.0</v>
      </c>
      <c r="M1404" s="8">
        <f t="shared" si="2"/>
        <v>0.28</v>
      </c>
      <c r="P1404" s="9"/>
    </row>
    <row r="1405">
      <c r="A1405" s="6" t="s">
        <v>3571</v>
      </c>
      <c r="B1405" s="6" t="s">
        <v>74</v>
      </c>
      <c r="C1405" s="6" t="s">
        <v>43</v>
      </c>
      <c r="D1405" s="6" t="s">
        <v>3572</v>
      </c>
      <c r="E1405" s="6" t="s">
        <v>224</v>
      </c>
      <c r="F1405" s="6" t="s">
        <v>18</v>
      </c>
      <c r="G1405" s="7">
        <v>0.05</v>
      </c>
      <c r="H1405" s="6" t="s">
        <v>3573</v>
      </c>
      <c r="I1405" s="6" t="s">
        <v>20</v>
      </c>
      <c r="J1405" s="6">
        <v>2014.0</v>
      </c>
      <c r="L1405" s="6">
        <v>1.0</v>
      </c>
      <c r="M1405" s="8">
        <f t="shared" si="2"/>
        <v>0.05</v>
      </c>
      <c r="P1405" s="9"/>
    </row>
    <row r="1406">
      <c r="A1406" s="6" t="s">
        <v>3574</v>
      </c>
      <c r="B1406" s="6" t="s">
        <v>3575</v>
      </c>
      <c r="C1406" s="6" t="s">
        <v>15</v>
      </c>
      <c r="D1406" s="6" t="s">
        <v>3576</v>
      </c>
      <c r="E1406" s="6" t="s">
        <v>1131</v>
      </c>
      <c r="F1406" s="6" t="s">
        <v>87</v>
      </c>
      <c r="G1406" s="7">
        <v>0.2</v>
      </c>
      <c r="H1406" s="6" t="s">
        <v>19</v>
      </c>
      <c r="I1406" s="6" t="s">
        <v>20</v>
      </c>
      <c r="J1406" s="6">
        <v>2023.0</v>
      </c>
      <c r="K1406" s="10">
        <v>46023.0</v>
      </c>
      <c r="L1406" s="6">
        <v>3.0</v>
      </c>
      <c r="M1406" s="8">
        <f t="shared" si="2"/>
        <v>0.6</v>
      </c>
      <c r="P1406" s="9"/>
    </row>
    <row r="1407">
      <c r="A1407" s="6" t="s">
        <v>3577</v>
      </c>
      <c r="B1407" s="6" t="s">
        <v>2551</v>
      </c>
      <c r="C1407" s="6" t="s">
        <v>43</v>
      </c>
      <c r="D1407" s="6" t="s">
        <v>3578</v>
      </c>
      <c r="E1407" s="6" t="s">
        <v>86</v>
      </c>
      <c r="F1407" s="6" t="s">
        <v>87</v>
      </c>
      <c r="G1407" s="7">
        <v>0.1</v>
      </c>
      <c r="H1407" s="6" t="s">
        <v>471</v>
      </c>
      <c r="I1407" s="6" t="s">
        <v>20</v>
      </c>
      <c r="J1407" s="6">
        <v>2026.0</v>
      </c>
      <c r="K1407" s="10">
        <v>46082.0</v>
      </c>
      <c r="L1407" s="6">
        <v>2.0</v>
      </c>
      <c r="M1407" s="8">
        <f t="shared" si="2"/>
        <v>0.2</v>
      </c>
      <c r="P1407" s="9"/>
    </row>
    <row r="1408">
      <c r="A1408" s="6" t="s">
        <v>3579</v>
      </c>
      <c r="B1408" s="6" t="s">
        <v>119</v>
      </c>
      <c r="C1408" s="6" t="s">
        <v>183</v>
      </c>
      <c r="D1408" s="6" t="s">
        <v>3580</v>
      </c>
      <c r="E1408" s="6" t="s">
        <v>1027</v>
      </c>
      <c r="F1408" s="6" t="s">
        <v>77</v>
      </c>
      <c r="G1408" s="7">
        <v>0.09</v>
      </c>
      <c r="H1408" s="6" t="s">
        <v>431</v>
      </c>
      <c r="I1408" s="6" t="s">
        <v>20</v>
      </c>
      <c r="J1408" s="6">
        <v>2019.0</v>
      </c>
      <c r="L1408" s="6">
        <v>3.0</v>
      </c>
      <c r="M1408" s="8">
        <f t="shared" si="2"/>
        <v>0.27</v>
      </c>
      <c r="P1408" s="9"/>
    </row>
    <row r="1409">
      <c r="A1409" s="6" t="s">
        <v>3581</v>
      </c>
      <c r="B1409" s="6" t="s">
        <v>3582</v>
      </c>
      <c r="C1409" s="6" t="s">
        <v>43</v>
      </c>
      <c r="D1409" s="6" t="s">
        <v>3583</v>
      </c>
      <c r="E1409" s="6" t="s">
        <v>753</v>
      </c>
      <c r="F1409" s="6" t="s">
        <v>87</v>
      </c>
      <c r="G1409" s="7">
        <v>0.05</v>
      </c>
      <c r="H1409" s="6" t="s">
        <v>187</v>
      </c>
      <c r="I1409" s="6" t="s">
        <v>20</v>
      </c>
      <c r="J1409" s="6">
        <v>1995.0</v>
      </c>
      <c r="K1409" s="10">
        <v>46055.0</v>
      </c>
      <c r="L1409" s="6">
        <v>1.0</v>
      </c>
      <c r="M1409" s="8">
        <f t="shared" si="2"/>
        <v>0.05</v>
      </c>
      <c r="P1409" s="9"/>
    </row>
    <row r="1410">
      <c r="A1410" s="6" t="s">
        <v>3584</v>
      </c>
      <c r="B1410" s="6" t="s">
        <v>3585</v>
      </c>
      <c r="C1410" s="6" t="s">
        <v>43</v>
      </c>
      <c r="E1410" s="6" t="s">
        <v>164</v>
      </c>
      <c r="F1410" s="6" t="s">
        <v>112</v>
      </c>
      <c r="G1410" s="7">
        <v>0.09</v>
      </c>
      <c r="H1410" s="6" t="s">
        <v>2418</v>
      </c>
      <c r="I1410" s="6" t="s">
        <v>20</v>
      </c>
      <c r="J1410" s="6">
        <v>2007.0</v>
      </c>
      <c r="K1410" s="10">
        <v>46055.0</v>
      </c>
      <c r="L1410" s="6">
        <v>2.0</v>
      </c>
      <c r="M1410" s="8">
        <f t="shared" si="2"/>
        <v>0.18</v>
      </c>
      <c r="P1410" s="9"/>
    </row>
    <row r="1411">
      <c r="A1411" s="6" t="s">
        <v>3586</v>
      </c>
      <c r="B1411" s="6" t="s">
        <v>3587</v>
      </c>
      <c r="C1411" s="6" t="s">
        <v>15</v>
      </c>
      <c r="D1411" s="6" t="s">
        <v>3588</v>
      </c>
      <c r="E1411" s="6" t="s">
        <v>1550</v>
      </c>
      <c r="F1411" s="6" t="s">
        <v>77</v>
      </c>
      <c r="G1411" s="7">
        <v>0.16</v>
      </c>
      <c r="H1411" s="6" t="s">
        <v>19</v>
      </c>
      <c r="I1411" s="6" t="s">
        <v>20</v>
      </c>
      <c r="J1411" s="6">
        <v>2023.0</v>
      </c>
      <c r="K1411" s="10">
        <v>46147.0</v>
      </c>
      <c r="L1411" s="6">
        <v>3.0</v>
      </c>
      <c r="M1411" s="8">
        <f t="shared" si="2"/>
        <v>0.48</v>
      </c>
      <c r="P1411" s="9"/>
    </row>
    <row r="1412">
      <c r="A1412" s="6" t="s">
        <v>3589</v>
      </c>
      <c r="B1412" s="6" t="s">
        <v>3050</v>
      </c>
      <c r="C1412" s="6" t="s">
        <v>43</v>
      </c>
      <c r="D1412" s="6" t="s">
        <v>3590</v>
      </c>
      <c r="E1412" s="6" t="s">
        <v>86</v>
      </c>
      <c r="F1412" s="6" t="s">
        <v>87</v>
      </c>
      <c r="G1412" s="7">
        <v>0.05</v>
      </c>
      <c r="H1412" s="6" t="s">
        <v>165</v>
      </c>
      <c r="I1412" s="6" t="s">
        <v>20</v>
      </c>
      <c r="J1412" s="6">
        <v>2020.0</v>
      </c>
      <c r="K1412" s="10">
        <v>46054.0</v>
      </c>
      <c r="L1412" s="6">
        <v>1.0</v>
      </c>
      <c r="M1412" s="8">
        <f t="shared" si="2"/>
        <v>0.05</v>
      </c>
      <c r="P1412" s="9"/>
    </row>
    <row r="1413">
      <c r="A1413" s="6" t="s">
        <v>3591</v>
      </c>
      <c r="B1413" s="6" t="s">
        <v>3592</v>
      </c>
      <c r="C1413" s="6" t="s">
        <v>37</v>
      </c>
      <c r="D1413" s="6" t="s">
        <v>3593</v>
      </c>
      <c r="E1413" s="6" t="s">
        <v>256</v>
      </c>
      <c r="F1413" s="6" t="s">
        <v>87</v>
      </c>
      <c r="G1413" s="7">
        <v>0.09</v>
      </c>
      <c r="H1413" s="6" t="s">
        <v>165</v>
      </c>
      <c r="I1413" s="6" t="s">
        <v>20</v>
      </c>
      <c r="J1413" s="6">
        <v>2020.0</v>
      </c>
      <c r="K1413" s="10">
        <v>46083.0</v>
      </c>
      <c r="L1413" s="6">
        <v>1.0</v>
      </c>
      <c r="M1413" s="8">
        <f t="shared" si="2"/>
        <v>0.09</v>
      </c>
      <c r="P1413" s="9"/>
    </row>
    <row r="1414">
      <c r="A1414" s="6" t="s">
        <v>3594</v>
      </c>
      <c r="B1414" s="6" t="s">
        <v>74</v>
      </c>
      <c r="C1414" s="6" t="s">
        <v>43</v>
      </c>
      <c r="D1414" s="6" t="s">
        <v>3595</v>
      </c>
      <c r="E1414" s="6" t="s">
        <v>176</v>
      </c>
      <c r="F1414" s="6" t="s">
        <v>77</v>
      </c>
      <c r="G1414" s="7">
        <v>0.03</v>
      </c>
      <c r="H1414" s="6" t="s">
        <v>431</v>
      </c>
      <c r="I1414" s="6" t="s">
        <v>20</v>
      </c>
      <c r="J1414" s="6">
        <v>2019.0</v>
      </c>
      <c r="L1414" s="6">
        <v>1.0</v>
      </c>
      <c r="M1414" s="8">
        <f t="shared" si="2"/>
        <v>0.03</v>
      </c>
      <c r="P1414" s="9"/>
    </row>
    <row r="1415">
      <c r="A1415" s="6" t="s">
        <v>3596</v>
      </c>
      <c r="B1415" s="6" t="s">
        <v>138</v>
      </c>
      <c r="C1415" s="6" t="s">
        <v>43</v>
      </c>
      <c r="D1415" s="6" t="s">
        <v>3597</v>
      </c>
      <c r="E1415" s="6" t="s">
        <v>420</v>
      </c>
      <c r="F1415" s="6" t="s">
        <v>40</v>
      </c>
      <c r="G1415" s="7">
        <v>0.1</v>
      </c>
      <c r="H1415" s="6" t="s">
        <v>136</v>
      </c>
      <c r="I1415" s="6" t="s">
        <v>20</v>
      </c>
      <c r="J1415" s="6">
        <v>2026.0</v>
      </c>
      <c r="L1415" s="6">
        <v>4.0</v>
      </c>
      <c r="M1415" s="8">
        <f t="shared" si="2"/>
        <v>0.4</v>
      </c>
      <c r="P1415" s="9"/>
    </row>
    <row r="1416">
      <c r="A1416" s="6" t="s">
        <v>3596</v>
      </c>
      <c r="B1416" s="6" t="s">
        <v>138</v>
      </c>
      <c r="C1416" s="6" t="s">
        <v>43</v>
      </c>
      <c r="D1416" s="6" t="s">
        <v>3597</v>
      </c>
      <c r="E1416" s="6" t="s">
        <v>420</v>
      </c>
      <c r="F1416" s="6" t="s">
        <v>40</v>
      </c>
      <c r="G1416" s="7">
        <v>0.1</v>
      </c>
      <c r="H1416" s="6" t="s">
        <v>136</v>
      </c>
      <c r="I1416" s="6" t="s">
        <v>20</v>
      </c>
      <c r="J1416" s="6">
        <v>2026.0</v>
      </c>
      <c r="L1416" s="6">
        <v>2.0</v>
      </c>
      <c r="M1416" s="8">
        <f t="shared" si="2"/>
        <v>0.2</v>
      </c>
      <c r="P1416" s="9"/>
    </row>
    <row r="1417">
      <c r="A1417" s="6" t="s">
        <v>3598</v>
      </c>
      <c r="B1417" s="6" t="s">
        <v>115</v>
      </c>
      <c r="C1417" s="6" t="s">
        <v>15</v>
      </c>
      <c r="D1417" s="6" t="s">
        <v>3599</v>
      </c>
      <c r="E1417" s="6" t="s">
        <v>152</v>
      </c>
      <c r="F1417" s="6" t="s">
        <v>40</v>
      </c>
      <c r="G1417" s="7">
        <v>0.25</v>
      </c>
      <c r="H1417" s="6" t="s">
        <v>617</v>
      </c>
      <c r="I1417" s="6" t="s">
        <v>20</v>
      </c>
      <c r="J1417" s="6">
        <v>2026.0</v>
      </c>
      <c r="L1417" s="6">
        <v>1.0</v>
      </c>
      <c r="M1417" s="8">
        <f t="shared" si="2"/>
        <v>0.25</v>
      </c>
      <c r="P1417" s="9"/>
    </row>
    <row r="1418">
      <c r="A1418" s="6" t="s">
        <v>3600</v>
      </c>
      <c r="B1418" s="6" t="s">
        <v>916</v>
      </c>
      <c r="C1418" s="6" t="s">
        <v>30</v>
      </c>
      <c r="D1418" s="6" t="s">
        <v>3601</v>
      </c>
      <c r="E1418" s="6" t="s">
        <v>3602</v>
      </c>
      <c r="F1418" s="6" t="s">
        <v>636</v>
      </c>
      <c r="G1418" s="7">
        <v>0.36</v>
      </c>
      <c r="H1418" s="6" t="s">
        <v>431</v>
      </c>
      <c r="I1418" s="6" t="s">
        <v>20</v>
      </c>
      <c r="J1418" s="6">
        <v>2019.0</v>
      </c>
      <c r="K1418" s="10">
        <v>46084.0</v>
      </c>
      <c r="L1418" s="6">
        <v>1.0</v>
      </c>
      <c r="M1418" s="8">
        <f t="shared" si="2"/>
        <v>0.36</v>
      </c>
      <c r="P1418" s="9"/>
    </row>
    <row r="1419">
      <c r="A1419" s="6" t="s">
        <v>3603</v>
      </c>
      <c r="B1419" s="6" t="s">
        <v>400</v>
      </c>
      <c r="C1419" s="6" t="s">
        <v>43</v>
      </c>
      <c r="D1419" s="6" t="s">
        <v>3604</v>
      </c>
      <c r="E1419" s="6" t="s">
        <v>179</v>
      </c>
      <c r="F1419" s="6" t="s">
        <v>112</v>
      </c>
      <c r="G1419" s="7">
        <v>0.1</v>
      </c>
      <c r="H1419" s="6" t="s">
        <v>136</v>
      </c>
      <c r="I1419" s="6" t="s">
        <v>20</v>
      </c>
      <c r="J1419" s="6">
        <v>2026.0</v>
      </c>
      <c r="L1419" s="6">
        <v>1.0</v>
      </c>
      <c r="M1419" s="8">
        <f t="shared" si="2"/>
        <v>0.1</v>
      </c>
      <c r="P1419" s="9"/>
    </row>
    <row r="1420">
      <c r="A1420" s="6" t="s">
        <v>3605</v>
      </c>
      <c r="B1420" s="6" t="s">
        <v>170</v>
      </c>
      <c r="C1420" s="6" t="s">
        <v>156</v>
      </c>
      <c r="D1420" s="6" t="s">
        <v>3606</v>
      </c>
      <c r="E1420" s="6" t="s">
        <v>172</v>
      </c>
      <c r="F1420" s="6" t="s">
        <v>26</v>
      </c>
      <c r="G1420" s="7">
        <v>0.15</v>
      </c>
      <c r="H1420" s="6" t="s">
        <v>153</v>
      </c>
      <c r="I1420" s="6" t="s">
        <v>20</v>
      </c>
      <c r="J1420" s="6">
        <v>2025.0</v>
      </c>
      <c r="L1420" s="6">
        <v>3.0</v>
      </c>
      <c r="M1420" s="8">
        <f t="shared" si="2"/>
        <v>0.45</v>
      </c>
      <c r="P1420" s="9"/>
    </row>
    <row r="1421">
      <c r="A1421" s="6" t="s">
        <v>3607</v>
      </c>
      <c r="B1421" s="6" t="s">
        <v>219</v>
      </c>
      <c r="C1421" s="6" t="s">
        <v>43</v>
      </c>
      <c r="D1421" s="6" t="s">
        <v>3608</v>
      </c>
      <c r="E1421" s="6" t="s">
        <v>25</v>
      </c>
      <c r="F1421" s="6" t="s">
        <v>26</v>
      </c>
      <c r="G1421" s="7">
        <v>0.49</v>
      </c>
      <c r="H1421" s="6" t="s">
        <v>424</v>
      </c>
      <c r="I1421" s="6" t="s">
        <v>20</v>
      </c>
      <c r="J1421" s="6">
        <v>2017.0</v>
      </c>
      <c r="L1421" s="6">
        <v>1.0</v>
      </c>
      <c r="M1421" s="8">
        <f t="shared" si="2"/>
        <v>0.49</v>
      </c>
      <c r="P1421" s="9"/>
    </row>
    <row r="1422">
      <c r="A1422" s="6" t="s">
        <v>3609</v>
      </c>
      <c r="B1422" s="6" t="s">
        <v>3610</v>
      </c>
      <c r="C1422" s="6" t="s">
        <v>37</v>
      </c>
      <c r="D1422" s="6" t="s">
        <v>3611</v>
      </c>
      <c r="E1422" s="6" t="s">
        <v>39</v>
      </c>
      <c r="F1422" s="6" t="s">
        <v>40</v>
      </c>
      <c r="G1422" s="7">
        <v>0.04</v>
      </c>
      <c r="H1422" s="6" t="s">
        <v>363</v>
      </c>
      <c r="I1422" s="6" t="s">
        <v>20</v>
      </c>
      <c r="J1422" s="6">
        <v>2024.0</v>
      </c>
      <c r="K1422" s="10">
        <v>46116.0</v>
      </c>
      <c r="L1422" s="6">
        <v>1.0</v>
      </c>
      <c r="M1422" s="8">
        <f t="shared" si="2"/>
        <v>0.04</v>
      </c>
      <c r="P1422" s="9"/>
    </row>
    <row r="1423">
      <c r="A1423" s="6" t="s">
        <v>3612</v>
      </c>
      <c r="B1423" s="6" t="s">
        <v>494</v>
      </c>
      <c r="C1423" s="6" t="s">
        <v>43</v>
      </c>
      <c r="D1423" s="6" t="s">
        <v>3613</v>
      </c>
      <c r="E1423" s="6" t="s">
        <v>57</v>
      </c>
      <c r="F1423" s="6" t="s">
        <v>40</v>
      </c>
      <c r="G1423" s="7">
        <v>0.05</v>
      </c>
      <c r="H1423" s="6" t="s">
        <v>232</v>
      </c>
      <c r="I1423" s="6" t="s">
        <v>20</v>
      </c>
      <c r="J1423" s="6">
        <v>2010.0</v>
      </c>
      <c r="L1423" s="6">
        <v>1.0</v>
      </c>
      <c r="M1423" s="8">
        <f t="shared" si="2"/>
        <v>0.05</v>
      </c>
      <c r="P1423" s="9"/>
    </row>
    <row r="1424">
      <c r="A1424" s="6" t="s">
        <v>3614</v>
      </c>
      <c r="B1424" s="6" t="s">
        <v>396</v>
      </c>
      <c r="C1424" s="6" t="s">
        <v>43</v>
      </c>
      <c r="D1424" s="6" t="s">
        <v>3615</v>
      </c>
      <c r="E1424" s="6" t="s">
        <v>164</v>
      </c>
      <c r="F1424" s="6" t="s">
        <v>112</v>
      </c>
      <c r="G1424" s="7">
        <v>0.06</v>
      </c>
      <c r="H1424" s="6" t="s">
        <v>1287</v>
      </c>
      <c r="I1424" s="6" t="s">
        <v>20</v>
      </c>
      <c r="J1424" s="6">
        <v>2021.0</v>
      </c>
      <c r="L1424" s="6">
        <v>1.0</v>
      </c>
      <c r="M1424" s="8">
        <f t="shared" si="2"/>
        <v>0.06</v>
      </c>
      <c r="P1424" s="9"/>
    </row>
    <row r="1425">
      <c r="A1425" s="6" t="s">
        <v>3616</v>
      </c>
      <c r="B1425" s="6" t="s">
        <v>647</v>
      </c>
      <c r="C1425" s="6" t="s">
        <v>37</v>
      </c>
      <c r="D1425" s="6" t="s">
        <v>3617</v>
      </c>
      <c r="F1425" s="6" t="s">
        <v>26</v>
      </c>
      <c r="G1425" s="7">
        <v>0.06</v>
      </c>
      <c r="H1425" s="6" t="s">
        <v>651</v>
      </c>
      <c r="I1425" s="6" t="s">
        <v>20</v>
      </c>
      <c r="J1425" s="6">
        <v>2022.0</v>
      </c>
      <c r="K1425" s="10">
        <v>46084.0</v>
      </c>
      <c r="L1425" s="6">
        <v>1.0</v>
      </c>
      <c r="M1425" s="8">
        <f t="shared" si="2"/>
        <v>0.06</v>
      </c>
      <c r="P1425" s="9"/>
    </row>
    <row r="1426">
      <c r="A1426" s="6" t="s">
        <v>3618</v>
      </c>
      <c r="B1426" s="6" t="s">
        <v>3619</v>
      </c>
      <c r="C1426" s="6" t="s">
        <v>204</v>
      </c>
      <c r="D1426" s="6" t="s">
        <v>3620</v>
      </c>
      <c r="E1426" s="6" t="s">
        <v>98</v>
      </c>
      <c r="F1426" s="6" t="s">
        <v>18</v>
      </c>
      <c r="G1426" s="7">
        <v>0.05</v>
      </c>
      <c r="H1426" s="6" t="s">
        <v>297</v>
      </c>
      <c r="I1426" s="6" t="s">
        <v>20</v>
      </c>
      <c r="J1426" s="6">
        <v>2022.0</v>
      </c>
      <c r="K1426" s="10">
        <v>46115.0</v>
      </c>
      <c r="L1426" s="6">
        <v>1.0</v>
      </c>
      <c r="M1426" s="8">
        <f t="shared" si="2"/>
        <v>0.05</v>
      </c>
      <c r="P1426" s="9"/>
    </row>
    <row r="1427">
      <c r="A1427" s="6" t="s">
        <v>3618</v>
      </c>
      <c r="B1427" s="6" t="s">
        <v>3619</v>
      </c>
      <c r="C1427" s="6" t="s">
        <v>204</v>
      </c>
      <c r="D1427" s="6" t="s">
        <v>3620</v>
      </c>
      <c r="E1427" s="6" t="s">
        <v>98</v>
      </c>
      <c r="F1427" s="6" t="s">
        <v>18</v>
      </c>
      <c r="G1427" s="7">
        <v>0.12</v>
      </c>
      <c r="H1427" s="6" t="s">
        <v>3621</v>
      </c>
      <c r="I1427" s="6" t="s">
        <v>20</v>
      </c>
      <c r="J1427" s="6">
        <v>2022.0</v>
      </c>
      <c r="K1427" s="10">
        <v>46115.0</v>
      </c>
      <c r="L1427" s="6">
        <v>1.0</v>
      </c>
      <c r="M1427" s="8">
        <f t="shared" si="2"/>
        <v>0.12</v>
      </c>
      <c r="P1427" s="9"/>
    </row>
    <row r="1428">
      <c r="A1428" s="6" t="s">
        <v>3622</v>
      </c>
      <c r="B1428" s="6" t="s">
        <v>3623</v>
      </c>
      <c r="C1428" s="6" t="s">
        <v>183</v>
      </c>
      <c r="D1428" s="6" t="s">
        <v>3624</v>
      </c>
      <c r="E1428" s="6" t="s">
        <v>1486</v>
      </c>
      <c r="F1428" s="6" t="s">
        <v>87</v>
      </c>
      <c r="G1428" s="7">
        <v>0.09</v>
      </c>
      <c r="H1428" s="6" t="s">
        <v>165</v>
      </c>
      <c r="I1428" s="6" t="s">
        <v>20</v>
      </c>
      <c r="J1428" s="6">
        <v>2020.0</v>
      </c>
      <c r="K1428" s="10">
        <v>46146.0</v>
      </c>
      <c r="L1428" s="6">
        <v>1.0</v>
      </c>
      <c r="M1428" s="8">
        <f t="shared" si="2"/>
        <v>0.09</v>
      </c>
      <c r="P1428" s="9"/>
    </row>
    <row r="1429">
      <c r="A1429" s="6" t="s">
        <v>3625</v>
      </c>
      <c r="B1429" s="6" t="s">
        <v>3626</v>
      </c>
      <c r="C1429" s="6" t="s">
        <v>23</v>
      </c>
      <c r="D1429" s="6" t="s">
        <v>3627</v>
      </c>
      <c r="E1429" s="6" t="s">
        <v>980</v>
      </c>
      <c r="F1429" s="6" t="s">
        <v>112</v>
      </c>
      <c r="G1429" s="7">
        <v>0.35</v>
      </c>
      <c r="H1429" s="6" t="s">
        <v>27</v>
      </c>
      <c r="I1429" s="6" t="s">
        <v>45</v>
      </c>
      <c r="J1429" s="6">
        <v>2026.0</v>
      </c>
      <c r="K1429" s="10">
        <v>46055.0</v>
      </c>
      <c r="L1429" s="6">
        <v>1.0</v>
      </c>
      <c r="M1429" s="8">
        <f t="shared" si="2"/>
        <v>0.35</v>
      </c>
      <c r="P1429" s="9"/>
    </row>
    <row r="1430">
      <c r="A1430" s="6" t="s">
        <v>3625</v>
      </c>
      <c r="B1430" s="6" t="s">
        <v>3626</v>
      </c>
      <c r="C1430" s="6" t="s">
        <v>23</v>
      </c>
      <c r="D1430" s="6" t="s">
        <v>3627</v>
      </c>
      <c r="E1430" s="6" t="s">
        <v>980</v>
      </c>
      <c r="F1430" s="6" t="s">
        <v>112</v>
      </c>
      <c r="G1430" s="7">
        <v>0.13</v>
      </c>
      <c r="H1430" s="6" t="s">
        <v>27</v>
      </c>
      <c r="I1430" s="6" t="s">
        <v>20</v>
      </c>
      <c r="J1430" s="6">
        <v>2026.0</v>
      </c>
      <c r="K1430" s="10">
        <v>46055.0</v>
      </c>
      <c r="L1430" s="6">
        <v>1.0</v>
      </c>
      <c r="M1430" s="8">
        <f t="shared" si="2"/>
        <v>0.13</v>
      </c>
      <c r="P1430" s="9"/>
    </row>
    <row r="1431">
      <c r="A1431" s="6" t="s">
        <v>3628</v>
      </c>
      <c r="B1431" s="6" t="s">
        <v>3629</v>
      </c>
      <c r="C1431" s="6" t="s">
        <v>37</v>
      </c>
      <c r="D1431" s="6" t="s">
        <v>3630</v>
      </c>
      <c r="E1431" s="6" t="s">
        <v>76</v>
      </c>
      <c r="F1431" s="6" t="s">
        <v>77</v>
      </c>
      <c r="G1431" s="7">
        <v>0.15</v>
      </c>
      <c r="H1431" s="6" t="s">
        <v>922</v>
      </c>
      <c r="I1431" s="6" t="s">
        <v>20</v>
      </c>
      <c r="J1431" s="6">
        <v>2014.0</v>
      </c>
      <c r="K1431" s="10">
        <v>46054.0</v>
      </c>
      <c r="L1431" s="6">
        <v>2.0</v>
      </c>
      <c r="M1431" s="8">
        <f t="shared" si="2"/>
        <v>0.3</v>
      </c>
      <c r="P1431" s="9"/>
    </row>
    <row r="1432">
      <c r="A1432" s="6" t="s">
        <v>3631</v>
      </c>
      <c r="B1432" s="6" t="s">
        <v>1152</v>
      </c>
      <c r="C1432" s="6" t="s">
        <v>418</v>
      </c>
      <c r="D1432" s="6" t="s">
        <v>3632</v>
      </c>
      <c r="E1432" s="6" t="s">
        <v>248</v>
      </c>
      <c r="F1432" s="6" t="s">
        <v>77</v>
      </c>
      <c r="G1432" s="7">
        <v>0.15</v>
      </c>
      <c r="H1432" s="6" t="s">
        <v>471</v>
      </c>
      <c r="I1432" s="6" t="s">
        <v>20</v>
      </c>
      <c r="J1432" s="6">
        <v>2026.0</v>
      </c>
      <c r="K1432" s="10">
        <v>46179.0</v>
      </c>
      <c r="L1432" s="6">
        <v>1.0</v>
      </c>
      <c r="M1432" s="8">
        <f t="shared" si="2"/>
        <v>0.15</v>
      </c>
      <c r="P1432" s="9"/>
    </row>
    <row r="1433">
      <c r="A1433" s="6" t="s">
        <v>3633</v>
      </c>
      <c r="B1433" s="6" t="s">
        <v>3634</v>
      </c>
      <c r="C1433" s="6" t="s">
        <v>15</v>
      </c>
      <c r="D1433" s="6" t="s">
        <v>3635</v>
      </c>
      <c r="E1433" s="6" t="s">
        <v>3636</v>
      </c>
      <c r="F1433" s="6" t="s">
        <v>717</v>
      </c>
      <c r="G1433" s="7">
        <v>0.21</v>
      </c>
      <c r="H1433" s="6" t="s">
        <v>19</v>
      </c>
      <c r="I1433" s="6" t="s">
        <v>20</v>
      </c>
      <c r="J1433" s="6">
        <v>2023.0</v>
      </c>
      <c r="K1433" s="10">
        <v>46116.0</v>
      </c>
      <c r="L1433" s="6">
        <v>1.0</v>
      </c>
      <c r="M1433" s="8">
        <f t="shared" si="2"/>
        <v>0.21</v>
      </c>
      <c r="P1433" s="9"/>
    </row>
    <row r="1434">
      <c r="A1434" s="6" t="s">
        <v>3637</v>
      </c>
      <c r="B1434" s="6" t="s">
        <v>3638</v>
      </c>
      <c r="C1434" s="6" t="s">
        <v>37</v>
      </c>
      <c r="D1434" s="6" t="s">
        <v>3639</v>
      </c>
      <c r="E1434" s="6" t="s">
        <v>983</v>
      </c>
      <c r="F1434" s="6" t="s">
        <v>977</v>
      </c>
      <c r="G1434" s="7">
        <v>0.06</v>
      </c>
      <c r="H1434" s="6" t="s">
        <v>431</v>
      </c>
      <c r="I1434" s="6" t="s">
        <v>20</v>
      </c>
      <c r="J1434" s="6">
        <v>2019.0</v>
      </c>
      <c r="K1434" s="10">
        <v>46023.0</v>
      </c>
      <c r="L1434" s="6">
        <v>3.0</v>
      </c>
      <c r="M1434" s="8">
        <f t="shared" si="2"/>
        <v>0.18</v>
      </c>
      <c r="P1434" s="9"/>
    </row>
    <row r="1435">
      <c r="A1435" s="6" t="s">
        <v>3640</v>
      </c>
      <c r="B1435" s="6" t="s">
        <v>115</v>
      </c>
      <c r="C1435" s="6" t="s">
        <v>23</v>
      </c>
      <c r="D1435" s="6" t="s">
        <v>3641</v>
      </c>
      <c r="E1435" s="6" t="s">
        <v>980</v>
      </c>
      <c r="F1435" s="6" t="s">
        <v>112</v>
      </c>
      <c r="G1435" s="7">
        <v>0.05</v>
      </c>
      <c r="H1435" s="6" t="s">
        <v>153</v>
      </c>
      <c r="I1435" s="6" t="s">
        <v>20</v>
      </c>
      <c r="J1435" s="6">
        <v>2025.0</v>
      </c>
      <c r="L1435" s="6">
        <v>6.0</v>
      </c>
      <c r="M1435" s="8">
        <f t="shared" si="2"/>
        <v>0.3</v>
      </c>
      <c r="P1435" s="9"/>
    </row>
    <row r="1436">
      <c r="A1436" s="6" t="s">
        <v>3642</v>
      </c>
      <c r="B1436" s="6" t="s">
        <v>371</v>
      </c>
      <c r="C1436" s="6" t="s">
        <v>37</v>
      </c>
      <c r="D1436" s="6" t="s">
        <v>3643</v>
      </c>
      <c r="E1436" s="6" t="s">
        <v>125</v>
      </c>
      <c r="F1436" s="6" t="s">
        <v>40</v>
      </c>
      <c r="G1436" s="7">
        <v>1.6</v>
      </c>
      <c r="H1436" s="6" t="s">
        <v>1344</v>
      </c>
      <c r="I1436" s="6" t="s">
        <v>45</v>
      </c>
      <c r="J1436" s="6">
        <v>2018.0</v>
      </c>
      <c r="K1436" s="10">
        <v>46023.0</v>
      </c>
      <c r="L1436" s="6">
        <v>1.0</v>
      </c>
      <c r="M1436" s="8">
        <f t="shared" si="2"/>
        <v>1.6</v>
      </c>
      <c r="P1436" s="9"/>
    </row>
    <row r="1437">
      <c r="A1437" s="6" t="s">
        <v>3644</v>
      </c>
      <c r="B1437" s="6" t="s">
        <v>3645</v>
      </c>
      <c r="C1437" s="6" t="s">
        <v>61</v>
      </c>
      <c r="D1437" s="6" t="s">
        <v>3646</v>
      </c>
      <c r="E1437" s="6" t="s">
        <v>822</v>
      </c>
      <c r="F1437" s="6" t="s">
        <v>77</v>
      </c>
      <c r="G1437" s="7">
        <v>0.45</v>
      </c>
      <c r="H1437" s="6" t="s">
        <v>1148</v>
      </c>
      <c r="I1437" s="6" t="s">
        <v>20</v>
      </c>
      <c r="J1437" s="6">
        <v>2012.0</v>
      </c>
      <c r="K1437" s="10">
        <v>46085.0</v>
      </c>
      <c r="L1437" s="6">
        <v>1.0</v>
      </c>
      <c r="M1437" s="8">
        <f t="shared" si="2"/>
        <v>0.45</v>
      </c>
      <c r="P1437" s="9"/>
    </row>
    <row r="1438">
      <c r="A1438" s="6" t="s">
        <v>3647</v>
      </c>
      <c r="B1438" s="6" t="s">
        <v>3648</v>
      </c>
      <c r="C1438" s="6" t="s">
        <v>37</v>
      </c>
      <c r="D1438" s="6" t="s">
        <v>3649</v>
      </c>
      <c r="E1438" s="6" t="s">
        <v>125</v>
      </c>
      <c r="F1438" s="6" t="s">
        <v>40</v>
      </c>
      <c r="G1438" s="7">
        <v>0.3</v>
      </c>
      <c r="H1438" s="6" t="s">
        <v>232</v>
      </c>
      <c r="I1438" s="6" t="s">
        <v>20</v>
      </c>
      <c r="J1438" s="6">
        <v>2010.0</v>
      </c>
      <c r="K1438" s="6" t="s">
        <v>301</v>
      </c>
      <c r="L1438" s="6">
        <v>3.0</v>
      </c>
      <c r="M1438" s="8">
        <f t="shared" si="2"/>
        <v>0.9</v>
      </c>
      <c r="P1438" s="9"/>
    </row>
    <row r="1439">
      <c r="A1439" s="6" t="s">
        <v>3650</v>
      </c>
      <c r="B1439" s="6" t="s">
        <v>3651</v>
      </c>
      <c r="C1439" s="6" t="s">
        <v>43</v>
      </c>
      <c r="D1439" s="6" t="s">
        <v>3652</v>
      </c>
      <c r="E1439" s="6" t="s">
        <v>356</v>
      </c>
      <c r="F1439" s="6" t="s">
        <v>87</v>
      </c>
      <c r="G1439" s="7">
        <v>0.06</v>
      </c>
      <c r="H1439" s="6" t="s">
        <v>674</v>
      </c>
      <c r="I1439" s="6" t="s">
        <v>20</v>
      </c>
      <c r="J1439" s="6">
        <v>2021.0</v>
      </c>
      <c r="K1439" s="10">
        <v>46117.0</v>
      </c>
      <c r="L1439" s="6">
        <v>1.0</v>
      </c>
      <c r="M1439" s="8">
        <f t="shared" si="2"/>
        <v>0.06</v>
      </c>
      <c r="P1439" s="9"/>
    </row>
    <row r="1440">
      <c r="A1440" s="6" t="s">
        <v>3653</v>
      </c>
      <c r="B1440" s="6" t="s">
        <v>1577</v>
      </c>
      <c r="C1440" s="6" t="s">
        <v>43</v>
      </c>
      <c r="D1440" s="6" t="s">
        <v>3654</v>
      </c>
      <c r="F1440" s="6" t="s">
        <v>18</v>
      </c>
      <c r="G1440" s="7">
        <v>0.48</v>
      </c>
      <c r="H1440" s="6" t="s">
        <v>232</v>
      </c>
      <c r="I1440" s="6" t="s">
        <v>20</v>
      </c>
      <c r="J1440" s="6">
        <v>2010.0</v>
      </c>
      <c r="L1440" s="6">
        <v>1.0</v>
      </c>
      <c r="M1440" s="8">
        <f t="shared" si="2"/>
        <v>0.48</v>
      </c>
      <c r="P1440" s="9"/>
    </row>
    <row r="1441">
      <c r="A1441" s="6" t="s">
        <v>3655</v>
      </c>
      <c r="B1441" s="6" t="s">
        <v>3656</v>
      </c>
      <c r="C1441" s="6" t="s">
        <v>37</v>
      </c>
      <c r="D1441" s="6" t="s">
        <v>3657</v>
      </c>
      <c r="E1441" s="6" t="s">
        <v>3658</v>
      </c>
      <c r="F1441" s="6" t="s">
        <v>536</v>
      </c>
      <c r="G1441" s="7">
        <v>0.25</v>
      </c>
      <c r="H1441" s="6" t="s">
        <v>34</v>
      </c>
      <c r="I1441" s="6" t="s">
        <v>45</v>
      </c>
      <c r="J1441" s="6">
        <v>2025.0</v>
      </c>
      <c r="K1441" s="10">
        <v>46084.0</v>
      </c>
      <c r="L1441" s="6">
        <v>1.0</v>
      </c>
      <c r="M1441" s="8">
        <f t="shared" si="2"/>
        <v>0.25</v>
      </c>
      <c r="P1441" s="9"/>
    </row>
    <row r="1442">
      <c r="A1442" s="6" t="s">
        <v>3659</v>
      </c>
      <c r="B1442" s="6" t="s">
        <v>138</v>
      </c>
      <c r="C1442" s="6" t="s">
        <v>43</v>
      </c>
      <c r="D1442" s="6" t="s">
        <v>3660</v>
      </c>
      <c r="E1442" s="6" t="s">
        <v>125</v>
      </c>
      <c r="F1442" s="6" t="s">
        <v>40</v>
      </c>
      <c r="G1442" s="7">
        <v>0.05</v>
      </c>
      <c r="H1442" s="6" t="s">
        <v>136</v>
      </c>
      <c r="I1442" s="6" t="s">
        <v>20</v>
      </c>
      <c r="J1442" s="6">
        <v>2026.0</v>
      </c>
      <c r="L1442" s="6">
        <v>5.0</v>
      </c>
      <c r="M1442" s="8">
        <f t="shared" si="2"/>
        <v>0.25</v>
      </c>
      <c r="P1442" s="9"/>
    </row>
    <row r="1443">
      <c r="A1443" s="6" t="s">
        <v>3661</v>
      </c>
      <c r="B1443" s="6" t="s">
        <v>606</v>
      </c>
      <c r="C1443" s="6" t="s">
        <v>23</v>
      </c>
      <c r="D1443" s="6" t="s">
        <v>3662</v>
      </c>
      <c r="E1443" s="6" t="s">
        <v>152</v>
      </c>
      <c r="F1443" s="6" t="s">
        <v>40</v>
      </c>
      <c r="G1443" s="7">
        <v>0.2</v>
      </c>
      <c r="H1443" s="6" t="s">
        <v>1784</v>
      </c>
      <c r="I1443" s="6" t="s">
        <v>20</v>
      </c>
      <c r="J1443" s="6">
        <v>2026.0</v>
      </c>
      <c r="L1443" s="6">
        <v>3.0</v>
      </c>
      <c r="M1443" s="8">
        <f t="shared" si="2"/>
        <v>0.6</v>
      </c>
      <c r="P1443" s="9"/>
    </row>
    <row r="1444">
      <c r="A1444" s="6" t="s">
        <v>3663</v>
      </c>
      <c r="B1444" s="6" t="s">
        <v>3664</v>
      </c>
      <c r="C1444" s="6" t="s">
        <v>30</v>
      </c>
      <c r="D1444" s="6" t="s">
        <v>3665</v>
      </c>
      <c r="E1444" s="6" t="s">
        <v>1859</v>
      </c>
      <c r="F1444" s="6" t="s">
        <v>18</v>
      </c>
      <c r="G1444" s="7">
        <v>0.5</v>
      </c>
      <c r="H1444" s="6" t="s">
        <v>373</v>
      </c>
      <c r="I1444" s="6" t="s">
        <v>20</v>
      </c>
      <c r="J1444" s="6">
        <v>2015.0</v>
      </c>
      <c r="K1444" s="10">
        <v>46055.0</v>
      </c>
      <c r="L1444" s="6">
        <v>1.0</v>
      </c>
      <c r="M1444" s="8">
        <f t="shared" si="2"/>
        <v>0.5</v>
      </c>
      <c r="P1444" s="9"/>
    </row>
    <row r="1445">
      <c r="A1445" s="6" t="s">
        <v>3666</v>
      </c>
      <c r="B1445" s="6" t="s">
        <v>789</v>
      </c>
      <c r="C1445" s="6" t="s">
        <v>37</v>
      </c>
      <c r="D1445" s="6" t="s">
        <v>3667</v>
      </c>
      <c r="E1445" s="6" t="s">
        <v>86</v>
      </c>
      <c r="F1445" s="6" t="s">
        <v>87</v>
      </c>
      <c r="G1445" s="7">
        <v>0.15</v>
      </c>
      <c r="H1445" s="6" t="s">
        <v>136</v>
      </c>
      <c r="I1445" s="6" t="s">
        <v>20</v>
      </c>
      <c r="J1445" s="6">
        <v>2026.0</v>
      </c>
      <c r="L1445" s="6">
        <v>1.0</v>
      </c>
      <c r="M1445" s="8">
        <f t="shared" si="2"/>
        <v>0.15</v>
      </c>
      <c r="P1445" s="9"/>
    </row>
    <row r="1446">
      <c r="A1446" s="6" t="s">
        <v>3668</v>
      </c>
      <c r="B1446" s="6" t="s">
        <v>545</v>
      </c>
      <c r="C1446" s="6" t="s">
        <v>43</v>
      </c>
      <c r="D1446" s="6" t="s">
        <v>3020</v>
      </c>
      <c r="E1446" s="6" t="s">
        <v>57</v>
      </c>
      <c r="F1446" s="6" t="s">
        <v>40</v>
      </c>
      <c r="G1446" s="7">
        <v>0.05</v>
      </c>
      <c r="H1446" s="6" t="s">
        <v>475</v>
      </c>
      <c r="I1446" s="6" t="s">
        <v>20</v>
      </c>
      <c r="J1446" s="6">
        <v>2024.0</v>
      </c>
      <c r="K1446" s="10">
        <v>46114.0</v>
      </c>
      <c r="L1446" s="6">
        <v>1.0</v>
      </c>
      <c r="M1446" s="8">
        <f t="shared" si="2"/>
        <v>0.05</v>
      </c>
      <c r="P1446" s="9"/>
    </row>
    <row r="1447">
      <c r="A1447" s="6" t="s">
        <v>3669</v>
      </c>
      <c r="B1447" s="6" t="s">
        <v>2356</v>
      </c>
      <c r="C1447" s="6" t="s">
        <v>43</v>
      </c>
      <c r="D1447" s="6" t="s">
        <v>3670</v>
      </c>
      <c r="E1447" s="6" t="s">
        <v>164</v>
      </c>
      <c r="F1447" s="6" t="s">
        <v>112</v>
      </c>
      <c r="G1447" s="7">
        <v>0.03</v>
      </c>
      <c r="H1447" s="6" t="s">
        <v>1076</v>
      </c>
      <c r="I1447" s="6" t="s">
        <v>20</v>
      </c>
      <c r="J1447" s="6">
        <v>2018.0</v>
      </c>
      <c r="K1447" s="10">
        <v>46055.0</v>
      </c>
      <c r="L1447" s="6">
        <v>1.0</v>
      </c>
      <c r="M1447" s="8">
        <f t="shared" si="2"/>
        <v>0.03</v>
      </c>
      <c r="P1447" s="9"/>
    </row>
    <row r="1448">
      <c r="A1448" s="6" t="s">
        <v>3671</v>
      </c>
      <c r="B1448" s="6" t="s">
        <v>603</v>
      </c>
      <c r="C1448" s="6" t="s">
        <v>43</v>
      </c>
      <c r="D1448" s="6" t="s">
        <v>3672</v>
      </c>
      <c r="E1448" s="6" t="s">
        <v>190</v>
      </c>
      <c r="F1448" s="6" t="s">
        <v>18</v>
      </c>
      <c r="G1448" s="7">
        <v>0.17</v>
      </c>
      <c r="H1448" s="6" t="s">
        <v>160</v>
      </c>
      <c r="I1448" s="6" t="s">
        <v>20</v>
      </c>
      <c r="J1448" s="6">
        <v>2024.0</v>
      </c>
      <c r="K1448" s="10">
        <v>46023.0</v>
      </c>
      <c r="L1448" s="6">
        <v>2.0</v>
      </c>
      <c r="M1448" s="8">
        <f t="shared" si="2"/>
        <v>0.34</v>
      </c>
      <c r="P1448" s="9"/>
    </row>
    <row r="1449">
      <c r="A1449" s="6" t="s">
        <v>3673</v>
      </c>
      <c r="B1449" s="6" t="s">
        <v>162</v>
      </c>
      <c r="C1449" s="6" t="s">
        <v>37</v>
      </c>
      <c r="D1449" s="6" t="s">
        <v>3674</v>
      </c>
      <c r="E1449" s="6" t="s">
        <v>891</v>
      </c>
      <c r="F1449" s="6" t="s">
        <v>77</v>
      </c>
      <c r="G1449" s="7">
        <v>0.06</v>
      </c>
      <c r="H1449" s="6" t="s">
        <v>1148</v>
      </c>
      <c r="I1449" s="6" t="s">
        <v>20</v>
      </c>
      <c r="J1449" s="6">
        <v>2012.0</v>
      </c>
      <c r="L1449" s="6">
        <v>1.0</v>
      </c>
      <c r="M1449" s="8">
        <f t="shared" si="2"/>
        <v>0.06</v>
      </c>
      <c r="P1449" s="9"/>
    </row>
    <row r="1450">
      <c r="A1450" s="6" t="s">
        <v>3675</v>
      </c>
      <c r="B1450" s="6" t="s">
        <v>606</v>
      </c>
      <c r="C1450" s="6" t="s">
        <v>15</v>
      </c>
      <c r="D1450" s="6" t="s">
        <v>3676</v>
      </c>
      <c r="E1450" s="6" t="s">
        <v>152</v>
      </c>
      <c r="F1450" s="6" t="s">
        <v>40</v>
      </c>
      <c r="G1450" s="7">
        <v>0.28</v>
      </c>
      <c r="H1450" s="6" t="s">
        <v>617</v>
      </c>
      <c r="I1450" s="6" t="s">
        <v>20</v>
      </c>
      <c r="J1450" s="6">
        <v>2026.0</v>
      </c>
      <c r="L1450" s="6">
        <v>1.0</v>
      </c>
      <c r="M1450" s="8">
        <f t="shared" si="2"/>
        <v>0.28</v>
      </c>
      <c r="P1450" s="9"/>
    </row>
    <row r="1451">
      <c r="A1451" s="6" t="s">
        <v>3677</v>
      </c>
      <c r="B1451" s="6" t="s">
        <v>74</v>
      </c>
      <c r="C1451" s="6" t="s">
        <v>43</v>
      </c>
      <c r="D1451" s="6" t="s">
        <v>3678</v>
      </c>
      <c r="E1451" s="6" t="s">
        <v>3679</v>
      </c>
      <c r="F1451" s="6" t="s">
        <v>71</v>
      </c>
      <c r="G1451" s="7">
        <v>0.09</v>
      </c>
      <c r="H1451" s="6" t="s">
        <v>1493</v>
      </c>
      <c r="I1451" s="6" t="s">
        <v>20</v>
      </c>
      <c r="J1451" s="6">
        <v>2015.0</v>
      </c>
      <c r="L1451" s="6">
        <v>2.0</v>
      </c>
      <c r="M1451" s="8">
        <f t="shared" si="2"/>
        <v>0.18</v>
      </c>
      <c r="P1451" s="9"/>
    </row>
    <row r="1452">
      <c r="A1452" s="6" t="s">
        <v>3680</v>
      </c>
      <c r="B1452" s="6" t="s">
        <v>3681</v>
      </c>
      <c r="C1452" s="6" t="s">
        <v>37</v>
      </c>
      <c r="D1452" s="6" t="s">
        <v>3682</v>
      </c>
      <c r="E1452" s="6" t="s">
        <v>164</v>
      </c>
      <c r="F1452" s="6" t="s">
        <v>112</v>
      </c>
      <c r="G1452" s="7">
        <v>0.15</v>
      </c>
      <c r="H1452" s="6" t="s">
        <v>34</v>
      </c>
      <c r="I1452" s="6" t="s">
        <v>20</v>
      </c>
      <c r="J1452" s="6">
        <v>2025.0</v>
      </c>
      <c r="K1452" s="10">
        <v>46023.0</v>
      </c>
      <c r="L1452" s="6">
        <v>1.0</v>
      </c>
      <c r="M1452" s="8">
        <f t="shared" si="2"/>
        <v>0.15</v>
      </c>
      <c r="P1452" s="9"/>
    </row>
    <row r="1453">
      <c r="A1453" s="6" t="s">
        <v>3683</v>
      </c>
      <c r="B1453" s="6" t="s">
        <v>2333</v>
      </c>
      <c r="C1453" s="6" t="s">
        <v>43</v>
      </c>
      <c r="D1453" s="6" t="s">
        <v>3684</v>
      </c>
      <c r="E1453" s="6" t="s">
        <v>57</v>
      </c>
      <c r="F1453" s="6" t="s">
        <v>40</v>
      </c>
      <c r="G1453" s="7">
        <v>0.03</v>
      </c>
      <c r="H1453" s="6" t="s">
        <v>249</v>
      </c>
      <c r="I1453" s="6" t="s">
        <v>20</v>
      </c>
      <c r="J1453" s="6">
        <v>2014.0</v>
      </c>
      <c r="K1453" s="10">
        <v>46083.0</v>
      </c>
      <c r="L1453" s="6">
        <v>2.0</v>
      </c>
      <c r="M1453" s="8">
        <f t="shared" si="2"/>
        <v>0.06</v>
      </c>
      <c r="P1453" s="9"/>
    </row>
    <row r="1454">
      <c r="A1454" s="6" t="s">
        <v>3685</v>
      </c>
      <c r="B1454" s="6" t="s">
        <v>3529</v>
      </c>
      <c r="C1454" s="6" t="s">
        <v>43</v>
      </c>
      <c r="D1454" s="6" t="s">
        <v>3686</v>
      </c>
      <c r="E1454" s="6" t="s">
        <v>822</v>
      </c>
      <c r="F1454" s="6" t="s">
        <v>77</v>
      </c>
      <c r="G1454" s="7">
        <v>0.05</v>
      </c>
      <c r="H1454" s="6" t="s">
        <v>3687</v>
      </c>
      <c r="I1454" s="6" t="s">
        <v>20</v>
      </c>
      <c r="J1454" s="6">
        <v>1995.0</v>
      </c>
      <c r="K1454" s="10">
        <v>46056.0</v>
      </c>
      <c r="L1454" s="6">
        <v>4.0</v>
      </c>
      <c r="M1454" s="8">
        <f t="shared" si="2"/>
        <v>0.2</v>
      </c>
      <c r="P1454" s="9"/>
    </row>
    <row r="1455">
      <c r="A1455" s="6" t="s">
        <v>3688</v>
      </c>
      <c r="B1455" s="6" t="s">
        <v>606</v>
      </c>
      <c r="C1455" s="6" t="s">
        <v>23</v>
      </c>
      <c r="D1455" s="6" t="s">
        <v>3689</v>
      </c>
      <c r="E1455" s="6" t="s">
        <v>509</v>
      </c>
      <c r="F1455" s="6" t="s">
        <v>87</v>
      </c>
      <c r="G1455" s="7">
        <v>0.14</v>
      </c>
      <c r="H1455" s="6" t="s">
        <v>153</v>
      </c>
      <c r="I1455" s="6" t="s">
        <v>20</v>
      </c>
      <c r="J1455" s="6">
        <v>2025.0</v>
      </c>
      <c r="L1455" s="6">
        <v>6.0</v>
      </c>
      <c r="M1455" s="8">
        <f t="shared" si="2"/>
        <v>0.84</v>
      </c>
      <c r="P1455" s="9"/>
    </row>
    <row r="1456">
      <c r="A1456" s="6" t="s">
        <v>3690</v>
      </c>
      <c r="B1456" s="6" t="s">
        <v>412</v>
      </c>
      <c r="C1456" s="6" t="s">
        <v>30</v>
      </c>
      <c r="D1456" s="6" t="s">
        <v>3691</v>
      </c>
      <c r="E1456" s="6" t="s">
        <v>57</v>
      </c>
      <c r="F1456" s="6" t="s">
        <v>40</v>
      </c>
      <c r="G1456" s="7">
        <v>0.35</v>
      </c>
      <c r="H1456" s="6" t="s">
        <v>1687</v>
      </c>
      <c r="I1456" s="6" t="s">
        <v>20</v>
      </c>
      <c r="J1456" s="6">
        <v>2001.0</v>
      </c>
      <c r="K1456" s="10">
        <v>46084.0</v>
      </c>
      <c r="L1456" s="6">
        <v>1.0</v>
      </c>
      <c r="M1456" s="8">
        <f t="shared" si="2"/>
        <v>0.35</v>
      </c>
      <c r="P1456" s="9"/>
    </row>
    <row r="1457">
      <c r="A1457" s="6" t="s">
        <v>3692</v>
      </c>
      <c r="B1457" s="6" t="s">
        <v>1577</v>
      </c>
      <c r="C1457" s="6" t="s">
        <v>43</v>
      </c>
      <c r="D1457" s="6" t="s">
        <v>3693</v>
      </c>
      <c r="F1457" s="6" t="s">
        <v>26</v>
      </c>
      <c r="G1457" s="7">
        <v>0.18</v>
      </c>
      <c r="H1457" s="6" t="s">
        <v>1148</v>
      </c>
      <c r="I1457" s="6" t="s">
        <v>20</v>
      </c>
      <c r="J1457" s="6">
        <v>2012.0</v>
      </c>
      <c r="L1457" s="6">
        <v>2.0</v>
      </c>
      <c r="M1457" s="8">
        <f t="shared" si="2"/>
        <v>0.36</v>
      </c>
      <c r="P1457" s="9"/>
    </row>
    <row r="1458">
      <c r="A1458" s="6" t="s">
        <v>3694</v>
      </c>
      <c r="B1458" s="6" t="s">
        <v>2592</v>
      </c>
      <c r="C1458" s="6" t="s">
        <v>37</v>
      </c>
      <c r="D1458" s="6" t="s">
        <v>3695</v>
      </c>
      <c r="E1458" s="6" t="s">
        <v>2624</v>
      </c>
      <c r="F1458" s="6" t="s">
        <v>536</v>
      </c>
      <c r="G1458" s="7">
        <v>0.15</v>
      </c>
      <c r="H1458" s="6" t="s">
        <v>259</v>
      </c>
      <c r="I1458" s="6" t="s">
        <v>20</v>
      </c>
      <c r="J1458" s="6">
        <v>1996.0</v>
      </c>
      <c r="K1458" s="6" t="s">
        <v>3696</v>
      </c>
      <c r="L1458" s="6">
        <v>1.0</v>
      </c>
      <c r="M1458" s="8">
        <f t="shared" si="2"/>
        <v>0.15</v>
      </c>
      <c r="P1458" s="9"/>
    </row>
    <row r="1459">
      <c r="A1459" s="6" t="s">
        <v>3697</v>
      </c>
      <c r="B1459" s="6" t="s">
        <v>1471</v>
      </c>
      <c r="C1459" s="6" t="s">
        <v>37</v>
      </c>
      <c r="D1459" s="6" t="s">
        <v>3698</v>
      </c>
      <c r="E1459" s="6" t="s">
        <v>356</v>
      </c>
      <c r="F1459" s="6" t="s">
        <v>87</v>
      </c>
      <c r="G1459" s="7">
        <v>0.19</v>
      </c>
      <c r="H1459" s="6" t="s">
        <v>113</v>
      </c>
      <c r="I1459" s="6" t="s">
        <v>20</v>
      </c>
      <c r="J1459" s="6">
        <v>2023.0</v>
      </c>
      <c r="K1459" s="10">
        <v>46147.0</v>
      </c>
      <c r="L1459" s="6">
        <v>1.0</v>
      </c>
      <c r="M1459" s="8">
        <f t="shared" si="2"/>
        <v>0.19</v>
      </c>
      <c r="P1459" s="9"/>
    </row>
    <row r="1460">
      <c r="A1460" s="6" t="s">
        <v>3699</v>
      </c>
      <c r="B1460" s="6" t="s">
        <v>3700</v>
      </c>
      <c r="C1460" s="6" t="s">
        <v>61</v>
      </c>
      <c r="D1460" s="6" t="s">
        <v>3701</v>
      </c>
      <c r="E1460" s="6" t="s">
        <v>2030</v>
      </c>
      <c r="F1460" s="6" t="s">
        <v>40</v>
      </c>
      <c r="G1460" s="7">
        <v>2.48</v>
      </c>
      <c r="H1460" s="6" t="s">
        <v>3245</v>
      </c>
      <c r="I1460" s="6" t="s">
        <v>20</v>
      </c>
      <c r="J1460" s="6">
        <v>1995.0</v>
      </c>
      <c r="K1460" s="10">
        <v>46144.0</v>
      </c>
      <c r="L1460" s="6">
        <v>1.0</v>
      </c>
      <c r="M1460" s="8">
        <f t="shared" si="2"/>
        <v>2.48</v>
      </c>
      <c r="N1460" s="6" t="s">
        <v>122</v>
      </c>
      <c r="P1460" s="9"/>
    </row>
    <row r="1461">
      <c r="A1461" s="6" t="s">
        <v>3702</v>
      </c>
      <c r="B1461" s="6" t="s">
        <v>74</v>
      </c>
      <c r="C1461" s="6" t="s">
        <v>43</v>
      </c>
      <c r="D1461" s="6" t="s">
        <v>3703</v>
      </c>
      <c r="E1461" s="6" t="s">
        <v>164</v>
      </c>
      <c r="F1461" s="6" t="s">
        <v>112</v>
      </c>
      <c r="G1461" s="7">
        <v>0.06</v>
      </c>
      <c r="H1461" s="6" t="s">
        <v>531</v>
      </c>
      <c r="I1461" s="6" t="s">
        <v>20</v>
      </c>
      <c r="J1461" s="6">
        <v>2017.0</v>
      </c>
      <c r="L1461" s="6">
        <v>1.0</v>
      </c>
      <c r="M1461" s="8">
        <f t="shared" si="2"/>
        <v>0.06</v>
      </c>
      <c r="P1461" s="9"/>
    </row>
    <row r="1462">
      <c r="A1462" s="6" t="s">
        <v>3704</v>
      </c>
      <c r="B1462" s="6" t="s">
        <v>3705</v>
      </c>
      <c r="C1462" s="6" t="s">
        <v>377</v>
      </c>
      <c r="D1462" s="6" t="s">
        <v>3706</v>
      </c>
      <c r="E1462" s="6" t="s">
        <v>3707</v>
      </c>
      <c r="F1462" s="6" t="s">
        <v>3181</v>
      </c>
      <c r="G1462" s="7">
        <v>0.1</v>
      </c>
      <c r="H1462" s="7" t="s">
        <v>746</v>
      </c>
      <c r="I1462" s="6" t="s">
        <v>20</v>
      </c>
      <c r="J1462" s="6">
        <v>2024.0</v>
      </c>
      <c r="K1462" s="10">
        <v>46056.0</v>
      </c>
      <c r="L1462" s="6">
        <v>1.0</v>
      </c>
      <c r="M1462" s="8">
        <f t="shared" si="2"/>
        <v>0.1</v>
      </c>
      <c r="P1462" s="9"/>
    </row>
    <row r="1463">
      <c r="A1463" s="6" t="s">
        <v>3708</v>
      </c>
      <c r="B1463" s="6" t="s">
        <v>3709</v>
      </c>
      <c r="C1463" s="6" t="s">
        <v>43</v>
      </c>
      <c r="D1463" s="6" t="s">
        <v>3710</v>
      </c>
      <c r="E1463" s="6" t="s">
        <v>98</v>
      </c>
      <c r="F1463" s="6" t="s">
        <v>18</v>
      </c>
      <c r="G1463" s="7">
        <v>0.07</v>
      </c>
      <c r="H1463" s="6" t="s">
        <v>1148</v>
      </c>
      <c r="I1463" s="6" t="s">
        <v>20</v>
      </c>
      <c r="J1463" s="6">
        <v>2012.0</v>
      </c>
      <c r="K1463" s="10">
        <v>46176.0</v>
      </c>
      <c r="L1463" s="6">
        <v>2.0</v>
      </c>
      <c r="M1463" s="8">
        <f t="shared" si="2"/>
        <v>0.14</v>
      </c>
      <c r="P1463" s="9"/>
    </row>
    <row r="1464">
      <c r="A1464" s="6" t="s">
        <v>3711</v>
      </c>
      <c r="B1464" s="6" t="s">
        <v>91</v>
      </c>
      <c r="C1464" s="6" t="s">
        <v>43</v>
      </c>
      <c r="D1464" s="6" t="s">
        <v>3712</v>
      </c>
      <c r="E1464" s="6" t="s">
        <v>1027</v>
      </c>
      <c r="F1464" s="6" t="s">
        <v>77</v>
      </c>
      <c r="G1464" s="7">
        <v>0.04</v>
      </c>
      <c r="H1464" s="6" t="s">
        <v>2033</v>
      </c>
      <c r="I1464" s="6" t="s">
        <v>20</v>
      </c>
      <c r="J1464" s="6">
        <v>2019.0</v>
      </c>
      <c r="K1464" s="10">
        <v>46055.0</v>
      </c>
      <c r="L1464" s="6">
        <v>1.0</v>
      </c>
      <c r="M1464" s="8">
        <f t="shared" si="2"/>
        <v>0.04</v>
      </c>
      <c r="P1464" s="9"/>
    </row>
    <row r="1465">
      <c r="A1465" s="6" t="s">
        <v>3713</v>
      </c>
      <c r="B1465" s="6" t="s">
        <v>603</v>
      </c>
      <c r="C1465" s="6" t="s">
        <v>43</v>
      </c>
      <c r="D1465" s="6" t="s">
        <v>3714</v>
      </c>
      <c r="E1465" s="6" t="s">
        <v>125</v>
      </c>
      <c r="F1465" s="6" t="s">
        <v>40</v>
      </c>
      <c r="G1465" s="7">
        <v>0.13</v>
      </c>
      <c r="H1465" s="6" t="s">
        <v>88</v>
      </c>
      <c r="I1465" s="6" t="s">
        <v>20</v>
      </c>
      <c r="J1465" s="6">
        <v>2024.0</v>
      </c>
      <c r="K1465" s="10">
        <v>46023.0</v>
      </c>
      <c r="L1465" s="6">
        <v>3.0</v>
      </c>
      <c r="M1465" s="8">
        <f t="shared" si="2"/>
        <v>0.39</v>
      </c>
      <c r="P1465" s="9"/>
    </row>
    <row r="1466">
      <c r="A1466" s="6" t="s">
        <v>3715</v>
      </c>
      <c r="B1466" s="6" t="s">
        <v>74</v>
      </c>
      <c r="C1466" s="6" t="s">
        <v>43</v>
      </c>
      <c r="D1466" s="6" t="s">
        <v>3716</v>
      </c>
      <c r="E1466" s="6" t="s">
        <v>86</v>
      </c>
      <c r="F1466" s="6" t="s">
        <v>87</v>
      </c>
      <c r="G1466" s="7">
        <v>0.06</v>
      </c>
      <c r="H1466" s="6" t="s">
        <v>290</v>
      </c>
      <c r="I1466" s="6" t="s">
        <v>20</v>
      </c>
      <c r="J1466" s="6">
        <v>2019.0</v>
      </c>
      <c r="L1466" s="6">
        <v>1.0</v>
      </c>
      <c r="M1466" s="8">
        <f t="shared" si="2"/>
        <v>0.06</v>
      </c>
      <c r="P1466" s="9"/>
    </row>
    <row r="1467">
      <c r="A1467" s="6" t="s">
        <v>3717</v>
      </c>
      <c r="B1467" s="6" t="s">
        <v>3718</v>
      </c>
      <c r="C1467" s="6" t="s">
        <v>23</v>
      </c>
      <c r="D1467" s="6" t="s">
        <v>3719</v>
      </c>
      <c r="E1467" s="6" t="s">
        <v>3720</v>
      </c>
      <c r="F1467" s="6" t="s">
        <v>1811</v>
      </c>
      <c r="G1467" s="7">
        <v>0.1</v>
      </c>
      <c r="H1467" s="6" t="s">
        <v>3721</v>
      </c>
      <c r="I1467" s="6" t="s">
        <v>20</v>
      </c>
      <c r="J1467" s="6">
        <v>2025.0</v>
      </c>
      <c r="K1467" s="10">
        <v>46023.0</v>
      </c>
      <c r="L1467" s="6">
        <v>6.0</v>
      </c>
      <c r="M1467" s="8">
        <f t="shared" si="2"/>
        <v>0.6</v>
      </c>
      <c r="P1467" s="9"/>
    </row>
    <row r="1468">
      <c r="A1468" s="6" t="s">
        <v>3717</v>
      </c>
      <c r="B1468" s="6" t="s">
        <v>3718</v>
      </c>
      <c r="C1468" s="6" t="s">
        <v>23</v>
      </c>
      <c r="D1468" s="6" t="s">
        <v>3719</v>
      </c>
      <c r="E1468" s="6" t="s">
        <v>3720</v>
      </c>
      <c r="F1468" s="6" t="s">
        <v>1811</v>
      </c>
      <c r="G1468" s="7">
        <v>0.1</v>
      </c>
      <c r="H1468" s="6" t="s">
        <v>3721</v>
      </c>
      <c r="I1468" s="6" t="s">
        <v>45</v>
      </c>
      <c r="J1468" s="6">
        <v>2025.0</v>
      </c>
      <c r="K1468" s="10">
        <v>46023.0</v>
      </c>
      <c r="L1468" s="6">
        <v>11.0</v>
      </c>
      <c r="M1468" s="8">
        <f t="shared" si="2"/>
        <v>1.1</v>
      </c>
      <c r="P1468" s="9"/>
    </row>
    <row r="1469">
      <c r="A1469" s="6" t="s">
        <v>3722</v>
      </c>
      <c r="B1469" s="6" t="s">
        <v>396</v>
      </c>
      <c r="C1469" s="6" t="s">
        <v>43</v>
      </c>
      <c r="D1469" s="6" t="s">
        <v>3723</v>
      </c>
      <c r="E1469" s="6" t="s">
        <v>215</v>
      </c>
      <c r="F1469" s="6" t="s">
        <v>26</v>
      </c>
      <c r="G1469" s="7">
        <v>0.09</v>
      </c>
      <c r="H1469" s="6" t="s">
        <v>460</v>
      </c>
      <c r="I1469" s="6" t="s">
        <v>20</v>
      </c>
      <c r="J1469" s="6">
        <v>2015.0</v>
      </c>
      <c r="L1469" s="6">
        <v>1.0</v>
      </c>
      <c r="M1469" s="8">
        <f t="shared" si="2"/>
        <v>0.09</v>
      </c>
      <c r="P1469" s="9"/>
    </row>
    <row r="1470">
      <c r="A1470" s="6" t="s">
        <v>3724</v>
      </c>
      <c r="B1470" s="6" t="s">
        <v>3725</v>
      </c>
      <c r="C1470" s="6" t="s">
        <v>37</v>
      </c>
      <c r="D1470" s="6" t="s">
        <v>3726</v>
      </c>
      <c r="E1470" s="6" t="s">
        <v>3727</v>
      </c>
      <c r="F1470" s="6" t="s">
        <v>71</v>
      </c>
      <c r="G1470" s="7">
        <v>0.15</v>
      </c>
      <c r="H1470" s="6" t="s">
        <v>34</v>
      </c>
      <c r="I1470" s="6" t="s">
        <v>20</v>
      </c>
      <c r="J1470" s="6">
        <v>2025.0</v>
      </c>
      <c r="K1470" s="10">
        <v>46084.0</v>
      </c>
      <c r="L1470" s="6">
        <v>1.0</v>
      </c>
      <c r="M1470" s="8">
        <f t="shared" si="2"/>
        <v>0.15</v>
      </c>
      <c r="P1470" s="9"/>
    </row>
    <row r="1471">
      <c r="A1471" s="6" t="s">
        <v>3728</v>
      </c>
      <c r="B1471" s="6" t="s">
        <v>1115</v>
      </c>
      <c r="C1471" s="6" t="s">
        <v>377</v>
      </c>
      <c r="D1471" s="6" t="s">
        <v>3729</v>
      </c>
      <c r="E1471" s="6" t="s">
        <v>176</v>
      </c>
      <c r="F1471" s="6" t="s">
        <v>77</v>
      </c>
      <c r="G1471" s="7">
        <v>0.1</v>
      </c>
      <c r="H1471" s="6" t="s">
        <v>471</v>
      </c>
      <c r="I1471" s="6" t="s">
        <v>20</v>
      </c>
      <c r="J1471" s="6">
        <v>2026.0</v>
      </c>
      <c r="K1471" s="10">
        <v>46116.0</v>
      </c>
      <c r="L1471" s="6">
        <v>1.0</v>
      </c>
      <c r="M1471" s="8">
        <f t="shared" si="2"/>
        <v>0.1</v>
      </c>
      <c r="P1471" s="9"/>
    </row>
    <row r="1472">
      <c r="A1472" s="6" t="s">
        <v>3730</v>
      </c>
      <c r="B1472" s="6" t="s">
        <v>365</v>
      </c>
      <c r="C1472" s="6" t="s">
        <v>156</v>
      </c>
      <c r="D1472" s="6" t="s">
        <v>3731</v>
      </c>
      <c r="E1472" s="6" t="s">
        <v>3428</v>
      </c>
      <c r="F1472" s="6" t="s">
        <v>87</v>
      </c>
      <c r="G1472" s="7">
        <v>0.42</v>
      </c>
      <c r="H1472" s="6" t="s">
        <v>130</v>
      </c>
      <c r="I1472" s="6" t="s">
        <v>20</v>
      </c>
      <c r="J1472" s="6">
        <v>2014.0</v>
      </c>
      <c r="K1472" s="10">
        <v>46116.0</v>
      </c>
      <c r="L1472" s="6">
        <v>1.0</v>
      </c>
      <c r="M1472" s="8">
        <f t="shared" si="2"/>
        <v>0.42</v>
      </c>
      <c r="P1472" s="9"/>
    </row>
    <row r="1473">
      <c r="A1473" s="6" t="s">
        <v>3732</v>
      </c>
      <c r="B1473" s="6" t="s">
        <v>3065</v>
      </c>
      <c r="C1473" s="6" t="s">
        <v>15</v>
      </c>
      <c r="D1473" s="6" t="s">
        <v>3733</v>
      </c>
      <c r="E1473" s="6" t="s">
        <v>129</v>
      </c>
      <c r="F1473" s="6" t="s">
        <v>87</v>
      </c>
      <c r="G1473" s="7">
        <v>0.17</v>
      </c>
      <c r="H1473" s="6" t="s">
        <v>130</v>
      </c>
      <c r="I1473" s="6" t="s">
        <v>20</v>
      </c>
      <c r="J1473" s="6">
        <v>2014.0</v>
      </c>
      <c r="K1473" s="10">
        <v>46055.0</v>
      </c>
      <c r="L1473" s="6">
        <v>1.0</v>
      </c>
      <c r="M1473" s="8">
        <f t="shared" si="2"/>
        <v>0.17</v>
      </c>
      <c r="P1473" s="9"/>
    </row>
    <row r="1474">
      <c r="A1474" s="6" t="s">
        <v>3734</v>
      </c>
      <c r="B1474" s="6" t="s">
        <v>192</v>
      </c>
      <c r="C1474" s="6" t="s">
        <v>30</v>
      </c>
      <c r="D1474" s="6" t="s">
        <v>3735</v>
      </c>
      <c r="E1474" s="6" t="s">
        <v>215</v>
      </c>
      <c r="F1474" s="6" t="s">
        <v>26</v>
      </c>
      <c r="G1474" s="7">
        <v>0.63</v>
      </c>
      <c r="H1474" s="6" t="s">
        <v>324</v>
      </c>
      <c r="I1474" s="6" t="s">
        <v>20</v>
      </c>
      <c r="J1474" s="6">
        <v>1995.0</v>
      </c>
      <c r="L1474" s="6">
        <v>1.0</v>
      </c>
      <c r="M1474" s="8">
        <f t="shared" si="2"/>
        <v>0.63</v>
      </c>
      <c r="P1474" s="9"/>
    </row>
    <row r="1475">
      <c r="A1475" s="6" t="s">
        <v>3736</v>
      </c>
      <c r="B1475" s="6" t="s">
        <v>494</v>
      </c>
      <c r="C1475" s="6" t="s">
        <v>43</v>
      </c>
      <c r="D1475" s="6" t="s">
        <v>3737</v>
      </c>
      <c r="E1475" s="6" t="s">
        <v>3738</v>
      </c>
      <c r="F1475" s="6" t="s">
        <v>536</v>
      </c>
      <c r="G1475" s="7">
        <v>16.0</v>
      </c>
      <c r="H1475" s="6" t="s">
        <v>1048</v>
      </c>
      <c r="I1475" s="6" t="s">
        <v>20</v>
      </c>
      <c r="J1475" s="6">
        <v>2008.0</v>
      </c>
      <c r="L1475" s="6">
        <v>1.0</v>
      </c>
      <c r="M1475" s="8">
        <f t="shared" si="2"/>
        <v>16</v>
      </c>
      <c r="P1475" s="9"/>
    </row>
    <row r="1476">
      <c r="A1476" s="6" t="s">
        <v>3739</v>
      </c>
      <c r="B1476" s="6" t="s">
        <v>3318</v>
      </c>
      <c r="C1476" s="6" t="s">
        <v>43</v>
      </c>
      <c r="D1476" s="6" t="s">
        <v>3740</v>
      </c>
      <c r="E1476" s="6" t="s">
        <v>135</v>
      </c>
      <c r="F1476" s="6" t="s">
        <v>40</v>
      </c>
      <c r="G1476" s="7">
        <v>0.15</v>
      </c>
      <c r="H1476" s="6" t="s">
        <v>88</v>
      </c>
      <c r="I1476" s="6" t="s">
        <v>20</v>
      </c>
      <c r="J1476" s="6">
        <v>2024.0</v>
      </c>
      <c r="K1476" s="10">
        <v>46023.0</v>
      </c>
      <c r="L1476" s="6">
        <v>3.0</v>
      </c>
      <c r="M1476" s="8">
        <f t="shared" si="2"/>
        <v>0.45</v>
      </c>
      <c r="P1476" s="9"/>
    </row>
    <row r="1477">
      <c r="A1477" s="6" t="s">
        <v>3741</v>
      </c>
      <c r="B1477" s="6" t="s">
        <v>219</v>
      </c>
      <c r="C1477" s="6" t="s">
        <v>37</v>
      </c>
      <c r="D1477" s="6" t="s">
        <v>3742</v>
      </c>
      <c r="E1477" s="6" t="s">
        <v>25</v>
      </c>
      <c r="F1477" s="6" t="s">
        <v>26</v>
      </c>
      <c r="G1477" s="7">
        <v>0.2</v>
      </c>
      <c r="H1477" s="6" t="s">
        <v>187</v>
      </c>
      <c r="I1477" s="6" t="s">
        <v>20</v>
      </c>
      <c r="J1477" s="6">
        <v>1995.0</v>
      </c>
      <c r="L1477" s="6">
        <v>1.0</v>
      </c>
      <c r="M1477" s="8">
        <f t="shared" si="2"/>
        <v>0.2</v>
      </c>
      <c r="P1477" s="9"/>
    </row>
    <row r="1478">
      <c r="A1478" s="6" t="s">
        <v>3743</v>
      </c>
      <c r="B1478" s="6" t="s">
        <v>3744</v>
      </c>
      <c r="C1478" s="6" t="s">
        <v>37</v>
      </c>
      <c r="D1478" s="6" t="s">
        <v>3745</v>
      </c>
      <c r="E1478" s="6" t="s">
        <v>994</v>
      </c>
      <c r="F1478" s="6" t="s">
        <v>26</v>
      </c>
      <c r="G1478" s="7">
        <v>0.13</v>
      </c>
      <c r="H1478" s="6" t="s">
        <v>136</v>
      </c>
      <c r="I1478" s="6" t="s">
        <v>20</v>
      </c>
      <c r="J1478" s="6">
        <v>2026.0</v>
      </c>
      <c r="K1478" s="10">
        <v>46083.0</v>
      </c>
      <c r="L1478" s="6">
        <v>2.0</v>
      </c>
      <c r="M1478" s="8">
        <f t="shared" si="2"/>
        <v>0.26</v>
      </c>
      <c r="P1478" s="9"/>
    </row>
    <row r="1479">
      <c r="A1479" s="6" t="s">
        <v>3746</v>
      </c>
      <c r="B1479" s="6" t="s">
        <v>3747</v>
      </c>
      <c r="C1479" s="6" t="s">
        <v>37</v>
      </c>
      <c r="D1479" s="6" t="s">
        <v>3748</v>
      </c>
      <c r="E1479" s="6" t="s">
        <v>164</v>
      </c>
      <c r="F1479" s="6" t="s">
        <v>159</v>
      </c>
      <c r="G1479" s="7">
        <v>0.07</v>
      </c>
      <c r="H1479" s="6" t="s">
        <v>655</v>
      </c>
      <c r="I1479" s="6" t="s">
        <v>20</v>
      </c>
      <c r="J1479" s="6">
        <v>2023.0</v>
      </c>
      <c r="K1479" s="10">
        <v>46082.0</v>
      </c>
      <c r="L1479" s="6">
        <v>1.0</v>
      </c>
      <c r="M1479" s="8">
        <f t="shared" si="2"/>
        <v>0.07</v>
      </c>
      <c r="P1479" s="9"/>
    </row>
    <row r="1480">
      <c r="A1480" s="6" t="s">
        <v>3749</v>
      </c>
      <c r="B1480" s="6" t="s">
        <v>3750</v>
      </c>
      <c r="C1480" s="6" t="s">
        <v>37</v>
      </c>
      <c r="D1480" s="6" t="s">
        <v>3751</v>
      </c>
      <c r="E1480" s="6" t="s">
        <v>1939</v>
      </c>
      <c r="F1480" s="6" t="s">
        <v>977</v>
      </c>
      <c r="G1480" s="7">
        <v>0.24</v>
      </c>
      <c r="H1480" s="6" t="s">
        <v>34</v>
      </c>
      <c r="I1480" s="6" t="s">
        <v>20</v>
      </c>
      <c r="J1480" s="6">
        <v>2025.0</v>
      </c>
      <c r="K1480" s="10">
        <v>46083.0</v>
      </c>
      <c r="L1480" s="6">
        <v>1.0</v>
      </c>
      <c r="M1480" s="8">
        <f t="shared" si="2"/>
        <v>0.24</v>
      </c>
      <c r="P1480" s="9"/>
    </row>
    <row r="1481">
      <c r="A1481" s="6" t="s">
        <v>3752</v>
      </c>
      <c r="B1481" s="6" t="s">
        <v>371</v>
      </c>
      <c r="C1481" s="6" t="s">
        <v>43</v>
      </c>
      <c r="D1481" s="6" t="s">
        <v>3753</v>
      </c>
      <c r="E1481" s="6" t="s">
        <v>256</v>
      </c>
      <c r="F1481" s="6" t="s">
        <v>87</v>
      </c>
      <c r="G1481" s="7">
        <v>0.06</v>
      </c>
      <c r="H1481" s="6" t="s">
        <v>270</v>
      </c>
      <c r="I1481" s="6" t="s">
        <v>20</v>
      </c>
      <c r="J1481" s="6">
        <v>2022.0</v>
      </c>
      <c r="K1481" s="10">
        <v>46056.0</v>
      </c>
      <c r="L1481" s="6">
        <v>1.0</v>
      </c>
      <c r="M1481" s="8">
        <f t="shared" si="2"/>
        <v>0.06</v>
      </c>
      <c r="P1481" s="9"/>
    </row>
    <row r="1482">
      <c r="A1482" s="6" t="s">
        <v>3754</v>
      </c>
      <c r="B1482" s="6" t="s">
        <v>3755</v>
      </c>
      <c r="C1482" s="6" t="s">
        <v>30</v>
      </c>
      <c r="D1482" s="6" t="s">
        <v>3756</v>
      </c>
      <c r="E1482" s="6" t="s">
        <v>111</v>
      </c>
      <c r="F1482" s="6" t="s">
        <v>112</v>
      </c>
      <c r="G1482" s="7">
        <v>0.38</v>
      </c>
      <c r="H1482" s="7" t="s">
        <v>249</v>
      </c>
      <c r="I1482" s="6" t="s">
        <v>20</v>
      </c>
      <c r="J1482" s="6">
        <v>2014.0</v>
      </c>
      <c r="K1482" s="6" t="s">
        <v>527</v>
      </c>
      <c r="L1482" s="6">
        <v>1.0</v>
      </c>
      <c r="M1482" s="8">
        <f t="shared" si="2"/>
        <v>0.38</v>
      </c>
      <c r="P1482" s="9"/>
    </row>
    <row r="1483">
      <c r="A1483" s="6" t="s">
        <v>3757</v>
      </c>
      <c r="B1483" s="6" t="s">
        <v>606</v>
      </c>
      <c r="C1483" s="6" t="s">
        <v>15</v>
      </c>
      <c r="D1483" s="6" t="s">
        <v>3758</v>
      </c>
      <c r="E1483" s="6" t="s">
        <v>277</v>
      </c>
      <c r="F1483" s="6" t="s">
        <v>112</v>
      </c>
      <c r="G1483" s="7">
        <v>0.02</v>
      </c>
      <c r="H1483" s="6" t="s">
        <v>342</v>
      </c>
      <c r="I1483" s="6" t="s">
        <v>20</v>
      </c>
      <c r="J1483" s="6">
        <v>2014.0</v>
      </c>
      <c r="L1483" s="6">
        <v>3.0</v>
      </c>
      <c r="M1483" s="8">
        <f t="shared" si="2"/>
        <v>0.06</v>
      </c>
      <c r="P1483" s="9"/>
    </row>
    <row r="1484">
      <c r="A1484" s="6" t="s">
        <v>3759</v>
      </c>
      <c r="B1484" s="6" t="s">
        <v>603</v>
      </c>
      <c r="C1484" s="6" t="s">
        <v>43</v>
      </c>
      <c r="D1484" s="6" t="s">
        <v>3760</v>
      </c>
      <c r="E1484" s="6" t="s">
        <v>39</v>
      </c>
      <c r="F1484" s="6" t="s">
        <v>40</v>
      </c>
      <c r="G1484" s="7">
        <v>0.09</v>
      </c>
      <c r="H1484" s="6" t="s">
        <v>89</v>
      </c>
      <c r="I1484" s="6" t="s">
        <v>20</v>
      </c>
      <c r="J1484" s="6">
        <v>2021.0</v>
      </c>
      <c r="K1484" s="10">
        <v>46083.0</v>
      </c>
      <c r="L1484" s="6">
        <v>1.0</v>
      </c>
      <c r="M1484" s="8">
        <f t="shared" si="2"/>
        <v>0.09</v>
      </c>
      <c r="P1484" s="9"/>
    </row>
    <row r="1485">
      <c r="A1485" s="6" t="s">
        <v>3761</v>
      </c>
      <c r="B1485" s="6" t="s">
        <v>115</v>
      </c>
      <c r="C1485" s="6" t="s">
        <v>156</v>
      </c>
      <c r="D1485" s="6" t="s">
        <v>3762</v>
      </c>
      <c r="E1485" s="6" t="s">
        <v>2835</v>
      </c>
      <c r="F1485" s="6" t="s">
        <v>77</v>
      </c>
      <c r="G1485" s="7">
        <v>4.0</v>
      </c>
      <c r="H1485" s="6" t="s">
        <v>3763</v>
      </c>
      <c r="I1485" s="6" t="s">
        <v>20</v>
      </c>
      <c r="J1485" s="6">
        <v>2025.0</v>
      </c>
      <c r="L1485" s="6">
        <v>1.0</v>
      </c>
      <c r="M1485" s="8">
        <f t="shared" si="2"/>
        <v>4</v>
      </c>
      <c r="P1485" s="9"/>
    </row>
    <row r="1486">
      <c r="A1486" s="6" t="s">
        <v>3764</v>
      </c>
      <c r="B1486" s="6" t="s">
        <v>396</v>
      </c>
      <c r="C1486" s="6" t="s">
        <v>37</v>
      </c>
      <c r="D1486" s="6" t="s">
        <v>3765</v>
      </c>
      <c r="E1486" s="6" t="s">
        <v>86</v>
      </c>
      <c r="F1486" s="6" t="s">
        <v>87</v>
      </c>
      <c r="G1486" s="7">
        <v>0.1</v>
      </c>
      <c r="H1486" s="6" t="s">
        <v>787</v>
      </c>
      <c r="I1486" s="6" t="s">
        <v>20</v>
      </c>
      <c r="J1486" s="6">
        <v>2023.0</v>
      </c>
      <c r="L1486" s="6">
        <v>1.0</v>
      </c>
      <c r="M1486" s="8">
        <f t="shared" si="2"/>
        <v>0.1</v>
      </c>
      <c r="P1486" s="9"/>
    </row>
    <row r="1487">
      <c r="A1487" s="6" t="s">
        <v>3766</v>
      </c>
      <c r="B1487" s="6" t="s">
        <v>685</v>
      </c>
      <c r="C1487" s="6" t="s">
        <v>30</v>
      </c>
      <c r="D1487" s="6" t="s">
        <v>3767</v>
      </c>
      <c r="E1487" s="6" t="s">
        <v>1417</v>
      </c>
      <c r="F1487" s="6" t="s">
        <v>71</v>
      </c>
      <c r="G1487" s="7">
        <v>0.25</v>
      </c>
      <c r="H1487" s="6" t="s">
        <v>65</v>
      </c>
      <c r="I1487" s="6" t="s">
        <v>20</v>
      </c>
      <c r="J1487" s="6">
        <v>2013.0</v>
      </c>
      <c r="K1487" s="10">
        <v>46023.0</v>
      </c>
      <c r="L1487" s="6">
        <v>1.0</v>
      </c>
      <c r="M1487" s="8">
        <f t="shared" si="2"/>
        <v>0.25</v>
      </c>
      <c r="P1487" s="9"/>
    </row>
    <row r="1488">
      <c r="A1488" s="6" t="s">
        <v>3768</v>
      </c>
      <c r="B1488" s="6" t="s">
        <v>2814</v>
      </c>
      <c r="C1488" s="6" t="s">
        <v>43</v>
      </c>
      <c r="D1488" s="6" t="s">
        <v>3769</v>
      </c>
      <c r="E1488" s="6" t="s">
        <v>57</v>
      </c>
      <c r="F1488" s="6" t="s">
        <v>40</v>
      </c>
      <c r="G1488" s="7">
        <v>0.05</v>
      </c>
      <c r="H1488" s="6" t="s">
        <v>136</v>
      </c>
      <c r="I1488" s="6" t="s">
        <v>20</v>
      </c>
      <c r="J1488" s="6">
        <v>2026.0</v>
      </c>
      <c r="K1488" s="10">
        <v>46083.0</v>
      </c>
      <c r="L1488" s="6">
        <v>7.0</v>
      </c>
      <c r="M1488" s="8">
        <f t="shared" si="2"/>
        <v>0.35</v>
      </c>
      <c r="P1488" s="9"/>
    </row>
    <row r="1489">
      <c r="A1489" s="6" t="s">
        <v>3770</v>
      </c>
      <c r="B1489" s="6" t="s">
        <v>2192</v>
      </c>
      <c r="C1489" s="6" t="s">
        <v>43</v>
      </c>
      <c r="D1489" s="6" t="s">
        <v>3771</v>
      </c>
      <c r="E1489" s="6" t="s">
        <v>822</v>
      </c>
      <c r="F1489" s="6" t="s">
        <v>77</v>
      </c>
      <c r="G1489" s="7">
        <v>0.07</v>
      </c>
      <c r="H1489" s="6" t="s">
        <v>1148</v>
      </c>
      <c r="I1489" s="6" t="s">
        <v>20</v>
      </c>
      <c r="J1489" s="6">
        <v>2012.0</v>
      </c>
      <c r="K1489" s="10">
        <v>46024.0</v>
      </c>
      <c r="L1489" s="6">
        <v>1.0</v>
      </c>
      <c r="M1489" s="8">
        <f t="shared" si="2"/>
        <v>0.07</v>
      </c>
      <c r="P1489" s="9"/>
    </row>
    <row r="1490">
      <c r="A1490" s="6" t="s">
        <v>3772</v>
      </c>
      <c r="B1490" s="6" t="s">
        <v>3447</v>
      </c>
      <c r="C1490" s="6" t="s">
        <v>43</v>
      </c>
      <c r="D1490" s="6" t="s">
        <v>3773</v>
      </c>
      <c r="E1490" s="6" t="s">
        <v>164</v>
      </c>
      <c r="F1490" s="6" t="s">
        <v>112</v>
      </c>
      <c r="G1490" s="7">
        <v>0.05</v>
      </c>
      <c r="H1490" s="6" t="s">
        <v>922</v>
      </c>
      <c r="I1490" s="6" t="s">
        <v>20</v>
      </c>
      <c r="J1490" s="6">
        <v>2014.0</v>
      </c>
      <c r="K1490" s="10">
        <v>46024.0</v>
      </c>
      <c r="L1490" s="6">
        <v>1.0</v>
      </c>
      <c r="M1490" s="8">
        <f t="shared" si="2"/>
        <v>0.05</v>
      </c>
      <c r="P1490" s="9"/>
    </row>
    <row r="1491">
      <c r="A1491" s="6" t="s">
        <v>3774</v>
      </c>
      <c r="B1491" s="6" t="s">
        <v>406</v>
      </c>
      <c r="C1491" s="6" t="s">
        <v>43</v>
      </c>
      <c r="D1491" s="6" t="s">
        <v>3775</v>
      </c>
      <c r="E1491" s="6" t="s">
        <v>654</v>
      </c>
      <c r="F1491" s="6" t="s">
        <v>18</v>
      </c>
      <c r="G1491" s="7">
        <v>0.03</v>
      </c>
      <c r="H1491" s="6" t="s">
        <v>506</v>
      </c>
      <c r="I1491" s="6" t="s">
        <v>20</v>
      </c>
      <c r="J1491" s="6">
        <v>2016.0</v>
      </c>
      <c r="K1491" s="10">
        <v>46116.0</v>
      </c>
      <c r="L1491" s="6">
        <v>2.0</v>
      </c>
      <c r="M1491" s="8">
        <f t="shared" si="2"/>
        <v>0.06</v>
      </c>
      <c r="P1491" s="9"/>
    </row>
    <row r="1492">
      <c r="A1492" s="6" t="s">
        <v>3776</v>
      </c>
      <c r="B1492" s="6" t="s">
        <v>861</v>
      </c>
      <c r="C1492" s="6" t="s">
        <v>43</v>
      </c>
      <c r="E1492" s="6" t="s">
        <v>389</v>
      </c>
      <c r="F1492" s="6" t="s">
        <v>87</v>
      </c>
      <c r="G1492" s="7">
        <v>0.05</v>
      </c>
      <c r="H1492" s="6" t="s">
        <v>324</v>
      </c>
      <c r="I1492" s="6" t="s">
        <v>20</v>
      </c>
      <c r="J1492" s="6">
        <v>1995.0</v>
      </c>
      <c r="K1492" s="10">
        <v>46055.0</v>
      </c>
      <c r="L1492" s="6">
        <v>2.0</v>
      </c>
      <c r="M1492" s="8">
        <f t="shared" si="2"/>
        <v>0.1</v>
      </c>
      <c r="P1492" s="9"/>
    </row>
    <row r="1493">
      <c r="A1493" s="6" t="s">
        <v>3776</v>
      </c>
      <c r="B1493" s="6" t="s">
        <v>861</v>
      </c>
      <c r="C1493" s="6" t="s">
        <v>43</v>
      </c>
      <c r="E1493" s="6" t="s">
        <v>389</v>
      </c>
      <c r="F1493" s="6" t="s">
        <v>87</v>
      </c>
      <c r="G1493" s="7">
        <v>0.08</v>
      </c>
      <c r="H1493" s="6" t="s">
        <v>316</v>
      </c>
      <c r="I1493" s="6" t="s">
        <v>20</v>
      </c>
      <c r="J1493" s="6">
        <v>1995.0</v>
      </c>
      <c r="K1493" s="10">
        <v>46055.0</v>
      </c>
      <c r="L1493" s="6">
        <v>3.0</v>
      </c>
      <c r="M1493" s="8">
        <f t="shared" si="2"/>
        <v>0.24</v>
      </c>
      <c r="P1493" s="9"/>
    </row>
    <row r="1494">
      <c r="A1494" s="6" t="s">
        <v>3776</v>
      </c>
      <c r="B1494" s="6" t="s">
        <v>861</v>
      </c>
      <c r="C1494" s="6" t="s">
        <v>43</v>
      </c>
      <c r="E1494" s="6" t="s">
        <v>389</v>
      </c>
      <c r="F1494" s="6" t="s">
        <v>87</v>
      </c>
      <c r="G1494" s="7">
        <v>0.09</v>
      </c>
      <c r="H1494" s="6" t="s">
        <v>453</v>
      </c>
      <c r="I1494" s="6" t="s">
        <v>20</v>
      </c>
      <c r="J1494" s="6">
        <v>1995.0</v>
      </c>
      <c r="K1494" s="10">
        <v>46055.0</v>
      </c>
      <c r="L1494" s="6">
        <v>2.0</v>
      </c>
      <c r="M1494" s="8">
        <f t="shared" si="2"/>
        <v>0.18</v>
      </c>
      <c r="P1494" s="9"/>
    </row>
    <row r="1495">
      <c r="A1495" s="6" t="s">
        <v>3777</v>
      </c>
      <c r="B1495" s="6" t="s">
        <v>872</v>
      </c>
      <c r="C1495" s="6" t="s">
        <v>23</v>
      </c>
      <c r="D1495" s="6" t="s">
        <v>3778</v>
      </c>
      <c r="E1495" s="6" t="s">
        <v>3268</v>
      </c>
      <c r="F1495" s="6" t="s">
        <v>87</v>
      </c>
      <c r="G1495" s="7">
        <v>0.05</v>
      </c>
      <c r="H1495" s="6" t="s">
        <v>153</v>
      </c>
      <c r="I1495" s="6" t="s">
        <v>20</v>
      </c>
      <c r="J1495" s="6">
        <v>2025.0</v>
      </c>
      <c r="K1495" s="10">
        <v>46117.0</v>
      </c>
      <c r="L1495" s="6">
        <v>4.0</v>
      </c>
      <c r="M1495" s="8">
        <f t="shared" si="2"/>
        <v>0.2</v>
      </c>
      <c r="P1495" s="9"/>
    </row>
    <row r="1496">
      <c r="A1496" s="6" t="s">
        <v>3777</v>
      </c>
      <c r="B1496" s="6" t="s">
        <v>872</v>
      </c>
      <c r="C1496" s="6" t="s">
        <v>23</v>
      </c>
      <c r="D1496" s="6" t="s">
        <v>3778</v>
      </c>
      <c r="E1496" s="6" t="s">
        <v>3268</v>
      </c>
      <c r="F1496" s="6" t="s">
        <v>87</v>
      </c>
      <c r="G1496" s="7">
        <v>0.35</v>
      </c>
      <c r="H1496" s="6" t="s">
        <v>153</v>
      </c>
      <c r="I1496" s="6" t="s">
        <v>45</v>
      </c>
      <c r="J1496" s="6">
        <v>2025.0</v>
      </c>
      <c r="K1496" s="10">
        <v>46117.0</v>
      </c>
      <c r="L1496" s="6">
        <v>1.0</v>
      </c>
      <c r="M1496" s="8">
        <f t="shared" si="2"/>
        <v>0.35</v>
      </c>
      <c r="P1496" s="9"/>
    </row>
    <row r="1497">
      <c r="A1497" s="6" t="s">
        <v>3779</v>
      </c>
      <c r="B1497" s="6" t="s">
        <v>1012</v>
      </c>
      <c r="C1497" s="6" t="s">
        <v>43</v>
      </c>
      <c r="D1497" s="6" t="s">
        <v>3780</v>
      </c>
      <c r="E1497" s="6" t="s">
        <v>256</v>
      </c>
      <c r="F1497" s="6" t="s">
        <v>87</v>
      </c>
      <c r="G1497" s="7">
        <v>0.08</v>
      </c>
      <c r="H1497" s="6" t="s">
        <v>3781</v>
      </c>
      <c r="I1497" s="6" t="s">
        <v>20</v>
      </c>
      <c r="J1497" s="6">
        <v>2008.0</v>
      </c>
      <c r="K1497" s="10">
        <v>46025.0</v>
      </c>
      <c r="L1497" s="6">
        <v>2.0</v>
      </c>
      <c r="M1497" s="8">
        <f t="shared" si="2"/>
        <v>0.16</v>
      </c>
      <c r="P1497" s="9"/>
    </row>
    <row r="1498">
      <c r="A1498" s="6" t="s">
        <v>3782</v>
      </c>
      <c r="B1498" s="6" t="s">
        <v>3102</v>
      </c>
      <c r="C1498" s="6" t="s">
        <v>43</v>
      </c>
      <c r="D1498" s="6" t="s">
        <v>3103</v>
      </c>
      <c r="E1498" s="6" t="s">
        <v>248</v>
      </c>
      <c r="F1498" s="6" t="s">
        <v>77</v>
      </c>
      <c r="G1498" s="7">
        <v>0.07</v>
      </c>
      <c r="H1498" s="6" t="s">
        <v>187</v>
      </c>
      <c r="I1498" s="6" t="s">
        <v>20</v>
      </c>
      <c r="J1498" s="6">
        <v>1995.0</v>
      </c>
      <c r="K1498" s="10">
        <v>46054.0</v>
      </c>
      <c r="L1498" s="6">
        <v>2.0</v>
      </c>
      <c r="M1498" s="8">
        <f t="shared" si="2"/>
        <v>0.14</v>
      </c>
      <c r="P1498" s="9"/>
    </row>
    <row r="1499">
      <c r="A1499" s="6" t="s">
        <v>3783</v>
      </c>
      <c r="B1499" s="6" t="s">
        <v>3784</v>
      </c>
      <c r="C1499" s="6" t="s">
        <v>43</v>
      </c>
      <c r="D1499" s="6" t="s">
        <v>3785</v>
      </c>
      <c r="E1499" s="6" t="s">
        <v>389</v>
      </c>
      <c r="F1499" s="6" t="s">
        <v>87</v>
      </c>
      <c r="G1499" s="7">
        <v>0.06</v>
      </c>
      <c r="H1499" s="6" t="s">
        <v>651</v>
      </c>
      <c r="I1499" s="6" t="s">
        <v>20</v>
      </c>
      <c r="J1499" s="6">
        <v>2022.0</v>
      </c>
      <c r="K1499" s="10">
        <v>46084.0</v>
      </c>
      <c r="L1499" s="6">
        <v>1.0</v>
      </c>
      <c r="M1499" s="8">
        <f t="shared" si="2"/>
        <v>0.06</v>
      </c>
      <c r="P1499" s="9"/>
    </row>
    <row r="1500">
      <c r="A1500" s="6" t="s">
        <v>3786</v>
      </c>
      <c r="B1500" s="6" t="s">
        <v>3787</v>
      </c>
      <c r="C1500" s="6" t="s">
        <v>43</v>
      </c>
      <c r="D1500" s="6" t="s">
        <v>3788</v>
      </c>
      <c r="E1500" s="6" t="s">
        <v>176</v>
      </c>
      <c r="F1500" s="6" t="s">
        <v>77</v>
      </c>
      <c r="G1500" s="7">
        <v>0.05</v>
      </c>
      <c r="H1500" s="6" t="s">
        <v>34</v>
      </c>
      <c r="I1500" s="6" t="s">
        <v>20</v>
      </c>
      <c r="J1500" s="6">
        <v>2025.0</v>
      </c>
      <c r="K1500" s="10">
        <v>46056.0</v>
      </c>
      <c r="L1500" s="6">
        <v>3.0</v>
      </c>
      <c r="M1500" s="8">
        <f t="shared" si="2"/>
        <v>0.15</v>
      </c>
      <c r="P1500" s="9"/>
    </row>
    <row r="1501">
      <c r="A1501" s="6" t="s">
        <v>3789</v>
      </c>
      <c r="B1501" s="6" t="s">
        <v>606</v>
      </c>
      <c r="C1501" s="6" t="s">
        <v>156</v>
      </c>
      <c r="D1501" s="6" t="s">
        <v>3790</v>
      </c>
      <c r="E1501" s="6" t="s">
        <v>3436</v>
      </c>
      <c r="F1501" s="6" t="s">
        <v>40</v>
      </c>
      <c r="G1501" s="7">
        <v>0.45</v>
      </c>
      <c r="H1501" s="6" t="s">
        <v>130</v>
      </c>
      <c r="I1501" s="6" t="s">
        <v>20</v>
      </c>
      <c r="J1501" s="6">
        <v>2014.0</v>
      </c>
      <c r="L1501" s="6">
        <v>1.0</v>
      </c>
      <c r="M1501" s="8">
        <f t="shared" si="2"/>
        <v>0.45</v>
      </c>
      <c r="P1501" s="9"/>
    </row>
    <row r="1502">
      <c r="A1502" s="6" t="s">
        <v>3791</v>
      </c>
      <c r="B1502" s="6" t="s">
        <v>2759</v>
      </c>
      <c r="C1502" s="6" t="s">
        <v>23</v>
      </c>
      <c r="D1502" s="6" t="s">
        <v>3792</v>
      </c>
      <c r="E1502" s="6" t="s">
        <v>125</v>
      </c>
      <c r="F1502" s="6" t="s">
        <v>40</v>
      </c>
      <c r="G1502" s="7">
        <v>0.15</v>
      </c>
      <c r="H1502" s="6" t="s">
        <v>934</v>
      </c>
      <c r="I1502" s="6" t="s">
        <v>20</v>
      </c>
      <c r="J1502" s="6">
        <v>1993.0</v>
      </c>
      <c r="L1502" s="6">
        <v>1.0</v>
      </c>
      <c r="M1502" s="8">
        <f t="shared" si="2"/>
        <v>0.15</v>
      </c>
      <c r="P1502" s="9"/>
    </row>
    <row r="1503">
      <c r="A1503" s="6" t="s">
        <v>3793</v>
      </c>
      <c r="B1503" s="6" t="s">
        <v>2759</v>
      </c>
      <c r="C1503" s="6" t="s">
        <v>23</v>
      </c>
      <c r="D1503" s="6" t="s">
        <v>3794</v>
      </c>
      <c r="E1503" s="6" t="s">
        <v>125</v>
      </c>
      <c r="F1503" s="6" t="s">
        <v>40</v>
      </c>
      <c r="G1503" s="7">
        <v>0.25</v>
      </c>
      <c r="H1503" s="6" t="s">
        <v>934</v>
      </c>
      <c r="I1503" s="6" t="s">
        <v>20</v>
      </c>
      <c r="J1503" s="6">
        <v>1993.0</v>
      </c>
      <c r="L1503" s="6">
        <v>1.0</v>
      </c>
      <c r="M1503" s="8">
        <f t="shared" si="2"/>
        <v>0.25</v>
      </c>
      <c r="P1503" s="9"/>
    </row>
    <row r="1504">
      <c r="A1504" s="6" t="s">
        <v>3795</v>
      </c>
      <c r="B1504" s="6" t="s">
        <v>254</v>
      </c>
      <c r="C1504" s="6" t="s">
        <v>37</v>
      </c>
      <c r="D1504" s="6" t="s">
        <v>3796</v>
      </c>
      <c r="E1504" s="6" t="s">
        <v>190</v>
      </c>
      <c r="F1504" s="6" t="s">
        <v>18</v>
      </c>
      <c r="G1504" s="7">
        <v>0.2</v>
      </c>
      <c r="H1504" s="6" t="s">
        <v>34</v>
      </c>
      <c r="I1504" s="6" t="s">
        <v>20</v>
      </c>
      <c r="J1504" s="6">
        <v>2025.0</v>
      </c>
      <c r="L1504" s="6">
        <v>1.0</v>
      </c>
      <c r="M1504" s="8">
        <f t="shared" si="2"/>
        <v>0.2</v>
      </c>
      <c r="P1504" s="9"/>
    </row>
    <row r="1505">
      <c r="A1505" s="6" t="s">
        <v>3795</v>
      </c>
      <c r="B1505" s="6" t="s">
        <v>254</v>
      </c>
      <c r="C1505" s="6" t="s">
        <v>37</v>
      </c>
      <c r="D1505" s="6" t="s">
        <v>3796</v>
      </c>
      <c r="E1505" s="6" t="s">
        <v>190</v>
      </c>
      <c r="F1505" s="6" t="s">
        <v>18</v>
      </c>
      <c r="G1505" s="7">
        <v>0.25</v>
      </c>
      <c r="H1505" s="6" t="s">
        <v>34</v>
      </c>
      <c r="I1505" s="6" t="s">
        <v>45</v>
      </c>
      <c r="J1505" s="6">
        <v>2025.0</v>
      </c>
      <c r="L1505" s="6">
        <v>1.0</v>
      </c>
      <c r="M1505" s="8">
        <f t="shared" si="2"/>
        <v>0.25</v>
      </c>
      <c r="P1505" s="9"/>
    </row>
    <row r="1506">
      <c r="A1506" s="6" t="s">
        <v>3797</v>
      </c>
      <c r="B1506" s="6" t="s">
        <v>3798</v>
      </c>
      <c r="C1506" s="6" t="s">
        <v>23</v>
      </c>
      <c r="D1506" s="6" t="s">
        <v>3799</v>
      </c>
      <c r="E1506" s="6" t="s">
        <v>3800</v>
      </c>
      <c r="F1506" s="6" t="s">
        <v>40</v>
      </c>
      <c r="G1506" s="7">
        <v>0.05</v>
      </c>
      <c r="H1506" s="6" t="s">
        <v>617</v>
      </c>
      <c r="I1506" s="6" t="s">
        <v>20</v>
      </c>
      <c r="J1506" s="6">
        <v>2026.0</v>
      </c>
      <c r="K1506" s="10">
        <v>46084.0</v>
      </c>
      <c r="L1506" s="6">
        <v>1.0</v>
      </c>
      <c r="M1506" s="8">
        <f t="shared" si="2"/>
        <v>0.05</v>
      </c>
      <c r="P1506" s="9"/>
    </row>
    <row r="1507">
      <c r="A1507" s="6" t="s">
        <v>3801</v>
      </c>
      <c r="B1507" s="6" t="s">
        <v>146</v>
      </c>
      <c r="C1507" s="6" t="s">
        <v>43</v>
      </c>
      <c r="D1507" s="6" t="s">
        <v>3802</v>
      </c>
      <c r="E1507" s="6" t="s">
        <v>135</v>
      </c>
      <c r="F1507" s="6" t="s">
        <v>40</v>
      </c>
      <c r="G1507" s="7">
        <v>0.09</v>
      </c>
      <c r="H1507" s="6" t="s">
        <v>918</v>
      </c>
      <c r="I1507" s="6" t="s">
        <v>20</v>
      </c>
      <c r="J1507" s="6">
        <v>2023.0</v>
      </c>
      <c r="L1507" s="6">
        <v>1.0</v>
      </c>
      <c r="M1507" s="8">
        <f t="shared" si="2"/>
        <v>0.09</v>
      </c>
      <c r="P1507" s="9"/>
    </row>
    <row r="1508">
      <c r="A1508" s="6" t="s">
        <v>3803</v>
      </c>
      <c r="B1508" s="6" t="s">
        <v>3804</v>
      </c>
      <c r="C1508" s="6" t="s">
        <v>23</v>
      </c>
      <c r="D1508" s="6" t="s">
        <v>3805</v>
      </c>
      <c r="E1508" s="6" t="s">
        <v>1007</v>
      </c>
      <c r="F1508" s="6" t="s">
        <v>1335</v>
      </c>
      <c r="G1508" s="7">
        <v>0.03</v>
      </c>
      <c r="H1508" s="6" t="s">
        <v>342</v>
      </c>
      <c r="I1508" s="6" t="s">
        <v>20</v>
      </c>
      <c r="J1508" s="6">
        <v>2014.0</v>
      </c>
      <c r="K1508" s="10">
        <v>46023.0</v>
      </c>
      <c r="L1508" s="6">
        <v>5.0</v>
      </c>
      <c r="M1508" s="8">
        <f t="shared" si="2"/>
        <v>0.15</v>
      </c>
      <c r="P1508" s="9"/>
    </row>
    <row r="1509">
      <c r="A1509" s="6" t="s">
        <v>3806</v>
      </c>
      <c r="B1509" s="6" t="s">
        <v>162</v>
      </c>
      <c r="C1509" s="6" t="s">
        <v>43</v>
      </c>
      <c r="D1509" s="6" t="s">
        <v>3807</v>
      </c>
      <c r="E1509" s="6" t="s">
        <v>753</v>
      </c>
      <c r="F1509" s="6" t="s">
        <v>87</v>
      </c>
      <c r="G1509" s="7">
        <v>1.31</v>
      </c>
      <c r="H1509" s="6" t="s">
        <v>1833</v>
      </c>
      <c r="I1509" s="6" t="s">
        <v>20</v>
      </c>
      <c r="J1509" s="6">
        <v>2018.0</v>
      </c>
      <c r="L1509" s="6">
        <v>1.0</v>
      </c>
      <c r="M1509" s="8">
        <f t="shared" si="2"/>
        <v>1.31</v>
      </c>
      <c r="P1509" s="9"/>
    </row>
    <row r="1510">
      <c r="A1510" s="6" t="s">
        <v>3808</v>
      </c>
      <c r="B1510" s="6" t="s">
        <v>162</v>
      </c>
      <c r="C1510" s="6" t="s">
        <v>43</v>
      </c>
      <c r="D1510" s="6" t="s">
        <v>3809</v>
      </c>
      <c r="E1510" s="6" t="s">
        <v>179</v>
      </c>
      <c r="F1510" s="6" t="s">
        <v>112</v>
      </c>
      <c r="G1510" s="7">
        <v>0.1</v>
      </c>
      <c r="H1510" s="6" t="s">
        <v>363</v>
      </c>
      <c r="I1510" s="6" t="s">
        <v>20</v>
      </c>
      <c r="J1510" s="6">
        <v>2024.0</v>
      </c>
      <c r="L1510" s="6">
        <v>1.0</v>
      </c>
      <c r="M1510" s="8">
        <f t="shared" si="2"/>
        <v>0.1</v>
      </c>
      <c r="P1510" s="9"/>
    </row>
    <row r="1511">
      <c r="A1511" s="6" t="s">
        <v>3810</v>
      </c>
      <c r="B1511" s="6" t="s">
        <v>406</v>
      </c>
      <c r="C1511" s="6" t="s">
        <v>43</v>
      </c>
      <c r="D1511" s="6" t="s">
        <v>3811</v>
      </c>
      <c r="E1511" s="6" t="s">
        <v>98</v>
      </c>
      <c r="F1511" s="6" t="s">
        <v>18</v>
      </c>
      <c r="G1511" s="7">
        <v>0.09</v>
      </c>
      <c r="H1511" s="6" t="s">
        <v>488</v>
      </c>
      <c r="I1511" s="6" t="s">
        <v>20</v>
      </c>
      <c r="J1511" s="6">
        <v>2023.0</v>
      </c>
      <c r="K1511" s="10">
        <v>46082.0</v>
      </c>
      <c r="L1511" s="6">
        <v>1.0</v>
      </c>
      <c r="M1511" s="8">
        <f t="shared" si="2"/>
        <v>0.09</v>
      </c>
      <c r="P1511" s="9"/>
    </row>
    <row r="1512">
      <c r="A1512" s="6" t="s">
        <v>3812</v>
      </c>
      <c r="B1512" s="6" t="s">
        <v>74</v>
      </c>
      <c r="C1512" s="6" t="s">
        <v>30</v>
      </c>
      <c r="D1512" s="6" t="s">
        <v>3813</v>
      </c>
      <c r="E1512" s="6" t="s">
        <v>248</v>
      </c>
      <c r="F1512" s="6" t="s">
        <v>77</v>
      </c>
      <c r="G1512" s="7">
        <v>0.8</v>
      </c>
      <c r="H1512" s="6" t="s">
        <v>3814</v>
      </c>
      <c r="I1512" s="6" t="s">
        <v>20</v>
      </c>
      <c r="J1512" s="6">
        <v>2022.0</v>
      </c>
      <c r="L1512" s="6">
        <v>1.0</v>
      </c>
      <c r="M1512" s="8">
        <f t="shared" si="2"/>
        <v>0.8</v>
      </c>
      <c r="P1512" s="9"/>
    </row>
    <row r="1513">
      <c r="A1513" s="6" t="s">
        <v>3815</v>
      </c>
      <c r="B1513" s="6" t="s">
        <v>606</v>
      </c>
      <c r="C1513" s="6" t="s">
        <v>23</v>
      </c>
      <c r="D1513" s="6" t="s">
        <v>3816</v>
      </c>
      <c r="E1513" s="6" t="s">
        <v>1550</v>
      </c>
      <c r="F1513" s="6" t="s">
        <v>77</v>
      </c>
      <c r="G1513" s="7">
        <v>0.03</v>
      </c>
      <c r="H1513" s="6" t="s">
        <v>27</v>
      </c>
      <c r="I1513" s="6" t="s">
        <v>20</v>
      </c>
      <c r="J1513" s="6">
        <v>2026.0</v>
      </c>
      <c r="L1513" s="6">
        <v>1.0</v>
      </c>
      <c r="M1513" s="8">
        <f t="shared" si="2"/>
        <v>0.03</v>
      </c>
      <c r="P1513" s="9"/>
    </row>
    <row r="1514">
      <c r="A1514" s="6" t="s">
        <v>3817</v>
      </c>
      <c r="B1514" s="6" t="s">
        <v>606</v>
      </c>
      <c r="C1514" s="6" t="s">
        <v>15</v>
      </c>
      <c r="D1514" s="6" t="s">
        <v>3818</v>
      </c>
      <c r="E1514" s="6" t="s">
        <v>1936</v>
      </c>
      <c r="F1514" s="6" t="s">
        <v>18</v>
      </c>
      <c r="G1514" s="7">
        <v>0.08</v>
      </c>
      <c r="H1514" s="6" t="s">
        <v>342</v>
      </c>
      <c r="I1514" s="6" t="s">
        <v>20</v>
      </c>
      <c r="J1514" s="6">
        <v>2014.0</v>
      </c>
      <c r="L1514" s="6">
        <v>1.0</v>
      </c>
      <c r="M1514" s="8">
        <f t="shared" si="2"/>
        <v>0.08</v>
      </c>
      <c r="P1514" s="9"/>
    </row>
    <row r="1515">
      <c r="A1515" s="6" t="s">
        <v>3819</v>
      </c>
      <c r="B1515" s="6" t="s">
        <v>3820</v>
      </c>
      <c r="C1515" s="6" t="s">
        <v>37</v>
      </c>
      <c r="D1515" s="6" t="s">
        <v>3821</v>
      </c>
      <c r="E1515" s="6" t="s">
        <v>3822</v>
      </c>
      <c r="F1515" s="6" t="s">
        <v>1000</v>
      </c>
      <c r="G1515" s="7">
        <v>0.11</v>
      </c>
      <c r="H1515" s="6" t="s">
        <v>471</v>
      </c>
      <c r="I1515" s="6" t="s">
        <v>20</v>
      </c>
      <c r="J1515" s="6">
        <v>2026.0</v>
      </c>
      <c r="K1515" s="10">
        <v>46209.0</v>
      </c>
      <c r="L1515" s="6">
        <v>1.0</v>
      </c>
      <c r="M1515" s="8">
        <f t="shared" si="2"/>
        <v>0.11</v>
      </c>
      <c r="P1515" s="9"/>
    </row>
    <row r="1516">
      <c r="A1516" s="6" t="s">
        <v>3823</v>
      </c>
      <c r="B1516" s="6" t="s">
        <v>47</v>
      </c>
      <c r="C1516" s="6" t="s">
        <v>43</v>
      </c>
      <c r="D1516" s="6" t="s">
        <v>3824</v>
      </c>
      <c r="E1516" s="6" t="s">
        <v>256</v>
      </c>
      <c r="F1516" s="6" t="s">
        <v>87</v>
      </c>
      <c r="G1516" s="7">
        <v>0.06</v>
      </c>
      <c r="H1516" s="6" t="s">
        <v>34</v>
      </c>
      <c r="I1516" s="6" t="s">
        <v>20</v>
      </c>
      <c r="J1516" s="6">
        <v>2025.0</v>
      </c>
      <c r="L1516" s="6">
        <v>3.0</v>
      </c>
      <c r="M1516" s="8">
        <f t="shared" si="2"/>
        <v>0.18</v>
      </c>
      <c r="P1516" s="9"/>
    </row>
    <row r="1517">
      <c r="A1517" s="6" t="s">
        <v>3825</v>
      </c>
      <c r="B1517" s="6" t="s">
        <v>74</v>
      </c>
      <c r="C1517" s="6" t="s">
        <v>43</v>
      </c>
      <c r="D1517" s="6" t="s">
        <v>3826</v>
      </c>
      <c r="E1517" s="6" t="s">
        <v>3827</v>
      </c>
      <c r="F1517" s="6" t="s">
        <v>77</v>
      </c>
      <c r="G1517" s="7">
        <v>0.09</v>
      </c>
      <c r="H1517" s="6" t="s">
        <v>187</v>
      </c>
      <c r="I1517" s="6" t="s">
        <v>20</v>
      </c>
      <c r="J1517" s="6">
        <v>1995.0</v>
      </c>
      <c r="L1517" s="6">
        <v>1.0</v>
      </c>
      <c r="M1517" s="8">
        <f t="shared" si="2"/>
        <v>0.09</v>
      </c>
      <c r="P1517" s="9"/>
    </row>
    <row r="1518">
      <c r="A1518" s="6" t="s">
        <v>3825</v>
      </c>
      <c r="B1518" s="6" t="s">
        <v>74</v>
      </c>
      <c r="C1518" s="6" t="s">
        <v>43</v>
      </c>
      <c r="D1518" s="6" t="s">
        <v>3826</v>
      </c>
      <c r="E1518" s="6" t="s">
        <v>3827</v>
      </c>
      <c r="F1518" s="6" t="s">
        <v>77</v>
      </c>
      <c r="G1518" s="7">
        <v>0.08</v>
      </c>
      <c r="H1518" s="6" t="s">
        <v>83</v>
      </c>
      <c r="I1518" s="6" t="s">
        <v>20</v>
      </c>
      <c r="J1518" s="6">
        <v>1994.0</v>
      </c>
      <c r="L1518" s="6">
        <v>2.0</v>
      </c>
      <c r="M1518" s="8">
        <f t="shared" si="2"/>
        <v>0.16</v>
      </c>
      <c r="P1518" s="9"/>
    </row>
    <row r="1519">
      <c r="A1519" s="6" t="s">
        <v>3825</v>
      </c>
      <c r="B1519" s="6" t="s">
        <v>74</v>
      </c>
      <c r="C1519" s="6" t="s">
        <v>43</v>
      </c>
      <c r="D1519" s="6" t="s">
        <v>3826</v>
      </c>
      <c r="E1519" s="6" t="s">
        <v>3827</v>
      </c>
      <c r="F1519" s="6" t="s">
        <v>77</v>
      </c>
      <c r="G1519" s="7">
        <v>0.2</v>
      </c>
      <c r="H1519" s="6" t="s">
        <v>1064</v>
      </c>
      <c r="I1519" s="6" t="s">
        <v>20</v>
      </c>
      <c r="J1519" s="6">
        <v>1993.0</v>
      </c>
      <c r="L1519" s="6">
        <v>2.0</v>
      </c>
      <c r="M1519" s="8">
        <f t="shared" si="2"/>
        <v>0.4</v>
      </c>
      <c r="P1519" s="9"/>
    </row>
    <row r="1520">
      <c r="A1520" s="6" t="s">
        <v>3825</v>
      </c>
      <c r="B1520" s="6" t="s">
        <v>74</v>
      </c>
      <c r="C1520" s="6" t="s">
        <v>43</v>
      </c>
      <c r="D1520" s="6" t="s">
        <v>3826</v>
      </c>
      <c r="E1520" s="6" t="s">
        <v>3827</v>
      </c>
      <c r="F1520" s="6" t="s">
        <v>77</v>
      </c>
      <c r="G1520" s="7">
        <v>0.17</v>
      </c>
      <c r="H1520" s="6" t="s">
        <v>453</v>
      </c>
      <c r="I1520" s="6" t="s">
        <v>20</v>
      </c>
      <c r="J1520" s="6">
        <v>1994.0</v>
      </c>
      <c r="L1520" s="6">
        <v>1.0</v>
      </c>
      <c r="M1520" s="8">
        <f t="shared" si="2"/>
        <v>0.17</v>
      </c>
      <c r="P1520" s="9"/>
    </row>
    <row r="1521">
      <c r="A1521" s="6" t="s">
        <v>3828</v>
      </c>
      <c r="B1521" s="6" t="s">
        <v>3829</v>
      </c>
      <c r="C1521" s="6" t="s">
        <v>43</v>
      </c>
      <c r="D1521" s="6" t="s">
        <v>3830</v>
      </c>
      <c r="E1521" s="6" t="s">
        <v>224</v>
      </c>
      <c r="F1521" s="6" t="s">
        <v>18</v>
      </c>
      <c r="G1521" s="7">
        <v>0.05</v>
      </c>
      <c r="H1521" s="6" t="s">
        <v>228</v>
      </c>
      <c r="I1521" s="6" t="s">
        <v>20</v>
      </c>
      <c r="J1521" s="6">
        <v>2025.0</v>
      </c>
      <c r="K1521" s="10">
        <v>46115.0</v>
      </c>
      <c r="L1521" s="6">
        <v>1.0</v>
      </c>
      <c r="M1521" s="8">
        <f t="shared" si="2"/>
        <v>0.05</v>
      </c>
      <c r="P1521" s="9"/>
    </row>
    <row r="1522">
      <c r="A1522" s="6" t="s">
        <v>3831</v>
      </c>
      <c r="B1522" s="6" t="s">
        <v>192</v>
      </c>
      <c r="C1522" s="6" t="s">
        <v>309</v>
      </c>
      <c r="D1522" s="6" t="s">
        <v>3832</v>
      </c>
      <c r="E1522" s="6" t="s">
        <v>25</v>
      </c>
      <c r="F1522" s="6" t="s">
        <v>312</v>
      </c>
      <c r="G1522" s="7">
        <v>11.99</v>
      </c>
      <c r="H1522" s="6" t="s">
        <v>2394</v>
      </c>
      <c r="I1522" s="6" t="s">
        <v>20</v>
      </c>
      <c r="J1522" s="6">
        <v>1997.0</v>
      </c>
      <c r="L1522" s="6">
        <v>1.0</v>
      </c>
      <c r="M1522" s="8">
        <f t="shared" si="2"/>
        <v>11.99</v>
      </c>
      <c r="P1522" s="9"/>
    </row>
    <row r="1523">
      <c r="A1523" s="6" t="s">
        <v>3833</v>
      </c>
      <c r="B1523" s="6" t="s">
        <v>606</v>
      </c>
      <c r="C1523" s="6" t="s">
        <v>23</v>
      </c>
      <c r="D1523" s="6" t="s">
        <v>3834</v>
      </c>
      <c r="E1523" s="6" t="s">
        <v>852</v>
      </c>
      <c r="F1523" s="6" t="s">
        <v>18</v>
      </c>
      <c r="G1523" s="7">
        <v>0.03</v>
      </c>
      <c r="H1523" s="6" t="s">
        <v>342</v>
      </c>
      <c r="I1523" s="6" t="s">
        <v>20</v>
      </c>
      <c r="J1523" s="6">
        <v>2014.0</v>
      </c>
      <c r="L1523" s="6">
        <v>6.0</v>
      </c>
      <c r="M1523" s="8">
        <f t="shared" si="2"/>
        <v>0.18</v>
      </c>
      <c r="P1523" s="9"/>
    </row>
    <row r="1524">
      <c r="A1524" s="6" t="s">
        <v>3835</v>
      </c>
      <c r="B1524" s="6" t="s">
        <v>1471</v>
      </c>
      <c r="C1524" s="6" t="s">
        <v>43</v>
      </c>
      <c r="E1524" s="6" t="s">
        <v>389</v>
      </c>
      <c r="F1524" s="6" t="s">
        <v>87</v>
      </c>
      <c r="G1524" s="7">
        <v>0.05</v>
      </c>
      <c r="H1524" s="6" t="s">
        <v>415</v>
      </c>
      <c r="I1524" s="6" t="s">
        <v>20</v>
      </c>
      <c r="J1524" s="6">
        <v>2016.0</v>
      </c>
      <c r="K1524" s="10">
        <v>46058.0</v>
      </c>
      <c r="L1524" s="6">
        <v>1.0</v>
      </c>
      <c r="M1524" s="8">
        <f t="shared" si="2"/>
        <v>0.05</v>
      </c>
      <c r="P1524" s="9"/>
    </row>
    <row r="1525">
      <c r="A1525" s="6" t="s">
        <v>3836</v>
      </c>
      <c r="B1525" s="6" t="s">
        <v>3837</v>
      </c>
      <c r="C1525" s="6" t="s">
        <v>30</v>
      </c>
      <c r="D1525" s="6" t="s">
        <v>3838</v>
      </c>
      <c r="E1525" s="6" t="s">
        <v>3201</v>
      </c>
      <c r="F1525" s="6" t="s">
        <v>18</v>
      </c>
      <c r="G1525" s="7">
        <v>28.8</v>
      </c>
      <c r="H1525" s="6" t="s">
        <v>89</v>
      </c>
      <c r="I1525" s="6" t="s">
        <v>20</v>
      </c>
      <c r="J1525" s="6">
        <v>2021.0</v>
      </c>
      <c r="K1525" s="10">
        <v>46241.0</v>
      </c>
      <c r="L1525" s="6">
        <v>1.0</v>
      </c>
      <c r="M1525" s="8">
        <f t="shared" si="2"/>
        <v>28.8</v>
      </c>
      <c r="P1525" s="9"/>
    </row>
    <row r="1526">
      <c r="A1526" s="6" t="s">
        <v>3839</v>
      </c>
      <c r="B1526" s="6" t="s">
        <v>3840</v>
      </c>
      <c r="C1526" s="6" t="s">
        <v>23</v>
      </c>
      <c r="D1526" s="6" t="s">
        <v>3841</v>
      </c>
      <c r="E1526" s="6" t="s">
        <v>117</v>
      </c>
      <c r="F1526" s="6" t="s">
        <v>77</v>
      </c>
      <c r="G1526" s="7">
        <v>0.05</v>
      </c>
      <c r="H1526" s="6" t="s">
        <v>780</v>
      </c>
      <c r="I1526" s="6" t="s">
        <v>20</v>
      </c>
      <c r="J1526" s="6">
        <v>2025.0</v>
      </c>
      <c r="K1526" s="10">
        <v>46023.0</v>
      </c>
      <c r="L1526" s="6">
        <v>2.0</v>
      </c>
      <c r="M1526" s="8">
        <f t="shared" si="2"/>
        <v>0.1</v>
      </c>
      <c r="P1526" s="9"/>
    </row>
    <row r="1527">
      <c r="A1527" s="6" t="s">
        <v>3842</v>
      </c>
      <c r="B1527" s="6" t="s">
        <v>2151</v>
      </c>
      <c r="C1527" s="6" t="s">
        <v>15</v>
      </c>
      <c r="D1527" s="6" t="s">
        <v>3843</v>
      </c>
      <c r="E1527" s="6" t="s">
        <v>3844</v>
      </c>
      <c r="F1527" s="6" t="s">
        <v>112</v>
      </c>
      <c r="G1527" s="7">
        <v>0.03</v>
      </c>
      <c r="H1527" s="6" t="s">
        <v>342</v>
      </c>
      <c r="I1527" s="6" t="s">
        <v>45</v>
      </c>
      <c r="J1527" s="6">
        <v>2014.0</v>
      </c>
      <c r="K1527" s="10">
        <v>46147.0</v>
      </c>
      <c r="L1527" s="6">
        <v>3.0</v>
      </c>
      <c r="M1527" s="8">
        <f t="shared" si="2"/>
        <v>0.09</v>
      </c>
      <c r="P1527" s="9"/>
    </row>
    <row r="1528">
      <c r="A1528" s="6" t="s">
        <v>3845</v>
      </c>
      <c r="B1528" s="6" t="s">
        <v>861</v>
      </c>
      <c r="C1528" s="6" t="s">
        <v>30</v>
      </c>
      <c r="D1528" s="6" t="s">
        <v>3846</v>
      </c>
      <c r="E1528" s="6" t="s">
        <v>282</v>
      </c>
      <c r="F1528" s="6" t="s">
        <v>40</v>
      </c>
      <c r="G1528" s="7">
        <v>0.1</v>
      </c>
      <c r="H1528" s="6" t="s">
        <v>496</v>
      </c>
      <c r="I1528" s="6" t="s">
        <v>20</v>
      </c>
      <c r="J1528" s="6">
        <v>2013.0</v>
      </c>
      <c r="K1528" s="10">
        <v>46145.0</v>
      </c>
      <c r="L1528" s="6">
        <v>1.0</v>
      </c>
      <c r="M1528" s="8">
        <f t="shared" si="2"/>
        <v>0.1</v>
      </c>
      <c r="P1528" s="9"/>
    </row>
    <row r="1529">
      <c r="A1529" s="6" t="s">
        <v>3847</v>
      </c>
      <c r="B1529" s="6" t="s">
        <v>3848</v>
      </c>
      <c r="C1529" s="6" t="s">
        <v>43</v>
      </c>
      <c r="D1529" s="6" t="s">
        <v>3849</v>
      </c>
      <c r="E1529" s="6" t="s">
        <v>579</v>
      </c>
      <c r="F1529" s="6" t="s">
        <v>112</v>
      </c>
      <c r="G1529" s="7">
        <v>0.06</v>
      </c>
      <c r="H1529" s="6" t="s">
        <v>148</v>
      </c>
      <c r="I1529" s="6" t="s">
        <v>20</v>
      </c>
      <c r="J1529" s="6">
        <v>2026.0</v>
      </c>
      <c r="K1529" s="10">
        <v>46115.0</v>
      </c>
      <c r="L1529" s="6">
        <v>2.0</v>
      </c>
      <c r="M1529" s="8">
        <f t="shared" si="2"/>
        <v>0.12</v>
      </c>
      <c r="P1529" s="9"/>
    </row>
    <row r="1530">
      <c r="A1530" s="6" t="s">
        <v>3850</v>
      </c>
      <c r="B1530" s="6" t="s">
        <v>3050</v>
      </c>
      <c r="C1530" s="6" t="s">
        <v>43</v>
      </c>
      <c r="D1530" s="6" t="s">
        <v>3851</v>
      </c>
      <c r="E1530" s="6" t="s">
        <v>329</v>
      </c>
      <c r="F1530" s="6" t="s">
        <v>112</v>
      </c>
      <c r="G1530" s="7">
        <v>0.06</v>
      </c>
      <c r="H1530" s="6" t="s">
        <v>1161</v>
      </c>
      <c r="I1530" s="6" t="s">
        <v>20</v>
      </c>
      <c r="J1530" s="6">
        <v>2005.0</v>
      </c>
      <c r="K1530" s="10">
        <v>46023.0</v>
      </c>
      <c r="L1530" s="6">
        <v>1.0</v>
      </c>
      <c r="M1530" s="8">
        <f t="shared" si="2"/>
        <v>0.06</v>
      </c>
      <c r="P1530" s="9"/>
    </row>
    <row r="1531">
      <c r="A1531" s="6" t="s">
        <v>3852</v>
      </c>
      <c r="B1531" s="6" t="s">
        <v>3853</v>
      </c>
      <c r="C1531" s="6" t="s">
        <v>37</v>
      </c>
      <c r="D1531" s="6" t="s">
        <v>3854</v>
      </c>
      <c r="E1531" s="6" t="s">
        <v>82</v>
      </c>
      <c r="F1531" s="6" t="s">
        <v>77</v>
      </c>
      <c r="G1531" s="7">
        <v>0.06</v>
      </c>
      <c r="H1531" s="6" t="s">
        <v>3855</v>
      </c>
      <c r="I1531" s="6" t="s">
        <v>20</v>
      </c>
      <c r="J1531" s="6">
        <v>2007.0</v>
      </c>
      <c r="K1531" s="10">
        <v>46084.0</v>
      </c>
      <c r="L1531" s="6">
        <v>1.0</v>
      </c>
      <c r="M1531" s="8">
        <f t="shared" si="2"/>
        <v>0.06</v>
      </c>
      <c r="P1531" s="9"/>
    </row>
    <row r="1532">
      <c r="A1532" s="6" t="s">
        <v>3856</v>
      </c>
      <c r="B1532" s="6" t="s">
        <v>162</v>
      </c>
      <c r="C1532" s="6" t="s">
        <v>43</v>
      </c>
      <c r="D1532" s="6" t="s">
        <v>3857</v>
      </c>
      <c r="E1532" s="6" t="s">
        <v>579</v>
      </c>
      <c r="F1532" s="6" t="s">
        <v>112</v>
      </c>
      <c r="G1532" s="7">
        <v>0.18</v>
      </c>
      <c r="H1532" s="6" t="s">
        <v>180</v>
      </c>
      <c r="I1532" s="6" t="s">
        <v>20</v>
      </c>
      <c r="J1532" s="6">
        <v>2024.0</v>
      </c>
      <c r="L1532" s="6">
        <v>1.0</v>
      </c>
      <c r="M1532" s="8">
        <f t="shared" si="2"/>
        <v>0.18</v>
      </c>
      <c r="P1532" s="9"/>
    </row>
    <row r="1533">
      <c r="A1533" s="6" t="s">
        <v>3858</v>
      </c>
      <c r="B1533" s="6" t="s">
        <v>74</v>
      </c>
      <c r="C1533" s="6" t="s">
        <v>37</v>
      </c>
      <c r="D1533" s="6" t="s">
        <v>3859</v>
      </c>
      <c r="E1533" s="6" t="s">
        <v>329</v>
      </c>
      <c r="F1533" s="6" t="s">
        <v>112</v>
      </c>
      <c r="G1533" s="7">
        <v>1.99</v>
      </c>
      <c r="H1533" s="6" t="s">
        <v>113</v>
      </c>
      <c r="I1533" s="6" t="s">
        <v>20</v>
      </c>
      <c r="J1533" s="6">
        <v>2023.0</v>
      </c>
      <c r="L1533" s="6">
        <v>1.0</v>
      </c>
      <c r="M1533" s="8">
        <f t="shared" si="2"/>
        <v>1.99</v>
      </c>
      <c r="N1533" s="6" t="s">
        <v>122</v>
      </c>
      <c r="P1533" s="9"/>
    </row>
    <row r="1534">
      <c r="A1534" s="6" t="s">
        <v>3860</v>
      </c>
      <c r="B1534" s="6" t="s">
        <v>74</v>
      </c>
      <c r="C1534" s="6" t="s">
        <v>37</v>
      </c>
      <c r="D1534" s="6" t="s">
        <v>3861</v>
      </c>
      <c r="E1534" s="6" t="s">
        <v>579</v>
      </c>
      <c r="F1534" s="6" t="s">
        <v>112</v>
      </c>
      <c r="G1534" s="7">
        <v>0.04</v>
      </c>
      <c r="H1534" s="6" t="s">
        <v>1287</v>
      </c>
      <c r="I1534" s="6" t="s">
        <v>20</v>
      </c>
      <c r="J1534" s="6">
        <v>2021.0</v>
      </c>
      <c r="L1534" s="6">
        <v>1.0</v>
      </c>
      <c r="M1534" s="8">
        <f t="shared" si="2"/>
        <v>0.04</v>
      </c>
      <c r="P1534" s="9"/>
    </row>
    <row r="1535">
      <c r="A1535" s="6" t="s">
        <v>3862</v>
      </c>
      <c r="B1535" s="6" t="s">
        <v>74</v>
      </c>
      <c r="C1535" s="6" t="s">
        <v>37</v>
      </c>
      <c r="D1535" s="6" t="s">
        <v>3863</v>
      </c>
      <c r="E1535" s="6" t="s">
        <v>256</v>
      </c>
      <c r="F1535" s="6" t="s">
        <v>87</v>
      </c>
      <c r="G1535" s="7">
        <v>0.04</v>
      </c>
      <c r="H1535" s="6" t="s">
        <v>99</v>
      </c>
      <c r="I1535" s="6" t="s">
        <v>20</v>
      </c>
      <c r="J1535" s="6">
        <v>2022.0</v>
      </c>
      <c r="L1535" s="6">
        <v>2.0</v>
      </c>
      <c r="M1535" s="8">
        <f t="shared" si="2"/>
        <v>0.08</v>
      </c>
      <c r="P1535" s="9"/>
    </row>
    <row r="1536">
      <c r="A1536" s="6" t="s">
        <v>3864</v>
      </c>
      <c r="B1536" s="6" t="s">
        <v>3865</v>
      </c>
      <c r="C1536" s="6" t="s">
        <v>43</v>
      </c>
      <c r="E1536" s="6" t="s">
        <v>753</v>
      </c>
      <c r="F1536" s="6" t="s">
        <v>87</v>
      </c>
      <c r="G1536" s="7">
        <v>0.05</v>
      </c>
      <c r="H1536" s="6" t="s">
        <v>324</v>
      </c>
      <c r="I1536" s="6" t="s">
        <v>20</v>
      </c>
      <c r="J1536" s="6">
        <v>1995.0</v>
      </c>
      <c r="K1536" s="10">
        <v>46083.0</v>
      </c>
      <c r="L1536" s="6">
        <v>3.0</v>
      </c>
      <c r="M1536" s="8">
        <f t="shared" si="2"/>
        <v>0.15</v>
      </c>
      <c r="P1536" s="9"/>
    </row>
    <row r="1537">
      <c r="A1537" s="6" t="s">
        <v>3864</v>
      </c>
      <c r="B1537" s="6" t="s">
        <v>3865</v>
      </c>
      <c r="C1537" s="6" t="s">
        <v>43</v>
      </c>
      <c r="E1537" s="6" t="s">
        <v>753</v>
      </c>
      <c r="F1537" s="6" t="s">
        <v>87</v>
      </c>
      <c r="G1537" s="7">
        <v>0.08</v>
      </c>
      <c r="H1537" s="6" t="s">
        <v>316</v>
      </c>
      <c r="I1537" s="6" t="s">
        <v>20</v>
      </c>
      <c r="J1537" s="6">
        <v>1995.0</v>
      </c>
      <c r="K1537" s="10">
        <v>46083.0</v>
      </c>
      <c r="L1537" s="6">
        <v>4.0</v>
      </c>
      <c r="M1537" s="8">
        <f t="shared" si="2"/>
        <v>0.32</v>
      </c>
      <c r="P1537" s="9"/>
    </row>
    <row r="1538">
      <c r="A1538" s="6" t="s">
        <v>3864</v>
      </c>
      <c r="B1538" s="6" t="s">
        <v>3865</v>
      </c>
      <c r="C1538" s="6" t="s">
        <v>43</v>
      </c>
      <c r="E1538" s="6" t="s">
        <v>753</v>
      </c>
      <c r="F1538" s="6" t="s">
        <v>87</v>
      </c>
      <c r="G1538" s="7">
        <v>0.1</v>
      </c>
      <c r="H1538" s="6" t="s">
        <v>453</v>
      </c>
      <c r="I1538" s="6" t="s">
        <v>20</v>
      </c>
      <c r="J1538" s="6">
        <v>1994.0</v>
      </c>
      <c r="K1538" s="10">
        <v>46083.0</v>
      </c>
      <c r="L1538" s="6">
        <v>1.0</v>
      </c>
      <c r="M1538" s="8">
        <f t="shared" si="2"/>
        <v>0.1</v>
      </c>
      <c r="P1538" s="9"/>
    </row>
    <row r="1539">
      <c r="A1539" s="6" t="s">
        <v>3866</v>
      </c>
      <c r="B1539" s="6" t="s">
        <v>1433</v>
      </c>
      <c r="C1539" s="6" t="s">
        <v>23</v>
      </c>
      <c r="D1539" s="6" t="s">
        <v>3867</v>
      </c>
      <c r="E1539" s="6" t="s">
        <v>3868</v>
      </c>
      <c r="F1539" s="6" t="s">
        <v>665</v>
      </c>
      <c r="G1539" s="7">
        <v>0.06</v>
      </c>
      <c r="H1539" s="6" t="s">
        <v>130</v>
      </c>
      <c r="I1539" s="6" t="s">
        <v>20</v>
      </c>
      <c r="J1539" s="6">
        <v>2014.0</v>
      </c>
      <c r="K1539" s="10">
        <v>46114.0</v>
      </c>
      <c r="L1539" s="6">
        <v>1.0</v>
      </c>
      <c r="M1539" s="8">
        <f t="shared" si="2"/>
        <v>0.06</v>
      </c>
      <c r="P1539" s="9"/>
    </row>
    <row r="1540">
      <c r="A1540" s="6" t="s">
        <v>3869</v>
      </c>
      <c r="B1540" s="6" t="s">
        <v>854</v>
      </c>
      <c r="C1540" s="6" t="s">
        <v>37</v>
      </c>
      <c r="D1540" s="6" t="s">
        <v>3870</v>
      </c>
      <c r="E1540" s="6" t="s">
        <v>891</v>
      </c>
      <c r="F1540" s="6" t="s">
        <v>77</v>
      </c>
      <c r="G1540" s="7">
        <v>0.05</v>
      </c>
      <c r="H1540" s="6" t="s">
        <v>187</v>
      </c>
      <c r="I1540" s="6" t="s">
        <v>20</v>
      </c>
      <c r="J1540" s="6">
        <v>1995.0</v>
      </c>
      <c r="K1540" s="10">
        <v>46085.0</v>
      </c>
      <c r="L1540" s="6">
        <v>1.0</v>
      </c>
      <c r="M1540" s="8">
        <f t="shared" si="2"/>
        <v>0.05</v>
      </c>
      <c r="P1540" s="9"/>
    </row>
    <row r="1541">
      <c r="A1541" s="6" t="s">
        <v>3871</v>
      </c>
      <c r="B1541" s="6" t="s">
        <v>2256</v>
      </c>
      <c r="C1541" s="6" t="s">
        <v>23</v>
      </c>
      <c r="D1541" s="6" t="s">
        <v>3872</v>
      </c>
      <c r="E1541" s="6" t="s">
        <v>659</v>
      </c>
      <c r="F1541" s="6" t="s">
        <v>18</v>
      </c>
      <c r="G1541" s="7">
        <v>0.13</v>
      </c>
      <c r="H1541" s="6" t="s">
        <v>27</v>
      </c>
      <c r="I1541" s="6" t="s">
        <v>20</v>
      </c>
      <c r="J1541" s="6">
        <v>2026.0</v>
      </c>
      <c r="K1541" s="10">
        <v>46083.0</v>
      </c>
      <c r="L1541" s="6">
        <v>1.0</v>
      </c>
      <c r="M1541" s="8">
        <f t="shared" si="2"/>
        <v>0.13</v>
      </c>
      <c r="P1541" s="9"/>
    </row>
    <row r="1542">
      <c r="A1542" s="6" t="s">
        <v>3873</v>
      </c>
      <c r="B1542" s="6" t="s">
        <v>3664</v>
      </c>
      <c r="C1542" s="6" t="s">
        <v>43</v>
      </c>
      <c r="D1542" s="6" t="s">
        <v>3874</v>
      </c>
      <c r="E1542" s="6" t="s">
        <v>107</v>
      </c>
      <c r="F1542" s="6" t="s">
        <v>18</v>
      </c>
      <c r="G1542" s="7">
        <v>0.04</v>
      </c>
      <c r="H1542" s="6" t="s">
        <v>148</v>
      </c>
      <c r="I1542" s="6" t="s">
        <v>20</v>
      </c>
      <c r="J1542" s="6">
        <v>2026.0</v>
      </c>
      <c r="K1542" s="10">
        <v>46082.0</v>
      </c>
      <c r="L1542" s="6">
        <v>4.0</v>
      </c>
      <c r="M1542" s="8">
        <f t="shared" si="2"/>
        <v>0.16</v>
      </c>
      <c r="P1542" s="9"/>
    </row>
    <row r="1543">
      <c r="A1543" s="6" t="s">
        <v>3873</v>
      </c>
      <c r="B1543" s="6" t="s">
        <v>3664</v>
      </c>
      <c r="C1543" s="6" t="s">
        <v>43</v>
      </c>
      <c r="D1543" s="6" t="s">
        <v>3874</v>
      </c>
      <c r="E1543" s="6" t="s">
        <v>107</v>
      </c>
      <c r="F1543" s="6" t="s">
        <v>18</v>
      </c>
      <c r="G1543" s="7">
        <v>0.2</v>
      </c>
      <c r="H1543" s="6" t="s">
        <v>148</v>
      </c>
      <c r="I1543" s="6" t="s">
        <v>45</v>
      </c>
      <c r="J1543" s="6">
        <v>2026.0</v>
      </c>
      <c r="K1543" s="10">
        <v>46082.0</v>
      </c>
      <c r="L1543" s="6">
        <v>1.0</v>
      </c>
      <c r="M1543" s="8">
        <f t="shared" si="2"/>
        <v>0.2</v>
      </c>
      <c r="P1543" s="9"/>
    </row>
    <row r="1544">
      <c r="A1544" s="6" t="s">
        <v>3875</v>
      </c>
      <c r="B1544" s="6" t="s">
        <v>74</v>
      </c>
      <c r="C1544" s="6" t="s">
        <v>43</v>
      </c>
      <c r="D1544" s="6" t="s">
        <v>3876</v>
      </c>
      <c r="E1544" s="6" t="s">
        <v>1939</v>
      </c>
      <c r="F1544" s="6" t="s">
        <v>977</v>
      </c>
      <c r="G1544" s="7">
        <v>0.06</v>
      </c>
      <c r="H1544" s="6" t="s">
        <v>65</v>
      </c>
      <c r="I1544" s="6" t="s">
        <v>20</v>
      </c>
      <c r="J1544" s="6">
        <v>2013.0</v>
      </c>
      <c r="L1544" s="6">
        <v>1.0</v>
      </c>
      <c r="M1544" s="8">
        <f t="shared" si="2"/>
        <v>0.06</v>
      </c>
      <c r="P1544" s="9"/>
    </row>
    <row r="1545">
      <c r="A1545" s="6" t="s">
        <v>3877</v>
      </c>
      <c r="B1545" s="6" t="s">
        <v>3878</v>
      </c>
      <c r="C1545" s="6" t="s">
        <v>43</v>
      </c>
      <c r="E1545" s="6" t="s">
        <v>757</v>
      </c>
      <c r="F1545" s="6" t="s">
        <v>87</v>
      </c>
      <c r="G1545" s="7">
        <v>0.03</v>
      </c>
      <c r="H1545" s="6" t="s">
        <v>531</v>
      </c>
      <c r="I1545" s="6" t="s">
        <v>20</v>
      </c>
      <c r="J1545" s="6">
        <v>2017.0</v>
      </c>
      <c r="K1545" s="10">
        <v>46115.0</v>
      </c>
      <c r="L1545" s="6">
        <v>4.0</v>
      </c>
      <c r="M1545" s="8">
        <f t="shared" si="2"/>
        <v>0.12</v>
      </c>
      <c r="P1545" s="9"/>
    </row>
    <row r="1546">
      <c r="A1546" s="6" t="s">
        <v>3879</v>
      </c>
      <c r="B1546" s="6" t="s">
        <v>115</v>
      </c>
      <c r="C1546" s="6" t="s">
        <v>15</v>
      </c>
      <c r="D1546" s="6" t="s">
        <v>3880</v>
      </c>
      <c r="E1546" s="6" t="s">
        <v>1998</v>
      </c>
      <c r="F1546" s="6" t="s">
        <v>77</v>
      </c>
      <c r="G1546" s="7">
        <v>0.2</v>
      </c>
      <c r="H1546" s="6" t="s">
        <v>780</v>
      </c>
      <c r="I1546" s="6" t="s">
        <v>20</v>
      </c>
      <c r="J1546" s="6">
        <v>2025.0</v>
      </c>
      <c r="L1546" s="6">
        <v>2.0</v>
      </c>
      <c r="M1546" s="8">
        <f t="shared" si="2"/>
        <v>0.4</v>
      </c>
      <c r="P1546" s="9"/>
    </row>
    <row r="1547">
      <c r="A1547" s="6" t="s">
        <v>3881</v>
      </c>
      <c r="B1547" s="6" t="s">
        <v>74</v>
      </c>
      <c r="C1547" s="6" t="s">
        <v>37</v>
      </c>
      <c r="D1547" s="6" t="s">
        <v>3882</v>
      </c>
      <c r="E1547" s="6" t="s">
        <v>859</v>
      </c>
      <c r="F1547" s="6" t="s">
        <v>50</v>
      </c>
      <c r="G1547" s="7">
        <v>0.1</v>
      </c>
      <c r="H1547" s="6" t="s">
        <v>3883</v>
      </c>
      <c r="I1547" s="6" t="s">
        <v>20</v>
      </c>
      <c r="J1547" s="6">
        <v>2024.0</v>
      </c>
      <c r="L1547" s="6">
        <v>1.0</v>
      </c>
      <c r="M1547" s="8">
        <f t="shared" si="2"/>
        <v>0.1</v>
      </c>
      <c r="P1547" s="9"/>
    </row>
    <row r="1548">
      <c r="A1548" s="6" t="s">
        <v>3884</v>
      </c>
      <c r="B1548" s="6" t="s">
        <v>3097</v>
      </c>
      <c r="C1548" s="6" t="s">
        <v>43</v>
      </c>
      <c r="D1548" s="6" t="s">
        <v>3885</v>
      </c>
      <c r="E1548" s="6" t="s">
        <v>329</v>
      </c>
      <c r="F1548" s="6" t="s">
        <v>112</v>
      </c>
      <c r="G1548" s="7">
        <v>0.36</v>
      </c>
      <c r="H1548" s="6" t="s">
        <v>382</v>
      </c>
      <c r="I1548" s="6" t="s">
        <v>45</v>
      </c>
      <c r="J1548" s="6">
        <v>2020.0</v>
      </c>
      <c r="K1548" s="10">
        <v>46084.0</v>
      </c>
      <c r="L1548" s="6">
        <v>1.0</v>
      </c>
      <c r="M1548" s="8">
        <f t="shared" si="2"/>
        <v>0.36</v>
      </c>
      <c r="P1548" s="9"/>
    </row>
    <row r="1549">
      <c r="A1549" s="6" t="s">
        <v>3886</v>
      </c>
      <c r="B1549" s="6" t="s">
        <v>606</v>
      </c>
      <c r="C1549" s="6" t="s">
        <v>23</v>
      </c>
      <c r="D1549" s="6" t="s">
        <v>3887</v>
      </c>
      <c r="E1549" s="6" t="s">
        <v>1364</v>
      </c>
      <c r="F1549" s="6" t="s">
        <v>18</v>
      </c>
      <c r="G1549" s="7">
        <v>0.13</v>
      </c>
      <c r="H1549" s="6" t="s">
        <v>27</v>
      </c>
      <c r="I1549" s="6" t="s">
        <v>20</v>
      </c>
      <c r="J1549" s="6">
        <v>2026.0</v>
      </c>
      <c r="L1549" s="6">
        <v>1.0</v>
      </c>
      <c r="M1549" s="8">
        <f t="shared" si="2"/>
        <v>0.13</v>
      </c>
      <c r="P1549" s="9"/>
    </row>
    <row r="1550">
      <c r="A1550" s="6" t="s">
        <v>3888</v>
      </c>
      <c r="B1550" s="6" t="s">
        <v>3889</v>
      </c>
      <c r="C1550" s="6" t="s">
        <v>30</v>
      </c>
      <c r="D1550" s="6" t="s">
        <v>3890</v>
      </c>
      <c r="E1550" s="6" t="s">
        <v>389</v>
      </c>
      <c r="F1550" s="6" t="s">
        <v>87</v>
      </c>
      <c r="G1550" s="7">
        <v>1.66</v>
      </c>
      <c r="H1550" s="6" t="s">
        <v>3038</v>
      </c>
      <c r="I1550" s="6" t="s">
        <v>20</v>
      </c>
      <c r="J1550" s="6">
        <v>2006.0</v>
      </c>
      <c r="K1550" s="10">
        <v>46056.0</v>
      </c>
      <c r="L1550" s="6">
        <v>1.0</v>
      </c>
      <c r="M1550" s="8">
        <f t="shared" si="2"/>
        <v>1.66</v>
      </c>
      <c r="P1550" s="9"/>
    </row>
    <row r="1551">
      <c r="A1551" s="6" t="s">
        <v>3891</v>
      </c>
      <c r="B1551" s="6" t="s">
        <v>3892</v>
      </c>
      <c r="C1551" s="6" t="s">
        <v>43</v>
      </c>
      <c r="D1551" s="6" t="s">
        <v>3893</v>
      </c>
      <c r="E1551" s="6" t="s">
        <v>125</v>
      </c>
      <c r="F1551" s="6" t="s">
        <v>40</v>
      </c>
      <c r="G1551" s="7">
        <v>0.18</v>
      </c>
      <c r="H1551" s="6" t="s">
        <v>194</v>
      </c>
      <c r="I1551" s="6" t="s">
        <v>20</v>
      </c>
      <c r="J1551" s="6">
        <v>1994.0</v>
      </c>
      <c r="K1551" s="10">
        <v>46023.0</v>
      </c>
      <c r="L1551" s="6">
        <v>1.0</v>
      </c>
      <c r="M1551" s="8">
        <f t="shared" si="2"/>
        <v>0.18</v>
      </c>
      <c r="P1551" s="9"/>
    </row>
    <row r="1552">
      <c r="A1552" s="6" t="s">
        <v>3894</v>
      </c>
      <c r="B1552" s="6" t="s">
        <v>542</v>
      </c>
      <c r="C1552" s="6" t="s">
        <v>43</v>
      </c>
      <c r="D1552" s="6" t="s">
        <v>3895</v>
      </c>
      <c r="E1552" s="6" t="s">
        <v>125</v>
      </c>
      <c r="F1552" s="6" t="s">
        <v>40</v>
      </c>
      <c r="G1552" s="7">
        <v>0.25</v>
      </c>
      <c r="H1552" s="6" t="s">
        <v>194</v>
      </c>
      <c r="I1552" s="6" t="s">
        <v>20</v>
      </c>
      <c r="J1552" s="6">
        <v>1994.0</v>
      </c>
      <c r="K1552" s="10">
        <v>46023.0</v>
      </c>
      <c r="L1552" s="6">
        <v>1.0</v>
      </c>
      <c r="M1552" s="8">
        <f t="shared" si="2"/>
        <v>0.25</v>
      </c>
      <c r="P1552" s="9"/>
    </row>
    <row r="1553">
      <c r="A1553" s="6" t="s">
        <v>3896</v>
      </c>
      <c r="B1553" s="6" t="s">
        <v>3897</v>
      </c>
      <c r="C1553" s="6" t="s">
        <v>43</v>
      </c>
      <c r="D1553" s="6" t="s">
        <v>3898</v>
      </c>
      <c r="E1553" s="6" t="s">
        <v>3899</v>
      </c>
      <c r="F1553" s="6" t="s">
        <v>159</v>
      </c>
      <c r="G1553" s="7">
        <v>0.14</v>
      </c>
      <c r="H1553" s="6" t="s">
        <v>136</v>
      </c>
      <c r="I1553" s="6" t="s">
        <v>20</v>
      </c>
      <c r="J1553" s="6">
        <v>2026.0</v>
      </c>
      <c r="K1553" s="10">
        <v>46082.0</v>
      </c>
      <c r="L1553" s="6">
        <v>3.0</v>
      </c>
      <c r="M1553" s="8">
        <f t="shared" si="2"/>
        <v>0.42</v>
      </c>
      <c r="P1553" s="9"/>
    </row>
    <row r="1554">
      <c r="A1554" s="6" t="s">
        <v>3900</v>
      </c>
      <c r="B1554" s="6" t="s">
        <v>3901</v>
      </c>
      <c r="C1554" s="6" t="s">
        <v>23</v>
      </c>
      <c r="D1554" s="6" t="s">
        <v>3902</v>
      </c>
      <c r="E1554" s="6" t="s">
        <v>2461</v>
      </c>
      <c r="F1554" s="6" t="s">
        <v>18</v>
      </c>
      <c r="G1554" s="7">
        <v>0.05</v>
      </c>
      <c r="H1554" s="6" t="s">
        <v>153</v>
      </c>
      <c r="I1554" s="6" t="s">
        <v>20</v>
      </c>
      <c r="J1554" s="6">
        <v>2025.0</v>
      </c>
      <c r="K1554" s="10">
        <v>46117.0</v>
      </c>
      <c r="L1554" s="6">
        <v>7.0</v>
      </c>
      <c r="M1554" s="8">
        <f t="shared" si="2"/>
        <v>0.35</v>
      </c>
      <c r="P1554" s="9"/>
    </row>
    <row r="1555">
      <c r="A1555" s="6" t="s">
        <v>3900</v>
      </c>
      <c r="B1555" s="6" t="s">
        <v>3901</v>
      </c>
      <c r="C1555" s="6" t="s">
        <v>23</v>
      </c>
      <c r="D1555" s="6" t="s">
        <v>3902</v>
      </c>
      <c r="E1555" s="6" t="s">
        <v>2461</v>
      </c>
      <c r="F1555" s="6" t="s">
        <v>18</v>
      </c>
      <c r="G1555" s="7">
        <v>0.24</v>
      </c>
      <c r="H1555" s="6" t="s">
        <v>153</v>
      </c>
      <c r="I1555" s="6" t="s">
        <v>45</v>
      </c>
      <c r="J1555" s="6">
        <v>2025.0</v>
      </c>
      <c r="K1555" s="10">
        <v>46117.0</v>
      </c>
      <c r="L1555" s="6">
        <v>2.0</v>
      </c>
      <c r="M1555" s="8">
        <f t="shared" si="2"/>
        <v>0.48</v>
      </c>
      <c r="P1555" s="9"/>
    </row>
    <row r="1556">
      <c r="A1556" s="6" t="s">
        <v>3903</v>
      </c>
      <c r="B1556" s="6" t="s">
        <v>606</v>
      </c>
      <c r="C1556" s="6" t="s">
        <v>23</v>
      </c>
      <c r="D1556" s="6" t="s">
        <v>3904</v>
      </c>
      <c r="E1556" s="6" t="s">
        <v>659</v>
      </c>
      <c r="F1556" s="6" t="s">
        <v>18</v>
      </c>
      <c r="G1556" s="7">
        <v>0.1</v>
      </c>
      <c r="H1556" s="6" t="s">
        <v>153</v>
      </c>
      <c r="I1556" s="6" t="s">
        <v>20</v>
      </c>
      <c r="J1556" s="6">
        <v>2025.0</v>
      </c>
      <c r="L1556" s="6">
        <v>8.0</v>
      </c>
      <c r="M1556" s="8">
        <f t="shared" si="2"/>
        <v>0.8</v>
      </c>
      <c r="P1556" s="9"/>
    </row>
    <row r="1557">
      <c r="A1557" s="6" t="s">
        <v>3903</v>
      </c>
      <c r="B1557" s="6" t="s">
        <v>606</v>
      </c>
      <c r="C1557" s="6" t="s">
        <v>23</v>
      </c>
      <c r="D1557" s="6" t="s">
        <v>3904</v>
      </c>
      <c r="E1557" s="6" t="s">
        <v>659</v>
      </c>
      <c r="F1557" s="6" t="s">
        <v>18</v>
      </c>
      <c r="G1557" s="7">
        <v>0.4</v>
      </c>
      <c r="H1557" s="6" t="s">
        <v>153</v>
      </c>
      <c r="I1557" s="6" t="s">
        <v>45</v>
      </c>
      <c r="J1557" s="6">
        <v>2025.0</v>
      </c>
      <c r="L1557" s="6">
        <v>1.0</v>
      </c>
      <c r="M1557" s="8">
        <f t="shared" si="2"/>
        <v>0.4</v>
      </c>
      <c r="P1557" s="9"/>
    </row>
    <row r="1558">
      <c r="A1558" s="6" t="s">
        <v>3905</v>
      </c>
      <c r="B1558" s="6" t="s">
        <v>162</v>
      </c>
      <c r="C1558" s="6" t="s">
        <v>43</v>
      </c>
      <c r="D1558" s="6" t="s">
        <v>3906</v>
      </c>
      <c r="E1558" s="6" t="s">
        <v>176</v>
      </c>
      <c r="F1558" s="6" t="s">
        <v>77</v>
      </c>
      <c r="G1558" s="7">
        <v>0.07</v>
      </c>
      <c r="H1558" s="6" t="s">
        <v>488</v>
      </c>
      <c r="I1558" s="6" t="s">
        <v>20</v>
      </c>
      <c r="J1558" s="6">
        <v>2023.0</v>
      </c>
      <c r="L1558" s="6">
        <v>1.0</v>
      </c>
      <c r="M1558" s="8">
        <f t="shared" si="2"/>
        <v>0.07</v>
      </c>
      <c r="P1558" s="9"/>
    </row>
    <row r="1559">
      <c r="A1559" s="6" t="s">
        <v>3907</v>
      </c>
      <c r="B1559" s="6" t="s">
        <v>219</v>
      </c>
      <c r="C1559" s="6" t="s">
        <v>37</v>
      </c>
      <c r="D1559" s="6" t="s">
        <v>3908</v>
      </c>
      <c r="E1559" s="6" t="s">
        <v>994</v>
      </c>
      <c r="F1559" s="6" t="s">
        <v>26</v>
      </c>
      <c r="G1559" s="7">
        <v>0.34</v>
      </c>
      <c r="H1559" s="6" t="s">
        <v>187</v>
      </c>
      <c r="I1559" s="6" t="s">
        <v>20</v>
      </c>
      <c r="J1559" s="6">
        <v>1995.0</v>
      </c>
      <c r="L1559" s="6">
        <v>1.0</v>
      </c>
      <c r="M1559" s="8">
        <f t="shared" si="2"/>
        <v>0.34</v>
      </c>
      <c r="P1559" s="9"/>
    </row>
    <row r="1560">
      <c r="A1560" s="6" t="s">
        <v>3909</v>
      </c>
      <c r="B1560" s="6" t="s">
        <v>3569</v>
      </c>
      <c r="C1560" s="6" t="s">
        <v>15</v>
      </c>
      <c r="D1560" s="6" t="s">
        <v>3910</v>
      </c>
      <c r="E1560" s="6" t="s">
        <v>3911</v>
      </c>
      <c r="F1560" s="6" t="s">
        <v>3912</v>
      </c>
      <c r="G1560" s="7">
        <v>0.19</v>
      </c>
      <c r="H1560" s="6" t="s">
        <v>153</v>
      </c>
      <c r="I1560" s="6" t="s">
        <v>20</v>
      </c>
      <c r="J1560" s="6">
        <v>2025.0</v>
      </c>
      <c r="K1560" s="10">
        <v>46055.0</v>
      </c>
      <c r="L1560" s="6">
        <v>1.0</v>
      </c>
      <c r="M1560" s="8">
        <f t="shared" si="2"/>
        <v>0.19</v>
      </c>
      <c r="P1560" s="9"/>
    </row>
    <row r="1561">
      <c r="A1561" s="6" t="s">
        <v>3913</v>
      </c>
      <c r="B1561" s="6" t="s">
        <v>3914</v>
      </c>
      <c r="C1561" s="6" t="s">
        <v>43</v>
      </c>
      <c r="D1561" s="6" t="s">
        <v>3915</v>
      </c>
      <c r="E1561" s="6" t="s">
        <v>98</v>
      </c>
      <c r="F1561" s="6" t="s">
        <v>18</v>
      </c>
      <c r="G1561" s="7">
        <v>0.07</v>
      </c>
      <c r="H1561" s="6" t="s">
        <v>34</v>
      </c>
      <c r="I1561" s="6" t="s">
        <v>20</v>
      </c>
      <c r="J1561" s="6">
        <v>2025.0</v>
      </c>
      <c r="K1561" s="10">
        <v>46055.0</v>
      </c>
      <c r="L1561" s="6">
        <v>2.0</v>
      </c>
      <c r="M1561" s="8">
        <f t="shared" si="2"/>
        <v>0.14</v>
      </c>
      <c r="P1561" s="9"/>
    </row>
    <row r="1562">
      <c r="A1562" s="6" t="s">
        <v>3916</v>
      </c>
      <c r="B1562" s="6" t="s">
        <v>3917</v>
      </c>
      <c r="C1562" s="6" t="s">
        <v>37</v>
      </c>
      <c r="D1562" s="6" t="s">
        <v>3918</v>
      </c>
      <c r="E1562" s="6" t="s">
        <v>1820</v>
      </c>
      <c r="F1562" s="6" t="s">
        <v>77</v>
      </c>
      <c r="G1562" s="7">
        <v>0.45</v>
      </c>
      <c r="H1562" s="6" t="s">
        <v>58</v>
      </c>
      <c r="I1562" s="6" t="s">
        <v>20</v>
      </c>
      <c r="J1562" s="6">
        <v>1995.0</v>
      </c>
      <c r="K1562" s="10">
        <v>46147.0</v>
      </c>
      <c r="L1562" s="6">
        <v>1.0</v>
      </c>
      <c r="M1562" s="8">
        <f t="shared" si="2"/>
        <v>0.45</v>
      </c>
      <c r="P1562" s="9"/>
    </row>
    <row r="1563">
      <c r="A1563" s="6" t="s">
        <v>3919</v>
      </c>
      <c r="B1563" s="6" t="s">
        <v>3920</v>
      </c>
      <c r="C1563" s="6" t="s">
        <v>15</v>
      </c>
      <c r="D1563" s="6" t="s">
        <v>3921</v>
      </c>
      <c r="E1563" s="6" t="s">
        <v>852</v>
      </c>
      <c r="F1563" s="6" t="s">
        <v>18</v>
      </c>
      <c r="G1563" s="7">
        <v>0.05</v>
      </c>
      <c r="H1563" s="6" t="s">
        <v>3143</v>
      </c>
      <c r="I1563" s="6" t="s">
        <v>20</v>
      </c>
      <c r="J1563" s="6">
        <v>2025.0</v>
      </c>
      <c r="K1563" s="10">
        <v>46024.0</v>
      </c>
      <c r="L1563" s="6">
        <v>2.0</v>
      </c>
      <c r="M1563" s="8">
        <f t="shared" si="2"/>
        <v>0.1</v>
      </c>
      <c r="P1563" s="9"/>
    </row>
    <row r="1564">
      <c r="A1564" s="6" t="s">
        <v>3922</v>
      </c>
      <c r="B1564" s="6" t="s">
        <v>52</v>
      </c>
      <c r="C1564" s="6" t="s">
        <v>43</v>
      </c>
      <c r="D1564" s="6" t="s">
        <v>3923</v>
      </c>
      <c r="F1564" s="6" t="s">
        <v>159</v>
      </c>
      <c r="G1564" s="7">
        <v>0.22</v>
      </c>
      <c r="H1564" s="6" t="s">
        <v>136</v>
      </c>
      <c r="I1564" s="6" t="s">
        <v>45</v>
      </c>
      <c r="J1564" s="6">
        <v>2026.0</v>
      </c>
      <c r="L1564" s="6">
        <v>1.0</v>
      </c>
      <c r="M1564" s="8">
        <f t="shared" si="2"/>
        <v>0.22</v>
      </c>
      <c r="P1564" s="9"/>
    </row>
    <row r="1565">
      <c r="A1565" s="6" t="s">
        <v>3924</v>
      </c>
      <c r="B1565" s="6" t="s">
        <v>3289</v>
      </c>
      <c r="C1565" s="6" t="s">
        <v>418</v>
      </c>
      <c r="D1565" s="6" t="s">
        <v>3925</v>
      </c>
      <c r="E1565" s="6" t="s">
        <v>654</v>
      </c>
      <c r="F1565" s="6" t="s">
        <v>18</v>
      </c>
      <c r="G1565" s="7">
        <v>0.05</v>
      </c>
      <c r="H1565" s="6" t="s">
        <v>471</v>
      </c>
      <c r="I1565" s="6" t="s">
        <v>20</v>
      </c>
      <c r="J1565" s="6">
        <v>2026.0</v>
      </c>
      <c r="K1565" s="10">
        <v>46085.0</v>
      </c>
      <c r="L1565" s="6">
        <v>1.0</v>
      </c>
      <c r="M1565" s="8">
        <f t="shared" si="2"/>
        <v>0.05</v>
      </c>
      <c r="P1565" s="9"/>
    </row>
    <row r="1566">
      <c r="A1566" s="6" t="s">
        <v>3926</v>
      </c>
      <c r="B1566" s="6" t="s">
        <v>657</v>
      </c>
      <c r="C1566" s="6" t="s">
        <v>23</v>
      </c>
      <c r="D1566" s="6" t="s">
        <v>3927</v>
      </c>
      <c r="E1566" s="6" t="s">
        <v>659</v>
      </c>
      <c r="F1566" s="6" t="s">
        <v>18</v>
      </c>
      <c r="G1566" s="7">
        <v>0.05</v>
      </c>
      <c r="H1566" s="6" t="s">
        <v>780</v>
      </c>
      <c r="I1566" s="6" t="s">
        <v>20</v>
      </c>
      <c r="J1566" s="6">
        <v>2025.0</v>
      </c>
      <c r="L1566" s="6">
        <v>1.0</v>
      </c>
      <c r="M1566" s="8">
        <f t="shared" si="2"/>
        <v>0.05</v>
      </c>
      <c r="P1566" s="9"/>
    </row>
    <row r="1567">
      <c r="A1567" s="6" t="s">
        <v>3928</v>
      </c>
      <c r="B1567" s="6" t="s">
        <v>3929</v>
      </c>
      <c r="C1567" s="6" t="s">
        <v>43</v>
      </c>
      <c r="D1567" s="6" t="s">
        <v>3930</v>
      </c>
      <c r="E1567" s="6" t="s">
        <v>164</v>
      </c>
      <c r="F1567" s="6" t="s">
        <v>112</v>
      </c>
      <c r="G1567" s="7">
        <v>0.41</v>
      </c>
      <c r="H1567" s="6" t="s">
        <v>428</v>
      </c>
      <c r="I1567" s="6" t="s">
        <v>20</v>
      </c>
      <c r="J1567" s="6">
        <v>2022.0</v>
      </c>
      <c r="K1567" s="10">
        <v>46023.0</v>
      </c>
      <c r="L1567" s="6">
        <v>1.0</v>
      </c>
      <c r="M1567" s="8">
        <f t="shared" si="2"/>
        <v>0.41</v>
      </c>
      <c r="P1567" s="9"/>
    </row>
    <row r="1568">
      <c r="A1568" s="6" t="s">
        <v>3931</v>
      </c>
      <c r="B1568" s="6" t="s">
        <v>3932</v>
      </c>
      <c r="C1568" s="6" t="s">
        <v>43</v>
      </c>
      <c r="D1568" s="6" t="s">
        <v>3933</v>
      </c>
      <c r="E1568" s="6" t="s">
        <v>140</v>
      </c>
      <c r="F1568" s="6" t="s">
        <v>87</v>
      </c>
      <c r="G1568" s="7">
        <v>0.15</v>
      </c>
      <c r="H1568" s="6" t="s">
        <v>313</v>
      </c>
      <c r="I1568" s="6" t="s">
        <v>20</v>
      </c>
      <c r="J1568" s="6">
        <v>1995.0</v>
      </c>
      <c r="L1568" s="6">
        <v>3.0</v>
      </c>
      <c r="M1568" s="8">
        <f t="shared" si="2"/>
        <v>0.45</v>
      </c>
      <c r="P1568" s="9"/>
    </row>
    <row r="1569">
      <c r="A1569" s="6" t="s">
        <v>3934</v>
      </c>
      <c r="B1569" s="6" t="s">
        <v>610</v>
      </c>
      <c r="C1569" s="6" t="s">
        <v>30</v>
      </c>
      <c r="D1569" s="6" t="s">
        <v>3935</v>
      </c>
      <c r="E1569" s="6" t="s">
        <v>757</v>
      </c>
      <c r="F1569" s="6" t="s">
        <v>87</v>
      </c>
      <c r="G1569" s="7">
        <v>0.75</v>
      </c>
      <c r="H1569" s="6" t="s">
        <v>918</v>
      </c>
      <c r="I1569" s="6" t="s">
        <v>20</v>
      </c>
      <c r="J1569" s="6">
        <v>2023.0</v>
      </c>
      <c r="K1569" s="10">
        <v>46116.0</v>
      </c>
      <c r="L1569" s="6">
        <v>1.0</v>
      </c>
      <c r="M1569" s="8">
        <f t="shared" si="2"/>
        <v>0.75</v>
      </c>
      <c r="P1569" s="9"/>
    </row>
    <row r="1570">
      <c r="A1570" s="6" t="s">
        <v>3936</v>
      </c>
      <c r="B1570" s="6" t="s">
        <v>3937</v>
      </c>
      <c r="C1570" s="6" t="s">
        <v>37</v>
      </c>
      <c r="D1570" s="6" t="s">
        <v>3938</v>
      </c>
      <c r="E1570" s="6" t="s">
        <v>3939</v>
      </c>
      <c r="F1570" s="6" t="s">
        <v>87</v>
      </c>
      <c r="G1570" s="7">
        <v>0.1</v>
      </c>
      <c r="H1570" s="6" t="s">
        <v>918</v>
      </c>
      <c r="I1570" s="6" t="s">
        <v>20</v>
      </c>
      <c r="J1570" s="6">
        <v>2023.0</v>
      </c>
      <c r="K1570" s="10">
        <v>46055.0</v>
      </c>
      <c r="L1570" s="6">
        <v>1.0</v>
      </c>
      <c r="M1570" s="8">
        <f t="shared" si="2"/>
        <v>0.1</v>
      </c>
      <c r="P1570" s="9"/>
    </row>
    <row r="1571">
      <c r="A1571" s="6" t="s">
        <v>3940</v>
      </c>
      <c r="B1571" s="6" t="s">
        <v>3941</v>
      </c>
      <c r="C1571" s="6" t="s">
        <v>43</v>
      </c>
      <c r="D1571" s="6" t="s">
        <v>3942</v>
      </c>
      <c r="E1571" s="6" t="s">
        <v>57</v>
      </c>
      <c r="F1571" s="6" t="s">
        <v>40</v>
      </c>
      <c r="G1571" s="7">
        <v>0.06</v>
      </c>
      <c r="H1571" s="6" t="s">
        <v>297</v>
      </c>
      <c r="I1571" s="6" t="s">
        <v>20</v>
      </c>
      <c r="J1571" s="6">
        <v>2022.0</v>
      </c>
      <c r="K1571" s="10">
        <v>46056.0</v>
      </c>
      <c r="L1571" s="6">
        <v>2.0</v>
      </c>
      <c r="M1571" s="8">
        <f t="shared" si="2"/>
        <v>0.12</v>
      </c>
      <c r="P1571" s="9"/>
    </row>
    <row r="1572">
      <c r="A1572" s="6" t="s">
        <v>3940</v>
      </c>
      <c r="B1572" s="6" t="s">
        <v>3941</v>
      </c>
      <c r="C1572" s="6" t="s">
        <v>43</v>
      </c>
      <c r="D1572" s="6" t="s">
        <v>3942</v>
      </c>
      <c r="E1572" s="6" t="s">
        <v>57</v>
      </c>
      <c r="F1572" s="6" t="s">
        <v>40</v>
      </c>
      <c r="G1572" s="7">
        <v>0.13</v>
      </c>
      <c r="H1572" s="6" t="s">
        <v>3621</v>
      </c>
      <c r="I1572" s="6" t="s">
        <v>20</v>
      </c>
      <c r="J1572" s="6">
        <v>2022.0</v>
      </c>
      <c r="K1572" s="10">
        <v>46056.0</v>
      </c>
      <c r="L1572" s="6">
        <v>1.0</v>
      </c>
      <c r="M1572" s="8">
        <f t="shared" si="2"/>
        <v>0.13</v>
      </c>
      <c r="P1572" s="9"/>
    </row>
    <row r="1573">
      <c r="A1573" s="6" t="s">
        <v>3943</v>
      </c>
      <c r="B1573" s="6" t="s">
        <v>3944</v>
      </c>
      <c r="C1573" s="6" t="s">
        <v>23</v>
      </c>
      <c r="D1573" s="6" t="s">
        <v>3945</v>
      </c>
      <c r="E1573" s="6" t="s">
        <v>2112</v>
      </c>
      <c r="F1573" s="6" t="s">
        <v>665</v>
      </c>
      <c r="G1573" s="7">
        <v>0.05</v>
      </c>
      <c r="H1573" s="6" t="s">
        <v>617</v>
      </c>
      <c r="I1573" s="6" t="s">
        <v>20</v>
      </c>
      <c r="J1573" s="6">
        <v>2026.0</v>
      </c>
      <c r="K1573" s="10">
        <v>46084.0</v>
      </c>
      <c r="L1573" s="6">
        <v>1.0</v>
      </c>
      <c r="M1573" s="8">
        <f t="shared" si="2"/>
        <v>0.05</v>
      </c>
      <c r="P1573" s="9"/>
    </row>
    <row r="1574">
      <c r="A1574" s="6" t="s">
        <v>3946</v>
      </c>
      <c r="B1574" s="6" t="s">
        <v>685</v>
      </c>
      <c r="C1574" s="6" t="s">
        <v>43</v>
      </c>
      <c r="D1574" s="6" t="s">
        <v>3947</v>
      </c>
      <c r="E1574" s="6" t="s">
        <v>1417</v>
      </c>
      <c r="F1574" s="6" t="s">
        <v>71</v>
      </c>
      <c r="G1574" s="7">
        <v>0.06</v>
      </c>
      <c r="H1574" s="6" t="s">
        <v>431</v>
      </c>
      <c r="I1574" s="6" t="s">
        <v>20</v>
      </c>
      <c r="J1574" s="6">
        <v>2019.0</v>
      </c>
      <c r="K1574" s="10">
        <v>46024.0</v>
      </c>
      <c r="L1574" s="6">
        <v>5.0</v>
      </c>
      <c r="M1574" s="8">
        <f t="shared" si="2"/>
        <v>0.3</v>
      </c>
      <c r="P1574" s="9"/>
    </row>
    <row r="1575">
      <c r="A1575" s="6" t="s">
        <v>3948</v>
      </c>
      <c r="B1575" s="6" t="s">
        <v>462</v>
      </c>
      <c r="C1575" s="6" t="s">
        <v>418</v>
      </c>
      <c r="D1575" s="6" t="s">
        <v>3949</v>
      </c>
      <c r="E1575" s="6" t="s">
        <v>140</v>
      </c>
      <c r="F1575" s="6" t="s">
        <v>87</v>
      </c>
      <c r="G1575" s="7">
        <v>0.1</v>
      </c>
      <c r="H1575" s="6" t="s">
        <v>471</v>
      </c>
      <c r="I1575" s="6" t="s">
        <v>20</v>
      </c>
      <c r="J1575" s="6">
        <v>2026.0</v>
      </c>
      <c r="L1575" s="6">
        <v>2.0</v>
      </c>
      <c r="M1575" s="8">
        <f t="shared" si="2"/>
        <v>0.2</v>
      </c>
      <c r="P1575" s="9"/>
    </row>
    <row r="1576">
      <c r="A1576" s="6" t="s">
        <v>3950</v>
      </c>
      <c r="B1576" s="6" t="s">
        <v>254</v>
      </c>
      <c r="C1576" s="6" t="s">
        <v>43</v>
      </c>
      <c r="D1576" s="6" t="s">
        <v>3951</v>
      </c>
      <c r="E1576" s="6" t="s">
        <v>140</v>
      </c>
      <c r="F1576" s="6" t="s">
        <v>87</v>
      </c>
      <c r="G1576" s="7">
        <v>0.05</v>
      </c>
      <c r="H1576" s="6" t="s">
        <v>187</v>
      </c>
      <c r="I1576" s="6" t="s">
        <v>20</v>
      </c>
      <c r="J1576" s="6">
        <v>1995.0</v>
      </c>
      <c r="L1576" s="6">
        <v>1.0</v>
      </c>
      <c r="M1576" s="8">
        <f t="shared" si="2"/>
        <v>0.05</v>
      </c>
      <c r="P1576" s="9"/>
    </row>
    <row r="1577">
      <c r="A1577" s="6" t="s">
        <v>3952</v>
      </c>
      <c r="B1577" s="6" t="s">
        <v>138</v>
      </c>
      <c r="C1577" s="6" t="s">
        <v>43</v>
      </c>
      <c r="D1577" s="6" t="s">
        <v>3953</v>
      </c>
      <c r="E1577" s="6" t="s">
        <v>356</v>
      </c>
      <c r="F1577" s="6" t="s">
        <v>87</v>
      </c>
      <c r="G1577" s="7">
        <v>0.05</v>
      </c>
      <c r="H1577" s="6" t="s">
        <v>475</v>
      </c>
      <c r="I1577" s="6" t="s">
        <v>20</v>
      </c>
      <c r="J1577" s="6">
        <v>2024.0</v>
      </c>
      <c r="L1577" s="6">
        <v>1.0</v>
      </c>
      <c r="M1577" s="8">
        <f t="shared" si="2"/>
        <v>0.05</v>
      </c>
      <c r="P1577" s="9"/>
    </row>
    <row r="1578">
      <c r="A1578" s="6" t="s">
        <v>3954</v>
      </c>
      <c r="B1578" s="6" t="s">
        <v>494</v>
      </c>
      <c r="C1578" s="6" t="s">
        <v>37</v>
      </c>
      <c r="D1578" s="6" t="s">
        <v>3955</v>
      </c>
      <c r="E1578" s="6" t="s">
        <v>98</v>
      </c>
      <c r="F1578" s="6" t="s">
        <v>18</v>
      </c>
      <c r="G1578" s="7">
        <v>0.17</v>
      </c>
      <c r="H1578" s="6" t="s">
        <v>88</v>
      </c>
      <c r="I1578" s="6" t="s">
        <v>20</v>
      </c>
      <c r="J1578" s="6">
        <v>2024.0</v>
      </c>
      <c r="L1578" s="6">
        <v>1.0</v>
      </c>
      <c r="M1578" s="8">
        <f t="shared" si="2"/>
        <v>0.17</v>
      </c>
      <c r="P1578" s="9"/>
    </row>
    <row r="1579">
      <c r="A1579" s="6" t="s">
        <v>3956</v>
      </c>
      <c r="B1579" s="6" t="s">
        <v>606</v>
      </c>
      <c r="C1579" s="6" t="s">
        <v>23</v>
      </c>
      <c r="D1579" s="6" t="s">
        <v>3957</v>
      </c>
      <c r="E1579" s="6" t="s">
        <v>852</v>
      </c>
      <c r="F1579" s="6" t="s">
        <v>18</v>
      </c>
      <c r="G1579" s="7">
        <v>1.0</v>
      </c>
      <c r="H1579" s="6" t="s">
        <v>130</v>
      </c>
      <c r="I1579" s="6" t="s">
        <v>20</v>
      </c>
      <c r="J1579" s="6">
        <v>2014.0</v>
      </c>
      <c r="L1579" s="6">
        <v>1.0</v>
      </c>
      <c r="M1579" s="8">
        <f t="shared" si="2"/>
        <v>1</v>
      </c>
      <c r="P1579" s="9"/>
    </row>
    <row r="1580">
      <c r="A1580" s="6" t="s">
        <v>3958</v>
      </c>
      <c r="B1580" s="6" t="s">
        <v>2739</v>
      </c>
      <c r="C1580" s="6" t="s">
        <v>43</v>
      </c>
      <c r="D1580" s="6" t="s">
        <v>3959</v>
      </c>
      <c r="E1580" s="6" t="s">
        <v>140</v>
      </c>
      <c r="F1580" s="6" t="s">
        <v>87</v>
      </c>
      <c r="G1580" s="7">
        <v>0.5</v>
      </c>
      <c r="H1580" s="6" t="s">
        <v>113</v>
      </c>
      <c r="I1580" s="6" t="s">
        <v>20</v>
      </c>
      <c r="J1580" s="6">
        <v>2023.0</v>
      </c>
      <c r="K1580" s="10">
        <v>46023.0</v>
      </c>
      <c r="L1580" s="6">
        <v>1.0</v>
      </c>
      <c r="M1580" s="8">
        <f t="shared" si="2"/>
        <v>0.5</v>
      </c>
      <c r="P1580" s="9"/>
    </row>
    <row r="1581">
      <c r="A1581" s="6" t="s">
        <v>3960</v>
      </c>
      <c r="B1581" s="6" t="s">
        <v>462</v>
      </c>
      <c r="C1581" s="6" t="s">
        <v>43</v>
      </c>
      <c r="D1581" s="6" t="s">
        <v>3961</v>
      </c>
      <c r="E1581" s="6" t="s">
        <v>356</v>
      </c>
      <c r="F1581" s="6" t="s">
        <v>87</v>
      </c>
      <c r="G1581" s="7">
        <v>0.05</v>
      </c>
      <c r="H1581" s="6" t="s">
        <v>88</v>
      </c>
      <c r="I1581" s="6" t="s">
        <v>20</v>
      </c>
      <c r="J1581" s="6">
        <v>2024.0</v>
      </c>
      <c r="L1581" s="6">
        <v>1.0</v>
      </c>
      <c r="M1581" s="8">
        <f t="shared" si="2"/>
        <v>0.05</v>
      </c>
      <c r="P1581" s="9"/>
    </row>
    <row r="1582">
      <c r="A1582" s="6" t="s">
        <v>3962</v>
      </c>
      <c r="B1582" s="6" t="s">
        <v>606</v>
      </c>
      <c r="C1582" s="6" t="s">
        <v>23</v>
      </c>
      <c r="D1582" s="6" t="s">
        <v>3963</v>
      </c>
      <c r="E1582" s="6" t="s">
        <v>1007</v>
      </c>
      <c r="F1582" s="6" t="s">
        <v>1335</v>
      </c>
      <c r="G1582" s="7">
        <v>0.03</v>
      </c>
      <c r="H1582" s="6" t="s">
        <v>342</v>
      </c>
      <c r="I1582" s="6" t="s">
        <v>20</v>
      </c>
      <c r="J1582" s="6">
        <v>2014.0</v>
      </c>
      <c r="L1582" s="6">
        <v>3.0</v>
      </c>
      <c r="M1582" s="8">
        <f t="shared" si="2"/>
        <v>0.09</v>
      </c>
      <c r="P1582" s="9"/>
    </row>
    <row r="1583">
      <c r="A1583" s="6" t="s">
        <v>3964</v>
      </c>
      <c r="B1583" s="6" t="s">
        <v>2124</v>
      </c>
      <c r="C1583" s="6" t="s">
        <v>183</v>
      </c>
      <c r="D1583" s="6" t="s">
        <v>3965</v>
      </c>
      <c r="E1583" s="6" t="s">
        <v>3966</v>
      </c>
      <c r="F1583" s="6" t="s">
        <v>3210</v>
      </c>
      <c r="G1583" s="7">
        <v>0.04</v>
      </c>
      <c r="H1583" s="6" t="s">
        <v>431</v>
      </c>
      <c r="I1583" s="6" t="s">
        <v>20</v>
      </c>
      <c r="J1583" s="6">
        <v>2019.0</v>
      </c>
      <c r="L1583" s="6">
        <v>2.0</v>
      </c>
      <c r="M1583" s="8">
        <f t="shared" si="2"/>
        <v>0.08</v>
      </c>
      <c r="P1583" s="9"/>
    </row>
    <row r="1584">
      <c r="A1584" s="6" t="s">
        <v>3967</v>
      </c>
      <c r="B1584" s="6" t="s">
        <v>162</v>
      </c>
      <c r="C1584" s="6" t="s">
        <v>30</v>
      </c>
      <c r="D1584" s="6" t="s">
        <v>3968</v>
      </c>
      <c r="E1584" s="6" t="s">
        <v>2030</v>
      </c>
      <c r="F1584" s="6" t="s">
        <v>40</v>
      </c>
      <c r="G1584" s="7">
        <v>0.38</v>
      </c>
      <c r="H1584" s="6" t="s">
        <v>1148</v>
      </c>
      <c r="I1584" s="6" t="s">
        <v>20</v>
      </c>
      <c r="J1584" s="6">
        <v>2012.0</v>
      </c>
      <c r="L1584" s="6">
        <v>1.0</v>
      </c>
      <c r="M1584" s="8">
        <f t="shared" si="2"/>
        <v>0.38</v>
      </c>
      <c r="P1584" s="9"/>
    </row>
    <row r="1585">
      <c r="A1585" s="6" t="s">
        <v>3969</v>
      </c>
      <c r="B1585" s="6" t="s">
        <v>115</v>
      </c>
      <c r="C1585" s="6" t="s">
        <v>15</v>
      </c>
      <c r="D1585" s="6" t="s">
        <v>3970</v>
      </c>
      <c r="E1585" s="6" t="s">
        <v>1896</v>
      </c>
      <c r="F1585" s="6" t="s">
        <v>87</v>
      </c>
      <c r="G1585" s="7">
        <v>0.24</v>
      </c>
      <c r="H1585" s="6" t="s">
        <v>19</v>
      </c>
      <c r="I1585" s="6" t="s">
        <v>20</v>
      </c>
      <c r="J1585" s="6">
        <v>2023.0</v>
      </c>
      <c r="L1585" s="6">
        <v>1.0</v>
      </c>
      <c r="M1585" s="8">
        <f t="shared" si="2"/>
        <v>0.24</v>
      </c>
      <c r="P1585" s="9"/>
    </row>
    <row r="1586">
      <c r="A1586" s="6" t="s">
        <v>3971</v>
      </c>
      <c r="B1586" s="6" t="s">
        <v>2969</v>
      </c>
      <c r="C1586" s="6" t="s">
        <v>23</v>
      </c>
      <c r="D1586" s="6" t="s">
        <v>3972</v>
      </c>
      <c r="E1586" s="6" t="s">
        <v>3973</v>
      </c>
      <c r="F1586" s="6" t="s">
        <v>40</v>
      </c>
      <c r="G1586" s="7">
        <v>0.06</v>
      </c>
      <c r="H1586" s="6" t="s">
        <v>130</v>
      </c>
      <c r="I1586" s="6" t="s">
        <v>20</v>
      </c>
      <c r="J1586" s="6">
        <v>2014.0</v>
      </c>
      <c r="K1586" s="10">
        <v>46023.0</v>
      </c>
      <c r="L1586" s="6">
        <v>1.0</v>
      </c>
      <c r="M1586" s="8">
        <f t="shared" si="2"/>
        <v>0.06</v>
      </c>
      <c r="P1586" s="9"/>
    </row>
    <row r="1587">
      <c r="A1587" s="6" t="s">
        <v>3971</v>
      </c>
      <c r="B1587" s="6" t="s">
        <v>371</v>
      </c>
      <c r="C1587" s="6" t="s">
        <v>43</v>
      </c>
      <c r="D1587" s="6" t="s">
        <v>3974</v>
      </c>
      <c r="E1587" s="6" t="s">
        <v>125</v>
      </c>
      <c r="F1587" s="6" t="s">
        <v>40</v>
      </c>
      <c r="G1587" s="7">
        <v>0.07</v>
      </c>
      <c r="H1587" s="6" t="s">
        <v>424</v>
      </c>
      <c r="I1587" s="6" t="s">
        <v>20</v>
      </c>
      <c r="J1587" s="6">
        <v>2017.0</v>
      </c>
      <c r="K1587" s="10">
        <v>46023.0</v>
      </c>
      <c r="L1587" s="6">
        <v>4.0</v>
      </c>
      <c r="M1587" s="8">
        <f t="shared" si="2"/>
        <v>0.28</v>
      </c>
      <c r="P1587" s="9"/>
    </row>
    <row r="1588">
      <c r="A1588" s="6" t="s">
        <v>3971</v>
      </c>
      <c r="B1588" s="6" t="s">
        <v>371</v>
      </c>
      <c r="C1588" s="6" t="s">
        <v>43</v>
      </c>
      <c r="D1588" s="6" t="s">
        <v>3974</v>
      </c>
      <c r="E1588" s="6" t="s">
        <v>125</v>
      </c>
      <c r="F1588" s="6" t="s">
        <v>40</v>
      </c>
      <c r="G1588" s="7">
        <v>0.14</v>
      </c>
      <c r="H1588" s="6" t="s">
        <v>428</v>
      </c>
      <c r="I1588" s="6" t="s">
        <v>20</v>
      </c>
      <c r="J1588" s="6">
        <v>2022.0</v>
      </c>
      <c r="K1588" s="10">
        <v>46023.0</v>
      </c>
      <c r="L1588" s="6">
        <v>1.0</v>
      </c>
      <c r="M1588" s="8">
        <f t="shared" si="2"/>
        <v>0.14</v>
      </c>
      <c r="P1588" s="9"/>
    </row>
    <row r="1589">
      <c r="A1589" s="6" t="s">
        <v>3975</v>
      </c>
      <c r="B1589" s="6" t="s">
        <v>3976</v>
      </c>
      <c r="C1589" s="6" t="s">
        <v>30</v>
      </c>
      <c r="D1589" s="6" t="s">
        <v>3977</v>
      </c>
      <c r="E1589" s="6" t="s">
        <v>3978</v>
      </c>
      <c r="F1589" s="6" t="s">
        <v>77</v>
      </c>
      <c r="G1589" s="7">
        <v>1.95</v>
      </c>
      <c r="H1589" s="6" t="s">
        <v>187</v>
      </c>
      <c r="I1589" s="6" t="s">
        <v>20</v>
      </c>
      <c r="J1589" s="6">
        <v>1995.0</v>
      </c>
      <c r="K1589" s="10">
        <v>46208.0</v>
      </c>
      <c r="L1589" s="6">
        <v>1.0</v>
      </c>
      <c r="M1589" s="8">
        <f t="shared" si="2"/>
        <v>1.95</v>
      </c>
      <c r="P1589" s="9"/>
    </row>
    <row r="1590">
      <c r="A1590" s="6" t="s">
        <v>3979</v>
      </c>
      <c r="B1590" s="6" t="s">
        <v>74</v>
      </c>
      <c r="C1590" s="6" t="s">
        <v>30</v>
      </c>
      <c r="D1590" s="6" t="s">
        <v>3980</v>
      </c>
      <c r="E1590" s="6" t="s">
        <v>1588</v>
      </c>
      <c r="F1590" s="6" t="s">
        <v>87</v>
      </c>
      <c r="G1590" s="7">
        <v>1.0</v>
      </c>
      <c r="H1590" s="6" t="s">
        <v>1063</v>
      </c>
      <c r="I1590" s="6" t="s">
        <v>20</v>
      </c>
      <c r="J1590" s="6">
        <v>1995.0</v>
      </c>
      <c r="L1590" s="6">
        <v>1.0</v>
      </c>
      <c r="M1590" s="8">
        <f t="shared" si="2"/>
        <v>1</v>
      </c>
      <c r="P1590" s="9"/>
    </row>
    <row r="1591">
      <c r="A1591" s="6" t="s">
        <v>3981</v>
      </c>
      <c r="B1591" s="6" t="s">
        <v>599</v>
      </c>
      <c r="C1591" s="6" t="s">
        <v>15</v>
      </c>
      <c r="D1591" s="6" t="s">
        <v>3982</v>
      </c>
      <c r="E1591" s="6" t="s">
        <v>814</v>
      </c>
      <c r="F1591" s="6" t="s">
        <v>87</v>
      </c>
      <c r="G1591" s="7">
        <v>0.06</v>
      </c>
      <c r="H1591" s="6" t="s">
        <v>130</v>
      </c>
      <c r="I1591" s="6" t="s">
        <v>20</v>
      </c>
      <c r="J1591" s="6">
        <v>2014.0</v>
      </c>
      <c r="L1591" s="6">
        <v>1.0</v>
      </c>
      <c r="M1591" s="8">
        <f t="shared" si="2"/>
        <v>0.06</v>
      </c>
      <c r="P1591" s="9"/>
    </row>
    <row r="1592">
      <c r="A1592" s="6" t="s">
        <v>3983</v>
      </c>
      <c r="B1592" s="6" t="s">
        <v>2022</v>
      </c>
      <c r="C1592" s="6" t="s">
        <v>43</v>
      </c>
      <c r="D1592" s="6" t="s">
        <v>3984</v>
      </c>
      <c r="E1592" s="6" t="s">
        <v>117</v>
      </c>
      <c r="F1592" s="6" t="s">
        <v>77</v>
      </c>
      <c r="G1592" s="7">
        <v>0.29</v>
      </c>
      <c r="H1592" s="6" t="s">
        <v>88</v>
      </c>
      <c r="I1592" s="6" t="s">
        <v>20</v>
      </c>
      <c r="J1592" s="6">
        <v>2024.0</v>
      </c>
      <c r="K1592" s="10">
        <v>46023.0</v>
      </c>
      <c r="L1592" s="6">
        <v>1.0</v>
      </c>
      <c r="M1592" s="8">
        <f t="shared" si="2"/>
        <v>0.29</v>
      </c>
      <c r="P1592" s="9"/>
    </row>
    <row r="1593">
      <c r="A1593" s="6" t="s">
        <v>3985</v>
      </c>
      <c r="B1593" s="6" t="s">
        <v>3986</v>
      </c>
      <c r="C1593" s="6" t="s">
        <v>156</v>
      </c>
      <c r="D1593" s="6" t="s">
        <v>3987</v>
      </c>
      <c r="E1593" s="6" t="s">
        <v>3988</v>
      </c>
      <c r="F1593" s="6" t="s">
        <v>665</v>
      </c>
      <c r="G1593" s="7">
        <v>0.9</v>
      </c>
      <c r="H1593" s="6" t="s">
        <v>780</v>
      </c>
      <c r="I1593" s="6" t="s">
        <v>45</v>
      </c>
      <c r="J1593" s="6">
        <v>2025.0</v>
      </c>
      <c r="K1593" s="6" t="s">
        <v>3989</v>
      </c>
      <c r="L1593" s="6">
        <v>1.0</v>
      </c>
      <c r="M1593" s="8">
        <f t="shared" si="2"/>
        <v>0.9</v>
      </c>
      <c r="P1593" s="9"/>
    </row>
    <row r="1594">
      <c r="A1594" s="6" t="s">
        <v>3990</v>
      </c>
      <c r="B1594" s="6" t="s">
        <v>3991</v>
      </c>
      <c r="C1594" s="6" t="s">
        <v>37</v>
      </c>
      <c r="D1594" s="6" t="s">
        <v>3992</v>
      </c>
      <c r="E1594" s="6" t="s">
        <v>224</v>
      </c>
      <c r="F1594" s="6" t="s">
        <v>18</v>
      </c>
      <c r="G1594" s="7">
        <v>0.1</v>
      </c>
      <c r="H1594" s="6" t="s">
        <v>113</v>
      </c>
      <c r="I1594" s="6" t="s">
        <v>20</v>
      </c>
      <c r="J1594" s="6">
        <v>2023.0</v>
      </c>
      <c r="K1594" s="10">
        <v>46084.0</v>
      </c>
      <c r="L1594" s="6">
        <v>1.0</v>
      </c>
      <c r="M1594" s="8">
        <f t="shared" si="2"/>
        <v>0.1</v>
      </c>
      <c r="P1594" s="9"/>
    </row>
    <row r="1595">
      <c r="A1595" s="6" t="s">
        <v>3993</v>
      </c>
      <c r="B1595" s="6" t="s">
        <v>1803</v>
      </c>
      <c r="C1595" s="6" t="s">
        <v>37</v>
      </c>
      <c r="D1595" s="6" t="s">
        <v>3994</v>
      </c>
      <c r="E1595" s="6" t="s">
        <v>3995</v>
      </c>
      <c r="F1595" s="6" t="s">
        <v>536</v>
      </c>
      <c r="G1595" s="7">
        <v>0.75</v>
      </c>
      <c r="H1595" s="6" t="s">
        <v>1048</v>
      </c>
      <c r="I1595" s="6" t="s">
        <v>20</v>
      </c>
      <c r="J1595" s="6">
        <v>2008.0</v>
      </c>
      <c r="K1595" s="10">
        <v>46024.0</v>
      </c>
      <c r="L1595" s="6">
        <v>1.0</v>
      </c>
      <c r="M1595" s="8">
        <f t="shared" si="2"/>
        <v>0.75</v>
      </c>
      <c r="P1595" s="9"/>
    </row>
    <row r="1596">
      <c r="A1596" s="6" t="s">
        <v>3996</v>
      </c>
      <c r="B1596" s="6" t="s">
        <v>2262</v>
      </c>
      <c r="C1596" s="6" t="s">
        <v>43</v>
      </c>
      <c r="D1596" s="6" t="s">
        <v>3997</v>
      </c>
      <c r="E1596" s="6" t="s">
        <v>76</v>
      </c>
      <c r="F1596" s="6" t="s">
        <v>77</v>
      </c>
      <c r="G1596" s="7">
        <v>0.1</v>
      </c>
      <c r="H1596" s="6" t="s">
        <v>297</v>
      </c>
      <c r="I1596" s="6" t="s">
        <v>20</v>
      </c>
      <c r="J1596" s="6">
        <v>2022.0</v>
      </c>
      <c r="K1596" s="10">
        <v>46054.0</v>
      </c>
      <c r="L1596" s="6">
        <v>1.0</v>
      </c>
      <c r="M1596" s="8">
        <f t="shared" si="2"/>
        <v>0.1</v>
      </c>
      <c r="P1596" s="9"/>
    </row>
    <row r="1597">
      <c r="A1597" s="6" t="s">
        <v>3996</v>
      </c>
      <c r="B1597" s="6" t="s">
        <v>2262</v>
      </c>
      <c r="C1597" s="6" t="s">
        <v>43</v>
      </c>
      <c r="D1597" s="6" t="s">
        <v>3997</v>
      </c>
      <c r="E1597" s="6" t="s">
        <v>76</v>
      </c>
      <c r="F1597" s="6" t="s">
        <v>77</v>
      </c>
      <c r="G1597" s="7">
        <v>0.08</v>
      </c>
      <c r="H1597" s="6" t="s">
        <v>3621</v>
      </c>
      <c r="I1597" s="6" t="s">
        <v>20</v>
      </c>
      <c r="J1597" s="6">
        <v>2022.0</v>
      </c>
      <c r="K1597" s="10">
        <v>46054.0</v>
      </c>
      <c r="L1597" s="6">
        <v>1.0</v>
      </c>
      <c r="M1597" s="8">
        <f t="shared" si="2"/>
        <v>0.08</v>
      </c>
      <c r="P1597" s="9"/>
    </row>
    <row r="1598">
      <c r="A1598" s="6" t="s">
        <v>3998</v>
      </c>
      <c r="B1598" s="6" t="s">
        <v>74</v>
      </c>
      <c r="C1598" s="6" t="s">
        <v>43</v>
      </c>
      <c r="D1598" s="6" t="s">
        <v>3999</v>
      </c>
      <c r="E1598" s="6" t="s">
        <v>86</v>
      </c>
      <c r="F1598" s="6" t="s">
        <v>87</v>
      </c>
      <c r="G1598" s="7">
        <v>0.05</v>
      </c>
      <c r="H1598" s="6" t="s">
        <v>165</v>
      </c>
      <c r="I1598" s="6" t="s">
        <v>20</v>
      </c>
      <c r="J1598" s="6">
        <v>2020.0</v>
      </c>
      <c r="L1598" s="6">
        <v>1.0</v>
      </c>
      <c r="M1598" s="8">
        <f t="shared" si="2"/>
        <v>0.05</v>
      </c>
      <c r="P1598" s="9"/>
    </row>
    <row r="1599">
      <c r="A1599" s="6" t="s">
        <v>4000</v>
      </c>
      <c r="B1599" s="6" t="s">
        <v>4001</v>
      </c>
      <c r="C1599" s="6" t="s">
        <v>43</v>
      </c>
      <c r="D1599" s="6" t="s">
        <v>4002</v>
      </c>
      <c r="E1599" s="6" t="s">
        <v>176</v>
      </c>
      <c r="F1599" s="6" t="s">
        <v>77</v>
      </c>
      <c r="G1599" s="7">
        <v>0.1</v>
      </c>
      <c r="H1599" s="6" t="s">
        <v>136</v>
      </c>
      <c r="I1599" s="6" t="s">
        <v>20</v>
      </c>
      <c r="J1599" s="6">
        <v>2026.0</v>
      </c>
      <c r="K1599" s="10">
        <v>46055.0</v>
      </c>
      <c r="L1599" s="6">
        <v>2.0</v>
      </c>
      <c r="M1599" s="8">
        <f t="shared" si="2"/>
        <v>0.2</v>
      </c>
      <c r="P1599" s="9"/>
    </row>
    <row r="1600">
      <c r="A1600" s="6" t="s">
        <v>4003</v>
      </c>
      <c r="B1600" s="6" t="s">
        <v>4004</v>
      </c>
      <c r="C1600" s="6" t="s">
        <v>43</v>
      </c>
      <c r="D1600" s="6" t="s">
        <v>4005</v>
      </c>
      <c r="E1600" s="6" t="s">
        <v>117</v>
      </c>
      <c r="F1600" s="6" t="s">
        <v>77</v>
      </c>
      <c r="G1600" s="7">
        <v>0.08</v>
      </c>
      <c r="H1600" s="6" t="s">
        <v>206</v>
      </c>
      <c r="I1600" s="6" t="s">
        <v>20</v>
      </c>
      <c r="J1600" s="6">
        <v>1996.0</v>
      </c>
      <c r="K1600" s="10">
        <v>46023.0</v>
      </c>
      <c r="L1600" s="6">
        <v>3.0</v>
      </c>
      <c r="M1600" s="8">
        <f t="shared" si="2"/>
        <v>0.24</v>
      </c>
      <c r="P1600" s="9"/>
    </row>
    <row r="1601">
      <c r="A1601" s="6" t="s">
        <v>4006</v>
      </c>
      <c r="B1601" s="6" t="s">
        <v>170</v>
      </c>
      <c r="C1601" s="6" t="s">
        <v>156</v>
      </c>
      <c r="D1601" s="6" t="s">
        <v>4007</v>
      </c>
      <c r="E1601" s="6" t="s">
        <v>172</v>
      </c>
      <c r="F1601" s="6" t="s">
        <v>26</v>
      </c>
      <c r="G1601" s="7">
        <v>0.2</v>
      </c>
      <c r="H1601" s="6" t="s">
        <v>153</v>
      </c>
      <c r="I1601" s="6" t="s">
        <v>20</v>
      </c>
      <c r="J1601" s="6">
        <v>2025.0</v>
      </c>
      <c r="L1601" s="6">
        <v>3.0</v>
      </c>
      <c r="M1601" s="8">
        <f t="shared" si="2"/>
        <v>0.6</v>
      </c>
      <c r="P1601" s="9"/>
    </row>
    <row r="1602">
      <c r="A1602" s="6" t="s">
        <v>4008</v>
      </c>
      <c r="B1602" s="6" t="s">
        <v>462</v>
      </c>
      <c r="C1602" s="6" t="s">
        <v>37</v>
      </c>
      <c r="D1602" s="6" t="s">
        <v>4009</v>
      </c>
      <c r="E1602" s="6" t="s">
        <v>98</v>
      </c>
      <c r="F1602" s="6" t="s">
        <v>18</v>
      </c>
      <c r="G1602" s="7">
        <v>0.09</v>
      </c>
      <c r="H1602" s="6" t="s">
        <v>88</v>
      </c>
      <c r="I1602" s="6" t="s">
        <v>20</v>
      </c>
      <c r="J1602" s="6">
        <v>2024.0</v>
      </c>
      <c r="L1602" s="6">
        <v>3.0</v>
      </c>
      <c r="M1602" s="8">
        <f t="shared" si="2"/>
        <v>0.27</v>
      </c>
      <c r="P1602" s="9"/>
    </row>
    <row r="1603">
      <c r="A1603" s="6" t="s">
        <v>4010</v>
      </c>
      <c r="B1603" s="6" t="s">
        <v>692</v>
      </c>
      <c r="C1603" s="6" t="s">
        <v>43</v>
      </c>
      <c r="D1603" s="6" t="s">
        <v>4011</v>
      </c>
      <c r="E1603" s="6" t="s">
        <v>135</v>
      </c>
      <c r="F1603" s="6" t="s">
        <v>40</v>
      </c>
      <c r="G1603" s="7">
        <v>0.15</v>
      </c>
      <c r="H1603" s="6" t="s">
        <v>126</v>
      </c>
      <c r="I1603" s="6" t="s">
        <v>20</v>
      </c>
      <c r="J1603" s="6">
        <v>2025.0</v>
      </c>
      <c r="K1603" s="10">
        <v>46055.0</v>
      </c>
      <c r="L1603" s="6">
        <v>2.0</v>
      </c>
      <c r="M1603" s="8">
        <f t="shared" si="2"/>
        <v>0.3</v>
      </c>
      <c r="P1603" s="9"/>
    </row>
    <row r="1604">
      <c r="A1604" s="6" t="s">
        <v>4012</v>
      </c>
      <c r="B1604" s="6" t="s">
        <v>4013</v>
      </c>
      <c r="C1604" s="6" t="s">
        <v>43</v>
      </c>
      <c r="D1604" s="6" t="s">
        <v>4014</v>
      </c>
      <c r="E1604" s="6" t="s">
        <v>57</v>
      </c>
      <c r="F1604" s="6" t="s">
        <v>40</v>
      </c>
      <c r="G1604" s="7">
        <v>0.05</v>
      </c>
      <c r="H1604" s="6" t="s">
        <v>363</v>
      </c>
      <c r="I1604" s="6" t="s">
        <v>20</v>
      </c>
      <c r="J1604" s="6">
        <v>2024.0</v>
      </c>
      <c r="K1604" s="10">
        <v>46055.0</v>
      </c>
      <c r="L1604" s="6">
        <v>1.0</v>
      </c>
      <c r="M1604" s="8">
        <f t="shared" si="2"/>
        <v>0.05</v>
      </c>
      <c r="P1604" s="9"/>
    </row>
    <row r="1605">
      <c r="A1605" s="6" t="s">
        <v>4015</v>
      </c>
      <c r="B1605" s="6" t="s">
        <v>4016</v>
      </c>
      <c r="C1605" s="6" t="s">
        <v>43</v>
      </c>
      <c r="D1605" s="6" t="s">
        <v>4017</v>
      </c>
      <c r="E1605" s="6" t="s">
        <v>579</v>
      </c>
      <c r="F1605" s="6" t="s">
        <v>112</v>
      </c>
      <c r="G1605" s="7">
        <v>0.05</v>
      </c>
      <c r="H1605" s="6" t="s">
        <v>1287</v>
      </c>
      <c r="I1605" s="6" t="s">
        <v>20</v>
      </c>
      <c r="J1605" s="6">
        <v>2021.0</v>
      </c>
      <c r="K1605" s="10">
        <v>46084.0</v>
      </c>
      <c r="L1605" s="6">
        <v>1.0</v>
      </c>
      <c r="M1605" s="8">
        <f t="shared" si="2"/>
        <v>0.05</v>
      </c>
      <c r="P1605" s="9"/>
    </row>
    <row r="1606">
      <c r="A1606" s="6" t="s">
        <v>4018</v>
      </c>
      <c r="B1606" s="6" t="s">
        <v>74</v>
      </c>
      <c r="C1606" s="6" t="s">
        <v>37</v>
      </c>
      <c r="D1606" s="6" t="s">
        <v>4019</v>
      </c>
      <c r="E1606" s="6" t="s">
        <v>329</v>
      </c>
      <c r="F1606" s="6" t="s">
        <v>112</v>
      </c>
      <c r="G1606" s="7">
        <v>0.24</v>
      </c>
      <c r="H1606" s="6" t="s">
        <v>88</v>
      </c>
      <c r="I1606" s="6" t="s">
        <v>20</v>
      </c>
      <c r="J1606" s="6">
        <v>2024.0</v>
      </c>
      <c r="L1606" s="6">
        <v>1.0</v>
      </c>
      <c r="M1606" s="8">
        <f t="shared" si="2"/>
        <v>0.24</v>
      </c>
      <c r="P1606" s="9"/>
    </row>
    <row r="1607">
      <c r="A1607" s="6" t="s">
        <v>4020</v>
      </c>
      <c r="B1607" s="6" t="s">
        <v>4021</v>
      </c>
      <c r="C1607" s="6" t="s">
        <v>43</v>
      </c>
      <c r="D1607" s="6" t="s">
        <v>4022</v>
      </c>
      <c r="E1607" s="6" t="s">
        <v>57</v>
      </c>
      <c r="F1607" s="6" t="s">
        <v>40</v>
      </c>
      <c r="G1607" s="7">
        <v>0.5</v>
      </c>
      <c r="H1607" s="6" t="s">
        <v>734</v>
      </c>
      <c r="I1607" s="6" t="s">
        <v>20</v>
      </c>
      <c r="J1607" s="6">
        <v>2022.0</v>
      </c>
      <c r="K1607" s="10">
        <v>46024.0</v>
      </c>
      <c r="L1607" s="6">
        <v>8.0</v>
      </c>
      <c r="M1607" s="8">
        <f t="shared" si="2"/>
        <v>4</v>
      </c>
      <c r="P1607" s="9"/>
    </row>
    <row r="1608">
      <c r="A1608" s="6" t="s">
        <v>4020</v>
      </c>
      <c r="B1608" s="6" t="s">
        <v>4021</v>
      </c>
      <c r="C1608" s="6" t="s">
        <v>43</v>
      </c>
      <c r="D1608" s="6" t="s">
        <v>4022</v>
      </c>
      <c r="E1608" s="6" t="s">
        <v>57</v>
      </c>
      <c r="F1608" s="6" t="s">
        <v>40</v>
      </c>
      <c r="G1608" s="7">
        <v>0.5</v>
      </c>
      <c r="H1608" s="6" t="s">
        <v>734</v>
      </c>
      <c r="I1608" s="6" t="s">
        <v>20</v>
      </c>
      <c r="J1608" s="6">
        <v>2022.0</v>
      </c>
      <c r="K1608" s="10">
        <v>46024.0</v>
      </c>
      <c r="L1608" s="6">
        <v>1.0</v>
      </c>
      <c r="M1608" s="8">
        <f t="shared" si="2"/>
        <v>0.5</v>
      </c>
      <c r="P1608" s="9"/>
    </row>
    <row r="1609">
      <c r="A1609" s="6" t="s">
        <v>4023</v>
      </c>
      <c r="B1609" s="6" t="s">
        <v>1577</v>
      </c>
      <c r="C1609" s="6" t="s">
        <v>30</v>
      </c>
      <c r="D1609" s="6" t="s">
        <v>4024</v>
      </c>
      <c r="F1609" s="6" t="s">
        <v>1000</v>
      </c>
      <c r="G1609" s="7">
        <v>7.98</v>
      </c>
      <c r="H1609" s="6" t="s">
        <v>160</v>
      </c>
      <c r="I1609" s="6" t="s">
        <v>20</v>
      </c>
      <c r="J1609" s="6">
        <v>2024.0</v>
      </c>
      <c r="L1609" s="6">
        <v>1.0</v>
      </c>
      <c r="M1609" s="8">
        <f t="shared" si="2"/>
        <v>7.98</v>
      </c>
      <c r="P1609" s="9"/>
    </row>
    <row r="1610">
      <c r="A1610" s="6" t="s">
        <v>4025</v>
      </c>
      <c r="B1610" s="6" t="s">
        <v>4026</v>
      </c>
      <c r="C1610" s="6" t="s">
        <v>23</v>
      </c>
      <c r="D1610" s="6" t="s">
        <v>4027</v>
      </c>
      <c r="E1610" s="6">
        <v>2.0</v>
      </c>
      <c r="F1610" s="6" t="s">
        <v>26</v>
      </c>
      <c r="G1610" s="7">
        <v>0.15</v>
      </c>
      <c r="H1610" s="6" t="s">
        <v>153</v>
      </c>
      <c r="I1610" s="6" t="s">
        <v>20</v>
      </c>
      <c r="J1610" s="6">
        <v>2025.0</v>
      </c>
      <c r="L1610" s="6">
        <v>11.0</v>
      </c>
      <c r="M1610" s="8">
        <f t="shared" si="2"/>
        <v>1.65</v>
      </c>
      <c r="P1610" s="9"/>
    </row>
    <row r="1611">
      <c r="A1611" s="6" t="s">
        <v>4028</v>
      </c>
      <c r="B1611" s="6" t="s">
        <v>146</v>
      </c>
      <c r="C1611" s="6" t="s">
        <v>37</v>
      </c>
      <c r="D1611" s="6" t="s">
        <v>4029</v>
      </c>
      <c r="E1611" s="6" t="s">
        <v>135</v>
      </c>
      <c r="F1611" s="6" t="s">
        <v>40</v>
      </c>
      <c r="G1611" s="7">
        <v>0.24</v>
      </c>
      <c r="H1611" s="6" t="s">
        <v>3249</v>
      </c>
      <c r="I1611" s="6" t="s">
        <v>20</v>
      </c>
      <c r="J1611" s="6">
        <v>2017.0</v>
      </c>
      <c r="L1611" s="6">
        <v>1.0</v>
      </c>
      <c r="M1611" s="8">
        <f t="shared" si="2"/>
        <v>0.24</v>
      </c>
      <c r="P1611" s="9"/>
    </row>
    <row r="1612">
      <c r="A1612" s="6" t="s">
        <v>4030</v>
      </c>
      <c r="B1612" s="6" t="s">
        <v>2256</v>
      </c>
      <c r="C1612" s="6" t="s">
        <v>15</v>
      </c>
      <c r="D1612" s="6" t="s">
        <v>4031</v>
      </c>
      <c r="E1612" s="6" t="s">
        <v>4032</v>
      </c>
      <c r="F1612" s="6" t="s">
        <v>665</v>
      </c>
      <c r="G1612" s="7">
        <v>0.15</v>
      </c>
      <c r="H1612" s="6" t="s">
        <v>780</v>
      </c>
      <c r="I1612" s="6" t="s">
        <v>20</v>
      </c>
      <c r="J1612" s="6">
        <v>2025.0</v>
      </c>
      <c r="K1612" s="10">
        <v>46055.0</v>
      </c>
      <c r="L1612" s="6">
        <v>2.0</v>
      </c>
      <c r="M1612" s="8">
        <f t="shared" si="2"/>
        <v>0.3</v>
      </c>
      <c r="P1612" s="9"/>
    </row>
    <row r="1613">
      <c r="A1613" s="6" t="s">
        <v>4033</v>
      </c>
      <c r="B1613" s="6" t="s">
        <v>494</v>
      </c>
      <c r="C1613" s="6" t="s">
        <v>43</v>
      </c>
      <c r="D1613" s="6" t="s">
        <v>4034</v>
      </c>
      <c r="E1613" s="6" t="s">
        <v>57</v>
      </c>
      <c r="F1613" s="6" t="s">
        <v>40</v>
      </c>
      <c r="G1613" s="7">
        <v>0.1</v>
      </c>
      <c r="H1613" s="6" t="s">
        <v>297</v>
      </c>
      <c r="I1613" s="6" t="s">
        <v>20</v>
      </c>
      <c r="J1613" s="6">
        <v>2022.0</v>
      </c>
      <c r="L1613" s="6">
        <v>1.0</v>
      </c>
      <c r="M1613" s="8">
        <f t="shared" si="2"/>
        <v>0.1</v>
      </c>
      <c r="P1613" s="9"/>
    </row>
    <row r="1614">
      <c r="A1614" s="6" t="s">
        <v>4035</v>
      </c>
      <c r="B1614" s="6" t="s">
        <v>115</v>
      </c>
      <c r="C1614" s="6" t="s">
        <v>15</v>
      </c>
      <c r="D1614" s="6" t="s">
        <v>4036</v>
      </c>
      <c r="E1614" s="6" t="s">
        <v>4037</v>
      </c>
      <c r="F1614" s="6" t="s">
        <v>18</v>
      </c>
      <c r="G1614" s="7">
        <v>0.05</v>
      </c>
      <c r="H1614" s="6" t="s">
        <v>342</v>
      </c>
      <c r="I1614" s="6" t="s">
        <v>20</v>
      </c>
      <c r="J1614" s="6">
        <v>2014.0</v>
      </c>
      <c r="L1614" s="6">
        <v>2.0</v>
      </c>
      <c r="M1614" s="8">
        <f t="shared" si="2"/>
        <v>0.1</v>
      </c>
      <c r="P1614" s="9"/>
    </row>
    <row r="1615">
      <c r="A1615" s="6" t="s">
        <v>4038</v>
      </c>
      <c r="B1615" s="6" t="s">
        <v>74</v>
      </c>
      <c r="C1615" s="6" t="s">
        <v>43</v>
      </c>
      <c r="D1615" s="6" t="s">
        <v>1040</v>
      </c>
      <c r="E1615" s="6" t="s">
        <v>107</v>
      </c>
      <c r="F1615" s="6" t="s">
        <v>18</v>
      </c>
      <c r="G1615" s="7">
        <v>0.29</v>
      </c>
      <c r="H1615" s="6" t="s">
        <v>165</v>
      </c>
      <c r="I1615" s="6" t="s">
        <v>45</v>
      </c>
      <c r="J1615" s="6">
        <v>2020.0</v>
      </c>
      <c r="L1615" s="6">
        <v>1.0</v>
      </c>
      <c r="M1615" s="8">
        <f t="shared" si="2"/>
        <v>0.29</v>
      </c>
      <c r="P1615" s="9"/>
    </row>
    <row r="1616">
      <c r="A1616" s="6" t="s">
        <v>4039</v>
      </c>
      <c r="B1616" s="6" t="s">
        <v>4040</v>
      </c>
      <c r="C1616" s="6" t="s">
        <v>23</v>
      </c>
      <c r="D1616" s="6" t="s">
        <v>4041</v>
      </c>
      <c r="E1616" s="6" t="s">
        <v>980</v>
      </c>
      <c r="F1616" s="6" t="s">
        <v>112</v>
      </c>
      <c r="G1616" s="7">
        <v>0.07</v>
      </c>
      <c r="H1616" s="6" t="s">
        <v>780</v>
      </c>
      <c r="I1616" s="6" t="s">
        <v>20</v>
      </c>
      <c r="J1616" s="6">
        <v>2025.0</v>
      </c>
      <c r="K1616" s="10">
        <v>46055.0</v>
      </c>
      <c r="L1616" s="6">
        <v>1.0</v>
      </c>
      <c r="M1616" s="8">
        <f t="shared" si="2"/>
        <v>0.07</v>
      </c>
      <c r="P1616" s="9"/>
    </row>
    <row r="1617">
      <c r="A1617" s="6" t="s">
        <v>4039</v>
      </c>
      <c r="B1617" s="6" t="s">
        <v>4040</v>
      </c>
      <c r="C1617" s="6" t="s">
        <v>23</v>
      </c>
      <c r="D1617" s="6" t="s">
        <v>4041</v>
      </c>
      <c r="E1617" s="6" t="s">
        <v>980</v>
      </c>
      <c r="F1617" s="6" t="s">
        <v>112</v>
      </c>
      <c r="G1617" s="7">
        <v>0.2</v>
      </c>
      <c r="H1617" s="6" t="s">
        <v>780</v>
      </c>
      <c r="I1617" s="6" t="s">
        <v>45</v>
      </c>
      <c r="J1617" s="6">
        <v>2025.0</v>
      </c>
      <c r="K1617" s="10">
        <v>46055.0</v>
      </c>
      <c r="L1617" s="6">
        <v>1.0</v>
      </c>
      <c r="M1617" s="8">
        <f t="shared" si="2"/>
        <v>0.2</v>
      </c>
      <c r="P1617" s="9"/>
    </row>
    <row r="1618">
      <c r="A1618" s="6" t="s">
        <v>4042</v>
      </c>
      <c r="B1618" s="6" t="s">
        <v>4043</v>
      </c>
      <c r="C1618" s="6" t="s">
        <v>23</v>
      </c>
      <c r="D1618" s="6" t="s">
        <v>4044</v>
      </c>
      <c r="E1618" s="6" t="s">
        <v>185</v>
      </c>
      <c r="F1618" s="6" t="s">
        <v>26</v>
      </c>
      <c r="G1618" s="7">
        <v>0.15</v>
      </c>
      <c r="H1618" s="6" t="s">
        <v>4045</v>
      </c>
      <c r="I1618" s="6" t="s">
        <v>20</v>
      </c>
      <c r="J1618" s="6">
        <v>2021.0</v>
      </c>
      <c r="L1618" s="6">
        <v>2.0</v>
      </c>
      <c r="M1618" s="8">
        <f t="shared" si="2"/>
        <v>0.3</v>
      </c>
      <c r="P1618" s="9"/>
    </row>
    <row r="1619">
      <c r="A1619" s="6" t="s">
        <v>4046</v>
      </c>
      <c r="B1619" s="6" t="s">
        <v>2592</v>
      </c>
      <c r="C1619" s="6" t="s">
        <v>37</v>
      </c>
      <c r="D1619" s="6" t="s">
        <v>4047</v>
      </c>
      <c r="E1619" s="6" t="s">
        <v>3303</v>
      </c>
      <c r="F1619" s="6" t="s">
        <v>50</v>
      </c>
      <c r="G1619" s="7">
        <v>0.05</v>
      </c>
      <c r="H1619" s="6" t="s">
        <v>475</v>
      </c>
      <c r="I1619" s="6" t="s">
        <v>20</v>
      </c>
      <c r="J1619" s="6">
        <v>2024.0</v>
      </c>
      <c r="K1619" s="10">
        <v>46055.0</v>
      </c>
      <c r="L1619" s="6">
        <v>1.0</v>
      </c>
      <c r="M1619" s="8">
        <f t="shared" si="2"/>
        <v>0.05</v>
      </c>
      <c r="P1619" s="9"/>
    </row>
    <row r="1620">
      <c r="A1620" s="6" t="s">
        <v>4048</v>
      </c>
      <c r="B1620" s="6" t="s">
        <v>504</v>
      </c>
      <c r="C1620" s="6" t="s">
        <v>43</v>
      </c>
      <c r="D1620" s="6" t="s">
        <v>4049</v>
      </c>
      <c r="E1620" s="6" t="s">
        <v>420</v>
      </c>
      <c r="F1620" s="6" t="s">
        <v>40</v>
      </c>
      <c r="G1620" s="7">
        <v>0.03</v>
      </c>
      <c r="H1620" s="6" t="s">
        <v>1344</v>
      </c>
      <c r="I1620" s="6" t="s">
        <v>20</v>
      </c>
      <c r="J1620" s="6">
        <v>2018.0</v>
      </c>
      <c r="K1620" s="10">
        <v>46084.0</v>
      </c>
      <c r="L1620" s="6">
        <v>1.0</v>
      </c>
      <c r="M1620" s="8">
        <f t="shared" si="2"/>
        <v>0.03</v>
      </c>
      <c r="N1620" s="6" t="s">
        <v>374</v>
      </c>
      <c r="P1620" s="9"/>
    </row>
    <row r="1621">
      <c r="A1621" s="6" t="s">
        <v>4050</v>
      </c>
      <c r="B1621" s="6" t="s">
        <v>4051</v>
      </c>
      <c r="C1621" s="6" t="s">
        <v>183</v>
      </c>
      <c r="D1621" s="6" t="s">
        <v>4052</v>
      </c>
      <c r="E1621" s="6" t="s">
        <v>248</v>
      </c>
      <c r="F1621" s="6" t="s">
        <v>77</v>
      </c>
      <c r="G1621" s="7">
        <v>0.04</v>
      </c>
      <c r="H1621" s="6" t="s">
        <v>655</v>
      </c>
      <c r="I1621" s="6" t="s">
        <v>20</v>
      </c>
      <c r="J1621" s="6">
        <v>2023.0</v>
      </c>
      <c r="K1621" s="6" t="s">
        <v>4053</v>
      </c>
      <c r="L1621" s="6">
        <v>1.0</v>
      </c>
      <c r="M1621" s="8">
        <f t="shared" si="2"/>
        <v>0.04</v>
      </c>
      <c r="P1621" s="9"/>
    </row>
    <row r="1622">
      <c r="A1622" s="6" t="s">
        <v>4054</v>
      </c>
      <c r="B1622" s="6" t="s">
        <v>4051</v>
      </c>
      <c r="C1622" s="6" t="s">
        <v>183</v>
      </c>
      <c r="D1622" s="6" t="s">
        <v>4055</v>
      </c>
      <c r="E1622" s="6" t="s">
        <v>891</v>
      </c>
      <c r="F1622" s="6" t="s">
        <v>77</v>
      </c>
      <c r="G1622" s="7">
        <v>0.04</v>
      </c>
      <c r="H1622" s="6" t="s">
        <v>655</v>
      </c>
      <c r="I1622" s="6" t="s">
        <v>20</v>
      </c>
      <c r="J1622" s="6">
        <v>2023.0</v>
      </c>
      <c r="K1622" s="6" t="s">
        <v>4056</v>
      </c>
      <c r="L1622" s="6">
        <v>1.0</v>
      </c>
      <c r="M1622" s="8">
        <f t="shared" si="2"/>
        <v>0.04</v>
      </c>
      <c r="P1622" s="9"/>
    </row>
    <row r="1623">
      <c r="A1623" s="6" t="s">
        <v>4057</v>
      </c>
      <c r="B1623" s="6" t="s">
        <v>4058</v>
      </c>
      <c r="C1623" s="6" t="s">
        <v>37</v>
      </c>
      <c r="D1623" s="6" t="s">
        <v>4059</v>
      </c>
      <c r="E1623" s="6" t="s">
        <v>448</v>
      </c>
      <c r="F1623" s="6" t="s">
        <v>112</v>
      </c>
      <c r="G1623" s="7">
        <v>0.09</v>
      </c>
      <c r="H1623" s="6" t="s">
        <v>655</v>
      </c>
      <c r="I1623" s="6" t="s">
        <v>20</v>
      </c>
      <c r="J1623" s="6">
        <v>2023.0</v>
      </c>
      <c r="L1623" s="6">
        <v>1.0</v>
      </c>
      <c r="M1623" s="8">
        <f t="shared" si="2"/>
        <v>0.09</v>
      </c>
      <c r="P1623" s="9"/>
    </row>
    <row r="1624">
      <c r="A1624" s="6" t="s">
        <v>4060</v>
      </c>
      <c r="B1624" s="6" t="s">
        <v>4058</v>
      </c>
      <c r="C1624" s="6" t="s">
        <v>37</v>
      </c>
      <c r="D1624" s="6" t="s">
        <v>4061</v>
      </c>
      <c r="E1624" s="6" t="s">
        <v>1939</v>
      </c>
      <c r="F1624" s="6" t="s">
        <v>977</v>
      </c>
      <c r="G1624" s="7">
        <v>0.04</v>
      </c>
      <c r="H1624" s="6" t="s">
        <v>655</v>
      </c>
      <c r="I1624" s="6" t="s">
        <v>20</v>
      </c>
      <c r="J1624" s="6">
        <v>2023.0</v>
      </c>
      <c r="L1624" s="6">
        <v>1.0</v>
      </c>
      <c r="M1624" s="8">
        <f t="shared" si="2"/>
        <v>0.04</v>
      </c>
      <c r="P1624" s="9"/>
    </row>
    <row r="1625">
      <c r="A1625" s="6" t="s">
        <v>4062</v>
      </c>
      <c r="B1625" s="6" t="s">
        <v>4058</v>
      </c>
      <c r="C1625" s="6" t="s">
        <v>37</v>
      </c>
      <c r="D1625" s="6" t="s">
        <v>4063</v>
      </c>
      <c r="E1625" s="6" t="s">
        <v>3281</v>
      </c>
      <c r="F1625" s="6" t="s">
        <v>519</v>
      </c>
      <c r="G1625" s="7">
        <v>0.04</v>
      </c>
      <c r="H1625" s="6" t="s">
        <v>655</v>
      </c>
      <c r="I1625" s="6" t="s">
        <v>20</v>
      </c>
      <c r="J1625" s="6">
        <v>2023.0</v>
      </c>
      <c r="L1625" s="6">
        <v>1.0</v>
      </c>
      <c r="M1625" s="8">
        <f t="shared" si="2"/>
        <v>0.04</v>
      </c>
      <c r="P1625" s="9"/>
    </row>
    <row r="1626">
      <c r="A1626" s="6" t="s">
        <v>4064</v>
      </c>
      <c r="B1626" s="6" t="s">
        <v>2966</v>
      </c>
      <c r="C1626" s="6" t="s">
        <v>37</v>
      </c>
      <c r="D1626" s="6" t="s">
        <v>4065</v>
      </c>
      <c r="E1626" s="6" t="s">
        <v>135</v>
      </c>
      <c r="F1626" s="6" t="s">
        <v>40</v>
      </c>
      <c r="G1626" s="7">
        <v>0.2</v>
      </c>
      <c r="H1626" s="6" t="s">
        <v>34</v>
      </c>
      <c r="I1626" s="6" t="s">
        <v>20</v>
      </c>
      <c r="J1626" s="6">
        <v>2025.0</v>
      </c>
      <c r="K1626" s="10">
        <v>46023.0</v>
      </c>
      <c r="L1626" s="6">
        <v>1.0</v>
      </c>
      <c r="M1626" s="8">
        <f t="shared" si="2"/>
        <v>0.2</v>
      </c>
      <c r="P1626" s="9"/>
    </row>
    <row r="1627">
      <c r="A1627" s="6" t="s">
        <v>4066</v>
      </c>
      <c r="B1627" s="6" t="s">
        <v>606</v>
      </c>
      <c r="C1627" s="6" t="s">
        <v>15</v>
      </c>
      <c r="D1627" s="6" t="s">
        <v>4067</v>
      </c>
      <c r="E1627" s="6" t="s">
        <v>1010</v>
      </c>
      <c r="F1627" s="6" t="s">
        <v>87</v>
      </c>
      <c r="G1627" s="7">
        <v>0.09</v>
      </c>
      <c r="H1627" s="6" t="s">
        <v>780</v>
      </c>
      <c r="I1627" s="6" t="s">
        <v>20</v>
      </c>
      <c r="J1627" s="6">
        <v>2025.0</v>
      </c>
      <c r="L1627" s="6">
        <v>1.0</v>
      </c>
      <c r="M1627" s="8">
        <f t="shared" si="2"/>
        <v>0.09</v>
      </c>
      <c r="P1627" s="9"/>
    </row>
    <row r="1628">
      <c r="A1628" s="6" t="s">
        <v>4068</v>
      </c>
      <c r="B1628" s="6" t="s">
        <v>2719</v>
      </c>
      <c r="C1628" s="6" t="s">
        <v>15</v>
      </c>
      <c r="D1628" s="6" t="s">
        <v>4069</v>
      </c>
      <c r="E1628" s="6" t="s">
        <v>616</v>
      </c>
      <c r="F1628" s="6" t="s">
        <v>40</v>
      </c>
      <c r="G1628" s="7">
        <v>0.99</v>
      </c>
      <c r="H1628" s="6" t="s">
        <v>27</v>
      </c>
      <c r="I1628" s="6" t="s">
        <v>20</v>
      </c>
      <c r="J1628" s="6">
        <v>2026.0</v>
      </c>
      <c r="K1628" s="10">
        <v>46144.0</v>
      </c>
      <c r="L1628" s="6">
        <v>1.0</v>
      </c>
      <c r="M1628" s="8">
        <f t="shared" si="2"/>
        <v>0.99</v>
      </c>
      <c r="P1628" s="9"/>
    </row>
    <row r="1629">
      <c r="A1629" s="6" t="s">
        <v>4070</v>
      </c>
      <c r="B1629" s="6" t="s">
        <v>292</v>
      </c>
      <c r="C1629" s="6" t="s">
        <v>61</v>
      </c>
      <c r="D1629" s="6" t="s">
        <v>4071</v>
      </c>
      <c r="E1629" s="6" t="s">
        <v>964</v>
      </c>
      <c r="F1629" s="6" t="s">
        <v>965</v>
      </c>
      <c r="G1629" s="7">
        <v>0.55</v>
      </c>
      <c r="H1629" s="6" t="s">
        <v>1344</v>
      </c>
      <c r="I1629" s="6" t="s">
        <v>20</v>
      </c>
      <c r="J1629" s="6">
        <v>2018.0</v>
      </c>
      <c r="L1629" s="6">
        <v>1.0</v>
      </c>
      <c r="M1629" s="8">
        <f t="shared" si="2"/>
        <v>0.55</v>
      </c>
      <c r="P1629" s="9"/>
    </row>
    <row r="1630">
      <c r="A1630" s="6" t="s">
        <v>4072</v>
      </c>
      <c r="B1630" s="6" t="s">
        <v>4073</v>
      </c>
      <c r="C1630" s="6" t="s">
        <v>15</v>
      </c>
      <c r="D1630" s="6" t="s">
        <v>4074</v>
      </c>
      <c r="E1630" s="6" t="s">
        <v>1364</v>
      </c>
      <c r="F1630" s="6" t="s">
        <v>18</v>
      </c>
      <c r="G1630" s="7">
        <v>0.34</v>
      </c>
      <c r="H1630" s="6" t="s">
        <v>19</v>
      </c>
      <c r="I1630" s="6" t="s">
        <v>20</v>
      </c>
      <c r="J1630" s="6">
        <v>2023.0</v>
      </c>
      <c r="K1630" s="10">
        <v>46113.0</v>
      </c>
      <c r="L1630" s="6">
        <v>2.0</v>
      </c>
      <c r="M1630" s="8">
        <f t="shared" si="2"/>
        <v>0.68</v>
      </c>
      <c r="P1630" s="9"/>
    </row>
    <row r="1631">
      <c r="A1631" s="6" t="s">
        <v>4075</v>
      </c>
      <c r="B1631" s="6" t="s">
        <v>2405</v>
      </c>
      <c r="C1631" s="6" t="s">
        <v>43</v>
      </c>
      <c r="D1631" s="6" t="s">
        <v>4076</v>
      </c>
      <c r="E1631" s="6" t="s">
        <v>164</v>
      </c>
      <c r="F1631" s="6" t="s">
        <v>112</v>
      </c>
      <c r="G1631" s="7">
        <v>0.04</v>
      </c>
      <c r="H1631" s="6" t="s">
        <v>655</v>
      </c>
      <c r="I1631" s="6" t="s">
        <v>20</v>
      </c>
      <c r="J1631" s="6">
        <v>2023.0</v>
      </c>
      <c r="K1631" s="10">
        <v>46055.0</v>
      </c>
      <c r="L1631" s="6">
        <v>1.0</v>
      </c>
      <c r="M1631" s="8">
        <f t="shared" si="2"/>
        <v>0.04</v>
      </c>
      <c r="P1631" s="9"/>
    </row>
    <row r="1632">
      <c r="A1632" s="6" t="s">
        <v>4077</v>
      </c>
      <c r="B1632" s="6" t="s">
        <v>1295</v>
      </c>
      <c r="C1632" s="6" t="s">
        <v>30</v>
      </c>
      <c r="D1632" s="6" t="s">
        <v>4078</v>
      </c>
      <c r="E1632" s="6" t="s">
        <v>4079</v>
      </c>
      <c r="F1632" s="6" t="s">
        <v>4080</v>
      </c>
      <c r="G1632" s="7">
        <v>1.19</v>
      </c>
      <c r="H1632" s="6" t="s">
        <v>34</v>
      </c>
      <c r="I1632" s="6" t="s">
        <v>20</v>
      </c>
      <c r="J1632" s="6">
        <v>2025.0</v>
      </c>
      <c r="K1632" s="10">
        <v>46147.0</v>
      </c>
      <c r="L1632" s="6">
        <v>1.0</v>
      </c>
      <c r="M1632" s="8">
        <f t="shared" si="2"/>
        <v>1.19</v>
      </c>
      <c r="P1632" s="9"/>
    </row>
    <row r="1633">
      <c r="A1633" s="6" t="s">
        <v>4081</v>
      </c>
      <c r="B1633" s="6" t="s">
        <v>524</v>
      </c>
      <c r="C1633" s="6" t="s">
        <v>43</v>
      </c>
      <c r="D1633" s="6" t="s">
        <v>4082</v>
      </c>
      <c r="E1633" s="6" t="s">
        <v>185</v>
      </c>
      <c r="F1633" s="6" t="s">
        <v>26</v>
      </c>
      <c r="G1633" s="7">
        <v>0.06</v>
      </c>
      <c r="H1633" s="6" t="s">
        <v>4083</v>
      </c>
      <c r="I1633" s="6" t="s">
        <v>20</v>
      </c>
      <c r="J1633" s="6">
        <v>2020.0</v>
      </c>
      <c r="K1633" s="10">
        <v>46023.0</v>
      </c>
      <c r="L1633" s="6">
        <v>1.0</v>
      </c>
      <c r="M1633" s="8">
        <f t="shared" si="2"/>
        <v>0.06</v>
      </c>
      <c r="P1633" s="9"/>
    </row>
    <row r="1634">
      <c r="A1634" s="6" t="s">
        <v>4084</v>
      </c>
      <c r="B1634" s="6" t="s">
        <v>4085</v>
      </c>
      <c r="C1634" s="6" t="s">
        <v>23</v>
      </c>
      <c r="D1634" s="6" t="s">
        <v>4086</v>
      </c>
      <c r="E1634" s="6">
        <v>7.0</v>
      </c>
      <c r="F1634" s="6" t="s">
        <v>26</v>
      </c>
      <c r="G1634" s="7">
        <v>0.05</v>
      </c>
      <c r="H1634" s="6" t="s">
        <v>3262</v>
      </c>
      <c r="I1634" s="6" t="s">
        <v>20</v>
      </c>
      <c r="J1634" s="6">
        <v>2025.0</v>
      </c>
      <c r="K1634" s="10">
        <v>46179.0</v>
      </c>
      <c r="L1634" s="6">
        <v>7.0</v>
      </c>
      <c r="M1634" s="8">
        <f t="shared" si="2"/>
        <v>0.35</v>
      </c>
      <c r="P1634" s="9"/>
    </row>
    <row r="1635">
      <c r="A1635" s="6" t="s">
        <v>4087</v>
      </c>
      <c r="B1635" s="6" t="s">
        <v>647</v>
      </c>
      <c r="C1635" s="6" t="s">
        <v>43</v>
      </c>
      <c r="D1635" s="6" t="s">
        <v>4088</v>
      </c>
      <c r="E1635" s="6" t="s">
        <v>994</v>
      </c>
      <c r="F1635" s="6" t="s">
        <v>26</v>
      </c>
      <c r="G1635" s="7">
        <v>0.15</v>
      </c>
      <c r="H1635" s="6" t="s">
        <v>4083</v>
      </c>
      <c r="I1635" s="6" t="s">
        <v>45</v>
      </c>
      <c r="J1635" s="6">
        <v>2020.0</v>
      </c>
      <c r="K1635" s="10">
        <v>46055.0</v>
      </c>
      <c r="L1635" s="6">
        <v>1.0</v>
      </c>
      <c r="M1635" s="8">
        <f t="shared" si="2"/>
        <v>0.15</v>
      </c>
      <c r="P1635" s="9"/>
    </row>
    <row r="1636">
      <c r="A1636" s="6" t="s">
        <v>4089</v>
      </c>
      <c r="B1636" s="6" t="s">
        <v>219</v>
      </c>
      <c r="C1636" s="6" t="s">
        <v>37</v>
      </c>
      <c r="D1636" s="6" t="s">
        <v>4090</v>
      </c>
      <c r="E1636" s="6" t="s">
        <v>215</v>
      </c>
      <c r="F1636" s="6" t="s">
        <v>26</v>
      </c>
      <c r="G1636" s="7">
        <v>0.09</v>
      </c>
      <c r="H1636" s="6" t="s">
        <v>324</v>
      </c>
      <c r="I1636" s="6" t="s">
        <v>20</v>
      </c>
      <c r="J1636" s="6">
        <v>1995.0</v>
      </c>
      <c r="L1636" s="6">
        <v>1.0</v>
      </c>
      <c r="M1636" s="8">
        <f t="shared" si="2"/>
        <v>0.09</v>
      </c>
      <c r="P1636" s="9"/>
    </row>
    <row r="1637">
      <c r="A1637" s="6" t="s">
        <v>4089</v>
      </c>
      <c r="B1637" s="6" t="s">
        <v>219</v>
      </c>
      <c r="C1637" s="6" t="s">
        <v>37</v>
      </c>
      <c r="D1637" s="6" t="s">
        <v>4090</v>
      </c>
      <c r="E1637" s="6" t="s">
        <v>215</v>
      </c>
      <c r="F1637" s="6" t="s">
        <v>26</v>
      </c>
      <c r="G1637" s="7">
        <v>0.21</v>
      </c>
      <c r="H1637" s="6" t="s">
        <v>316</v>
      </c>
      <c r="I1637" s="6" t="s">
        <v>20</v>
      </c>
      <c r="J1637" s="6">
        <v>1995.0</v>
      </c>
      <c r="L1637" s="6">
        <v>2.0</v>
      </c>
      <c r="M1637" s="8">
        <f t="shared" si="2"/>
        <v>0.42</v>
      </c>
      <c r="P1637" s="9"/>
    </row>
    <row r="1638">
      <c r="A1638" s="6" t="s">
        <v>4091</v>
      </c>
      <c r="B1638" s="6" t="s">
        <v>74</v>
      </c>
      <c r="C1638" s="6" t="s">
        <v>43</v>
      </c>
      <c r="D1638" s="6" t="s">
        <v>4092</v>
      </c>
      <c r="E1638" s="6" t="s">
        <v>57</v>
      </c>
      <c r="F1638" s="6" t="s">
        <v>40</v>
      </c>
      <c r="G1638" s="7">
        <v>0.06</v>
      </c>
      <c r="H1638" s="6" t="s">
        <v>674</v>
      </c>
      <c r="I1638" s="6" t="s">
        <v>20</v>
      </c>
      <c r="J1638" s="6">
        <v>2021.0</v>
      </c>
      <c r="L1638" s="6">
        <v>1.0</v>
      </c>
      <c r="M1638" s="8">
        <f t="shared" si="2"/>
        <v>0.06</v>
      </c>
      <c r="P1638" s="9"/>
    </row>
    <row r="1639">
      <c r="A1639" s="6" t="s">
        <v>4093</v>
      </c>
      <c r="B1639" s="6" t="s">
        <v>1209</v>
      </c>
      <c r="C1639" s="6" t="s">
        <v>43</v>
      </c>
      <c r="D1639" s="6" t="s">
        <v>1210</v>
      </c>
      <c r="E1639" s="6" t="s">
        <v>86</v>
      </c>
      <c r="F1639" s="6" t="s">
        <v>87</v>
      </c>
      <c r="G1639" s="7">
        <v>0.05</v>
      </c>
      <c r="H1639" s="6" t="s">
        <v>324</v>
      </c>
      <c r="I1639" s="6" t="s">
        <v>20</v>
      </c>
      <c r="J1639" s="6">
        <v>1995.0</v>
      </c>
      <c r="K1639" s="10">
        <v>46055.0</v>
      </c>
      <c r="L1639" s="6">
        <v>5.0</v>
      </c>
      <c r="M1639" s="8">
        <f t="shared" si="2"/>
        <v>0.25</v>
      </c>
      <c r="P1639" s="9"/>
    </row>
    <row r="1640">
      <c r="A1640" s="6" t="s">
        <v>4093</v>
      </c>
      <c r="B1640" s="6" t="s">
        <v>1209</v>
      </c>
      <c r="C1640" s="6" t="s">
        <v>43</v>
      </c>
      <c r="D1640" s="6" t="s">
        <v>1210</v>
      </c>
      <c r="E1640" s="6" t="s">
        <v>86</v>
      </c>
      <c r="F1640" s="6" t="s">
        <v>87</v>
      </c>
      <c r="G1640" s="7">
        <v>0.18</v>
      </c>
      <c r="H1640" s="6" t="s">
        <v>316</v>
      </c>
      <c r="I1640" s="6" t="s">
        <v>20</v>
      </c>
      <c r="J1640" s="6">
        <v>1995.0</v>
      </c>
      <c r="K1640" s="10">
        <v>46055.0</v>
      </c>
      <c r="L1640" s="6">
        <v>6.0</v>
      </c>
      <c r="M1640" s="8">
        <f t="shared" si="2"/>
        <v>1.08</v>
      </c>
      <c r="P1640" s="9"/>
    </row>
    <row r="1641">
      <c r="A1641" s="6" t="s">
        <v>4094</v>
      </c>
      <c r="B1641" s="6" t="s">
        <v>4095</v>
      </c>
      <c r="C1641" s="6" t="s">
        <v>43</v>
      </c>
      <c r="D1641" s="6" t="s">
        <v>4096</v>
      </c>
      <c r="E1641" s="6" t="s">
        <v>1486</v>
      </c>
      <c r="F1641" s="6" t="s">
        <v>87</v>
      </c>
      <c r="G1641" s="7">
        <v>0.06</v>
      </c>
      <c r="H1641" s="6" t="s">
        <v>297</v>
      </c>
      <c r="I1641" s="6" t="s">
        <v>20</v>
      </c>
      <c r="J1641" s="6">
        <v>2022.0</v>
      </c>
      <c r="K1641" s="10">
        <v>46117.0</v>
      </c>
      <c r="L1641" s="6">
        <v>1.0</v>
      </c>
      <c r="M1641" s="8">
        <f t="shared" si="2"/>
        <v>0.06</v>
      </c>
      <c r="P1641" s="9"/>
    </row>
    <row r="1642">
      <c r="A1642" s="6" t="s">
        <v>4097</v>
      </c>
      <c r="B1642" s="6" t="s">
        <v>4098</v>
      </c>
      <c r="C1642" s="6" t="s">
        <v>37</v>
      </c>
      <c r="D1642" s="6" t="s">
        <v>4099</v>
      </c>
      <c r="E1642" s="6" t="s">
        <v>86</v>
      </c>
      <c r="F1642" s="6" t="s">
        <v>87</v>
      </c>
      <c r="G1642" s="7">
        <v>0.23</v>
      </c>
      <c r="H1642" s="6" t="s">
        <v>475</v>
      </c>
      <c r="I1642" s="6" t="s">
        <v>45</v>
      </c>
      <c r="J1642" s="6">
        <v>2024.0</v>
      </c>
      <c r="K1642" s="10">
        <v>46055.0</v>
      </c>
      <c r="L1642" s="6">
        <v>1.0</v>
      </c>
      <c r="M1642" s="8">
        <f t="shared" si="2"/>
        <v>0.23</v>
      </c>
      <c r="P1642" s="9"/>
    </row>
    <row r="1643">
      <c r="A1643" s="6" t="s">
        <v>4100</v>
      </c>
      <c r="B1643" s="6" t="s">
        <v>606</v>
      </c>
      <c r="C1643" s="6" t="s">
        <v>23</v>
      </c>
      <c r="D1643" s="6" t="s">
        <v>4101</v>
      </c>
      <c r="E1643" s="6" t="s">
        <v>17</v>
      </c>
      <c r="F1643" s="6" t="s">
        <v>18</v>
      </c>
      <c r="G1643" s="7">
        <v>0.08</v>
      </c>
      <c r="H1643" s="6" t="s">
        <v>19</v>
      </c>
      <c r="I1643" s="6" t="s">
        <v>20</v>
      </c>
      <c r="J1643" s="6">
        <v>2023.0</v>
      </c>
      <c r="L1643" s="6">
        <v>1.0</v>
      </c>
      <c r="M1643" s="8">
        <f t="shared" si="2"/>
        <v>0.08</v>
      </c>
      <c r="P1643" s="9"/>
    </row>
    <row r="1644">
      <c r="A1644" s="6" t="s">
        <v>4102</v>
      </c>
      <c r="B1644" s="6" t="s">
        <v>47</v>
      </c>
      <c r="C1644" s="6" t="s">
        <v>43</v>
      </c>
      <c r="D1644" s="6" t="s">
        <v>4103</v>
      </c>
      <c r="E1644" s="6" t="s">
        <v>107</v>
      </c>
      <c r="F1644" s="6" t="s">
        <v>18</v>
      </c>
      <c r="G1644" s="7">
        <v>0.1</v>
      </c>
      <c r="H1644" s="6" t="s">
        <v>34</v>
      </c>
      <c r="I1644" s="6" t="s">
        <v>20</v>
      </c>
      <c r="J1644" s="6">
        <v>2025.0</v>
      </c>
      <c r="L1644" s="6">
        <v>2.0</v>
      </c>
      <c r="M1644" s="8">
        <f t="shared" si="2"/>
        <v>0.2</v>
      </c>
      <c r="P1644" s="9"/>
    </row>
    <row r="1645">
      <c r="A1645" s="6" t="s">
        <v>4104</v>
      </c>
      <c r="B1645" s="6" t="s">
        <v>1904</v>
      </c>
      <c r="C1645" s="6" t="s">
        <v>23</v>
      </c>
      <c r="D1645" s="6" t="s">
        <v>4105</v>
      </c>
      <c r="E1645" s="6" t="s">
        <v>509</v>
      </c>
      <c r="F1645" s="6" t="s">
        <v>87</v>
      </c>
      <c r="G1645" s="7">
        <v>0.07</v>
      </c>
      <c r="H1645" s="6" t="s">
        <v>153</v>
      </c>
      <c r="I1645" s="6" t="s">
        <v>20</v>
      </c>
      <c r="J1645" s="6">
        <v>2025.0</v>
      </c>
      <c r="K1645" s="10">
        <v>46055.0</v>
      </c>
      <c r="L1645" s="6">
        <v>6.0</v>
      </c>
      <c r="M1645" s="8">
        <f t="shared" si="2"/>
        <v>0.42</v>
      </c>
      <c r="P1645" s="9"/>
    </row>
    <row r="1646">
      <c r="A1646" s="6" t="s">
        <v>4104</v>
      </c>
      <c r="B1646" s="6" t="s">
        <v>1904</v>
      </c>
      <c r="C1646" s="6" t="s">
        <v>23</v>
      </c>
      <c r="D1646" s="6" t="s">
        <v>4105</v>
      </c>
      <c r="E1646" s="6" t="s">
        <v>509</v>
      </c>
      <c r="F1646" s="6" t="s">
        <v>87</v>
      </c>
      <c r="G1646" s="7">
        <v>0.24</v>
      </c>
      <c r="H1646" s="6" t="s">
        <v>153</v>
      </c>
      <c r="I1646" s="6" t="s">
        <v>45</v>
      </c>
      <c r="J1646" s="6">
        <v>2025.0</v>
      </c>
      <c r="K1646" s="10">
        <v>46055.0</v>
      </c>
      <c r="L1646" s="6">
        <v>1.0</v>
      </c>
      <c r="M1646" s="8">
        <f t="shared" si="2"/>
        <v>0.24</v>
      </c>
      <c r="P1646" s="9"/>
    </row>
    <row r="1647">
      <c r="A1647" s="6" t="s">
        <v>4106</v>
      </c>
      <c r="B1647" s="6" t="s">
        <v>219</v>
      </c>
      <c r="C1647" s="6" t="s">
        <v>37</v>
      </c>
      <c r="D1647" s="6" t="s">
        <v>4107</v>
      </c>
      <c r="E1647" s="6" t="s">
        <v>215</v>
      </c>
      <c r="F1647" s="6" t="s">
        <v>26</v>
      </c>
      <c r="G1647" s="7">
        <v>0.09</v>
      </c>
      <c r="H1647" s="6" t="s">
        <v>324</v>
      </c>
      <c r="I1647" s="6" t="s">
        <v>20</v>
      </c>
      <c r="J1647" s="6">
        <v>1995.0</v>
      </c>
      <c r="L1647" s="6">
        <v>3.0</v>
      </c>
      <c r="M1647" s="8">
        <f t="shared" si="2"/>
        <v>0.27</v>
      </c>
      <c r="P1647" s="9"/>
    </row>
    <row r="1648">
      <c r="A1648" s="6" t="s">
        <v>4106</v>
      </c>
      <c r="B1648" s="6" t="s">
        <v>219</v>
      </c>
      <c r="C1648" s="6" t="s">
        <v>37</v>
      </c>
      <c r="D1648" s="6" t="s">
        <v>4107</v>
      </c>
      <c r="E1648" s="6" t="s">
        <v>215</v>
      </c>
      <c r="F1648" s="6" t="s">
        <v>26</v>
      </c>
      <c r="G1648" s="7">
        <v>0.43</v>
      </c>
      <c r="H1648" s="6" t="s">
        <v>316</v>
      </c>
      <c r="I1648" s="6" t="s">
        <v>20</v>
      </c>
      <c r="J1648" s="6">
        <v>1995.0</v>
      </c>
      <c r="L1648" s="6">
        <v>2.0</v>
      </c>
      <c r="M1648" s="8">
        <f t="shared" si="2"/>
        <v>0.86</v>
      </c>
      <c r="P1648" s="9"/>
    </row>
    <row r="1649">
      <c r="A1649" s="6" t="s">
        <v>4108</v>
      </c>
      <c r="B1649" s="6" t="s">
        <v>74</v>
      </c>
      <c r="C1649" s="6" t="s">
        <v>43</v>
      </c>
      <c r="D1649" s="6" t="s">
        <v>4109</v>
      </c>
      <c r="E1649" s="6" t="s">
        <v>3303</v>
      </c>
      <c r="F1649" s="6" t="s">
        <v>50</v>
      </c>
      <c r="G1649" s="7">
        <v>0.28</v>
      </c>
      <c r="H1649" s="6" t="s">
        <v>270</v>
      </c>
      <c r="I1649" s="6" t="s">
        <v>20</v>
      </c>
      <c r="J1649" s="6">
        <v>2022.0</v>
      </c>
      <c r="L1649" s="6">
        <v>1.0</v>
      </c>
      <c r="M1649" s="8">
        <f t="shared" si="2"/>
        <v>0.28</v>
      </c>
      <c r="P1649" s="9"/>
    </row>
    <row r="1650">
      <c r="A1650" s="6" t="s">
        <v>4110</v>
      </c>
      <c r="B1650" s="6" t="s">
        <v>4111</v>
      </c>
      <c r="C1650" s="6" t="s">
        <v>30</v>
      </c>
      <c r="D1650" s="6" t="s">
        <v>4112</v>
      </c>
      <c r="E1650" s="6" t="s">
        <v>256</v>
      </c>
      <c r="F1650" s="6" t="s">
        <v>87</v>
      </c>
      <c r="G1650" s="7">
        <v>0.32</v>
      </c>
      <c r="H1650" s="6" t="s">
        <v>1833</v>
      </c>
      <c r="I1650" s="6" t="s">
        <v>20</v>
      </c>
      <c r="J1650" s="6">
        <v>2018.0</v>
      </c>
      <c r="K1650" s="10">
        <v>46082.0</v>
      </c>
      <c r="L1650" s="6">
        <v>1.0</v>
      </c>
      <c r="M1650" s="8">
        <f t="shared" si="2"/>
        <v>0.32</v>
      </c>
      <c r="P1650" s="9"/>
    </row>
    <row r="1651">
      <c r="A1651" s="6" t="s">
        <v>4113</v>
      </c>
      <c r="B1651" s="6" t="s">
        <v>4114</v>
      </c>
      <c r="C1651" s="6" t="s">
        <v>1488</v>
      </c>
      <c r="D1651" s="6" t="s">
        <v>4115</v>
      </c>
      <c r="E1651" s="6" t="s">
        <v>107</v>
      </c>
      <c r="F1651" s="6" t="s">
        <v>18</v>
      </c>
      <c r="G1651" s="7">
        <v>0.99</v>
      </c>
      <c r="H1651" s="6" t="s">
        <v>373</v>
      </c>
      <c r="I1651" s="6" t="s">
        <v>20</v>
      </c>
      <c r="J1651" s="6">
        <v>2015.0</v>
      </c>
      <c r="K1651" s="6" t="s">
        <v>233</v>
      </c>
      <c r="L1651" s="6">
        <v>1.0</v>
      </c>
      <c r="M1651" s="8">
        <f t="shared" si="2"/>
        <v>0.99</v>
      </c>
      <c r="P1651" s="9"/>
    </row>
    <row r="1652">
      <c r="A1652" s="6" t="s">
        <v>4116</v>
      </c>
      <c r="B1652" s="6" t="s">
        <v>74</v>
      </c>
      <c r="C1652" s="6" t="s">
        <v>37</v>
      </c>
      <c r="D1652" s="6" t="s">
        <v>4117</v>
      </c>
      <c r="E1652" s="6" t="s">
        <v>107</v>
      </c>
      <c r="F1652" s="6" t="s">
        <v>18</v>
      </c>
      <c r="G1652" s="7">
        <v>0.06</v>
      </c>
      <c r="H1652" s="6" t="s">
        <v>1856</v>
      </c>
      <c r="I1652" s="6" t="s">
        <v>20</v>
      </c>
      <c r="J1652" s="6">
        <v>2017.0</v>
      </c>
      <c r="L1652" s="6">
        <v>1.0</v>
      </c>
      <c r="M1652" s="8">
        <f t="shared" si="2"/>
        <v>0.06</v>
      </c>
      <c r="N1652" s="6" t="s">
        <v>374</v>
      </c>
      <c r="P1652" s="9"/>
    </row>
    <row r="1653">
      <c r="A1653" s="6" t="s">
        <v>4118</v>
      </c>
      <c r="B1653" s="6" t="s">
        <v>4119</v>
      </c>
      <c r="C1653" s="6" t="s">
        <v>30</v>
      </c>
      <c r="D1653" s="6" t="s">
        <v>4120</v>
      </c>
      <c r="E1653" s="6" t="s">
        <v>237</v>
      </c>
      <c r="F1653" s="6" t="s">
        <v>18</v>
      </c>
      <c r="G1653" s="7">
        <v>0.25</v>
      </c>
      <c r="H1653" s="6" t="s">
        <v>283</v>
      </c>
      <c r="I1653" s="6" t="s">
        <v>20</v>
      </c>
      <c r="J1653" s="6">
        <v>2013.0</v>
      </c>
      <c r="K1653" s="10">
        <v>46116.0</v>
      </c>
      <c r="L1653" s="6">
        <v>1.0</v>
      </c>
      <c r="M1653" s="8">
        <f t="shared" si="2"/>
        <v>0.25</v>
      </c>
      <c r="P1653" s="9"/>
    </row>
    <row r="1654">
      <c r="A1654" s="6" t="s">
        <v>4121</v>
      </c>
      <c r="B1654" s="6" t="s">
        <v>162</v>
      </c>
      <c r="C1654" s="6" t="s">
        <v>37</v>
      </c>
      <c r="D1654" s="6" t="s">
        <v>4122</v>
      </c>
      <c r="E1654" s="6" t="s">
        <v>98</v>
      </c>
      <c r="F1654" s="6" t="s">
        <v>18</v>
      </c>
      <c r="G1654" s="7">
        <v>0.06</v>
      </c>
      <c r="H1654" s="6" t="s">
        <v>290</v>
      </c>
      <c r="I1654" s="6" t="s">
        <v>20</v>
      </c>
      <c r="J1654" s="6">
        <v>2019.0</v>
      </c>
      <c r="L1654" s="6">
        <v>6.0</v>
      </c>
      <c r="M1654" s="8">
        <f t="shared" si="2"/>
        <v>0.36</v>
      </c>
      <c r="P1654" s="9"/>
    </row>
    <row r="1655">
      <c r="A1655" s="6" t="s">
        <v>4123</v>
      </c>
      <c r="B1655" s="6" t="s">
        <v>4124</v>
      </c>
      <c r="C1655" s="6" t="s">
        <v>377</v>
      </c>
      <c r="D1655" s="6" t="s">
        <v>4125</v>
      </c>
      <c r="E1655" s="6" t="s">
        <v>179</v>
      </c>
      <c r="F1655" s="6" t="s">
        <v>112</v>
      </c>
      <c r="G1655" s="7">
        <v>0.1</v>
      </c>
      <c r="H1655" s="7" t="s">
        <v>424</v>
      </c>
      <c r="I1655" s="6" t="s">
        <v>20</v>
      </c>
      <c r="J1655" s="6">
        <v>2017.0</v>
      </c>
      <c r="K1655" s="6" t="s">
        <v>1924</v>
      </c>
      <c r="L1655" s="6">
        <v>1.0</v>
      </c>
      <c r="M1655" s="8">
        <f t="shared" si="2"/>
        <v>0.1</v>
      </c>
      <c r="P1655" s="9"/>
    </row>
    <row r="1656">
      <c r="A1656" s="6" t="s">
        <v>4126</v>
      </c>
      <c r="B1656" s="6" t="s">
        <v>556</v>
      </c>
      <c r="C1656" s="6" t="s">
        <v>37</v>
      </c>
      <c r="D1656" s="6" t="s">
        <v>4127</v>
      </c>
      <c r="E1656" s="6" t="s">
        <v>164</v>
      </c>
      <c r="F1656" s="6" t="s">
        <v>112</v>
      </c>
      <c r="G1656" s="7">
        <v>0.24</v>
      </c>
      <c r="H1656" s="6" t="s">
        <v>113</v>
      </c>
      <c r="I1656" s="6" t="s">
        <v>20</v>
      </c>
      <c r="J1656" s="6">
        <v>2023.0</v>
      </c>
      <c r="K1656" s="10">
        <v>46024.0</v>
      </c>
      <c r="L1656" s="6">
        <v>1.0</v>
      </c>
      <c r="M1656" s="8">
        <f t="shared" si="2"/>
        <v>0.24</v>
      </c>
      <c r="P1656" s="9"/>
    </row>
    <row r="1657">
      <c r="A1657" s="6" t="s">
        <v>4128</v>
      </c>
      <c r="B1657" s="6" t="s">
        <v>706</v>
      </c>
      <c r="C1657" s="6" t="s">
        <v>43</v>
      </c>
      <c r="D1657" s="6" t="s">
        <v>4129</v>
      </c>
      <c r="E1657" s="6" t="s">
        <v>579</v>
      </c>
      <c r="F1657" s="6" t="s">
        <v>112</v>
      </c>
      <c r="G1657" s="7">
        <v>0.03</v>
      </c>
      <c r="H1657" s="6" t="s">
        <v>1076</v>
      </c>
      <c r="I1657" s="6" t="s">
        <v>20</v>
      </c>
      <c r="J1657" s="6">
        <v>2018.0</v>
      </c>
      <c r="K1657" s="10">
        <v>46084.0</v>
      </c>
      <c r="L1657" s="6">
        <v>2.0</v>
      </c>
      <c r="M1657" s="8">
        <f t="shared" si="2"/>
        <v>0.06</v>
      </c>
      <c r="P1657" s="9"/>
    </row>
    <row r="1658">
      <c r="A1658" s="6" t="s">
        <v>4130</v>
      </c>
      <c r="B1658" s="6" t="s">
        <v>219</v>
      </c>
      <c r="C1658" s="6" t="s">
        <v>183</v>
      </c>
      <c r="D1658" s="6" t="s">
        <v>4131</v>
      </c>
      <c r="E1658" s="6" t="s">
        <v>185</v>
      </c>
      <c r="F1658" s="6" t="s">
        <v>26</v>
      </c>
      <c r="G1658" s="7">
        <v>0.35</v>
      </c>
      <c r="H1658" s="6" t="s">
        <v>631</v>
      </c>
      <c r="I1658" s="6" t="s">
        <v>20</v>
      </c>
      <c r="J1658" s="6">
        <v>1995.0</v>
      </c>
      <c r="L1658" s="6">
        <v>1.0</v>
      </c>
      <c r="M1658" s="8">
        <f t="shared" si="2"/>
        <v>0.35</v>
      </c>
      <c r="P1658" s="9"/>
    </row>
    <row r="1659">
      <c r="A1659" s="6" t="s">
        <v>4132</v>
      </c>
      <c r="B1659" s="6" t="s">
        <v>192</v>
      </c>
      <c r="C1659" s="6" t="s">
        <v>30</v>
      </c>
      <c r="D1659" s="6" t="s">
        <v>4133</v>
      </c>
      <c r="E1659" s="6" t="s">
        <v>25</v>
      </c>
      <c r="F1659" s="6" t="s">
        <v>26</v>
      </c>
      <c r="G1659" s="7">
        <v>2.5</v>
      </c>
      <c r="H1659" s="6" t="s">
        <v>324</v>
      </c>
      <c r="I1659" s="6" t="s">
        <v>20</v>
      </c>
      <c r="J1659" s="6">
        <v>1995.0</v>
      </c>
      <c r="L1659" s="6">
        <v>2.0</v>
      </c>
      <c r="M1659" s="8">
        <f t="shared" si="2"/>
        <v>5</v>
      </c>
      <c r="N1659" s="6" t="s">
        <v>122</v>
      </c>
      <c r="P1659" s="9"/>
    </row>
    <row r="1660">
      <c r="A1660" s="6" t="s">
        <v>4134</v>
      </c>
      <c r="B1660" s="6" t="s">
        <v>4135</v>
      </c>
      <c r="C1660" s="6" t="s">
        <v>23</v>
      </c>
      <c r="D1660" s="6" t="s">
        <v>4136</v>
      </c>
      <c r="E1660" s="6" t="s">
        <v>814</v>
      </c>
      <c r="F1660" s="6" t="s">
        <v>1335</v>
      </c>
      <c r="G1660" s="7">
        <v>0.03</v>
      </c>
      <c r="H1660" s="6" t="s">
        <v>342</v>
      </c>
      <c r="I1660" s="6" t="s">
        <v>20</v>
      </c>
      <c r="J1660" s="6">
        <v>2014.0</v>
      </c>
      <c r="K1660" s="10">
        <v>46056.0</v>
      </c>
      <c r="L1660" s="6">
        <v>4.0</v>
      </c>
      <c r="M1660" s="8">
        <f t="shared" si="2"/>
        <v>0.12</v>
      </c>
      <c r="P1660" s="9"/>
    </row>
    <row r="1661">
      <c r="A1661" s="6" t="s">
        <v>4137</v>
      </c>
      <c r="B1661" s="6" t="s">
        <v>4138</v>
      </c>
      <c r="C1661" s="6" t="s">
        <v>30</v>
      </c>
      <c r="D1661" s="6" t="s">
        <v>4139</v>
      </c>
      <c r="E1661" s="6" t="s">
        <v>1540</v>
      </c>
      <c r="F1661" s="6" t="s">
        <v>87</v>
      </c>
      <c r="G1661" s="7">
        <v>0.68</v>
      </c>
      <c r="H1661" s="6" t="s">
        <v>144</v>
      </c>
      <c r="I1661" s="6" t="s">
        <v>20</v>
      </c>
      <c r="J1661" s="6">
        <v>2018.0</v>
      </c>
      <c r="L1661" s="6">
        <v>1.0</v>
      </c>
      <c r="M1661" s="8">
        <f t="shared" si="2"/>
        <v>0.68</v>
      </c>
      <c r="P1661" s="9"/>
    </row>
    <row r="1662">
      <c r="A1662" s="6" t="s">
        <v>4140</v>
      </c>
      <c r="B1662" s="6" t="s">
        <v>2270</v>
      </c>
      <c r="C1662" s="6" t="s">
        <v>43</v>
      </c>
      <c r="D1662" s="6" t="s">
        <v>4141</v>
      </c>
      <c r="E1662" s="6" t="s">
        <v>420</v>
      </c>
      <c r="F1662" s="6" t="s">
        <v>40</v>
      </c>
      <c r="G1662" s="7">
        <v>0.1</v>
      </c>
      <c r="H1662" s="6" t="s">
        <v>136</v>
      </c>
      <c r="I1662" s="6" t="s">
        <v>20</v>
      </c>
      <c r="J1662" s="6">
        <v>2026.0</v>
      </c>
      <c r="K1662" s="10">
        <v>46084.0</v>
      </c>
      <c r="L1662" s="6">
        <v>3.0</v>
      </c>
      <c r="M1662" s="8">
        <f t="shared" si="2"/>
        <v>0.3</v>
      </c>
      <c r="P1662" s="9"/>
    </row>
    <row r="1663">
      <c r="A1663" s="6" t="s">
        <v>4140</v>
      </c>
      <c r="B1663" s="6" t="s">
        <v>2270</v>
      </c>
      <c r="C1663" s="6" t="s">
        <v>43</v>
      </c>
      <c r="D1663" s="6" t="s">
        <v>4141</v>
      </c>
      <c r="E1663" s="6" t="s">
        <v>420</v>
      </c>
      <c r="F1663" s="6" t="s">
        <v>40</v>
      </c>
      <c r="G1663" s="7">
        <v>0.15</v>
      </c>
      <c r="H1663" s="6" t="s">
        <v>136</v>
      </c>
      <c r="I1663" s="6" t="s">
        <v>45</v>
      </c>
      <c r="J1663" s="6">
        <v>2026.0</v>
      </c>
      <c r="K1663" s="10">
        <v>46084.0</v>
      </c>
      <c r="L1663" s="6">
        <v>1.0</v>
      </c>
      <c r="M1663" s="8">
        <f t="shared" si="2"/>
        <v>0.15</v>
      </c>
      <c r="P1663" s="9"/>
    </row>
    <row r="1664">
      <c r="A1664" s="6" t="s">
        <v>4140</v>
      </c>
      <c r="B1664" s="6" t="s">
        <v>2270</v>
      </c>
      <c r="C1664" s="6" t="s">
        <v>43</v>
      </c>
      <c r="D1664" s="6" t="s">
        <v>4141</v>
      </c>
      <c r="E1664" s="6" t="s">
        <v>420</v>
      </c>
      <c r="F1664" s="6" t="s">
        <v>40</v>
      </c>
      <c r="G1664" s="7">
        <v>0.1</v>
      </c>
      <c r="H1664" s="6" t="s">
        <v>136</v>
      </c>
      <c r="I1664" s="6" t="s">
        <v>20</v>
      </c>
      <c r="J1664" s="6">
        <v>2026.0</v>
      </c>
      <c r="K1664" s="10">
        <v>46084.0</v>
      </c>
      <c r="L1664" s="6">
        <v>1.0</v>
      </c>
      <c r="M1664" s="8">
        <f t="shared" si="2"/>
        <v>0.1</v>
      </c>
      <c r="P1664" s="9"/>
    </row>
    <row r="1665">
      <c r="A1665" s="6" t="s">
        <v>4142</v>
      </c>
      <c r="B1665" s="6" t="s">
        <v>138</v>
      </c>
      <c r="C1665" s="6" t="s">
        <v>37</v>
      </c>
      <c r="D1665" s="6" t="s">
        <v>4143</v>
      </c>
      <c r="E1665" s="6" t="s">
        <v>256</v>
      </c>
      <c r="F1665" s="6" t="s">
        <v>87</v>
      </c>
      <c r="G1665" s="7">
        <v>0.23</v>
      </c>
      <c r="H1665" s="6" t="s">
        <v>136</v>
      </c>
      <c r="I1665" s="6" t="s">
        <v>20</v>
      </c>
      <c r="J1665" s="6">
        <v>2026.0</v>
      </c>
      <c r="L1665" s="6">
        <v>1.0</v>
      </c>
      <c r="M1665" s="8">
        <f t="shared" si="2"/>
        <v>0.23</v>
      </c>
      <c r="P1665" s="9"/>
    </row>
    <row r="1666">
      <c r="A1666" s="6" t="s">
        <v>4144</v>
      </c>
      <c r="B1666" s="6" t="s">
        <v>2132</v>
      </c>
      <c r="C1666" s="6" t="s">
        <v>43</v>
      </c>
      <c r="D1666" s="6" t="s">
        <v>4145</v>
      </c>
      <c r="E1666" s="6" t="s">
        <v>135</v>
      </c>
      <c r="F1666" s="6" t="s">
        <v>40</v>
      </c>
      <c r="G1666" s="7">
        <v>0.07</v>
      </c>
      <c r="H1666" s="6" t="s">
        <v>34</v>
      </c>
      <c r="I1666" s="6" t="s">
        <v>20</v>
      </c>
      <c r="J1666" s="6">
        <v>2025.0</v>
      </c>
      <c r="K1666" s="10">
        <v>46054.0</v>
      </c>
      <c r="L1666" s="6">
        <v>2.0</v>
      </c>
      <c r="M1666" s="8">
        <f t="shared" si="2"/>
        <v>0.14</v>
      </c>
      <c r="P1666" s="9"/>
    </row>
    <row r="1667">
      <c r="A1667" s="6" t="s">
        <v>4144</v>
      </c>
      <c r="B1667" s="6" t="s">
        <v>2132</v>
      </c>
      <c r="C1667" s="6" t="s">
        <v>43</v>
      </c>
      <c r="D1667" s="6" t="s">
        <v>4145</v>
      </c>
      <c r="E1667" s="6" t="s">
        <v>135</v>
      </c>
      <c r="F1667" s="6" t="s">
        <v>40</v>
      </c>
      <c r="G1667" s="7">
        <v>0.07</v>
      </c>
      <c r="H1667" s="6" t="s">
        <v>34</v>
      </c>
      <c r="I1667" s="6" t="s">
        <v>20</v>
      </c>
      <c r="J1667" s="6">
        <v>2025.0</v>
      </c>
      <c r="K1667" s="10">
        <v>46054.0</v>
      </c>
      <c r="L1667" s="6">
        <v>3.0</v>
      </c>
      <c r="M1667" s="8">
        <f t="shared" si="2"/>
        <v>0.21</v>
      </c>
      <c r="P1667" s="9"/>
    </row>
    <row r="1668">
      <c r="A1668" s="6" t="s">
        <v>4146</v>
      </c>
      <c r="B1668" s="6" t="s">
        <v>4147</v>
      </c>
      <c r="C1668" s="6" t="s">
        <v>15</v>
      </c>
      <c r="D1668" s="6" t="s">
        <v>4148</v>
      </c>
      <c r="E1668" s="6" t="s">
        <v>852</v>
      </c>
      <c r="F1668" s="6" t="s">
        <v>18</v>
      </c>
      <c r="G1668" s="7">
        <v>0.09</v>
      </c>
      <c r="H1668" s="6" t="s">
        <v>130</v>
      </c>
      <c r="I1668" s="6" t="s">
        <v>20</v>
      </c>
      <c r="J1668" s="6">
        <v>2014.0</v>
      </c>
      <c r="K1668" s="10">
        <v>46054.0</v>
      </c>
      <c r="L1668" s="6">
        <v>1.0</v>
      </c>
      <c r="M1668" s="8">
        <f t="shared" si="2"/>
        <v>0.09</v>
      </c>
      <c r="P1668" s="9"/>
    </row>
    <row r="1669">
      <c r="A1669" s="6" t="s">
        <v>4149</v>
      </c>
      <c r="B1669" s="6" t="s">
        <v>4150</v>
      </c>
      <c r="C1669" s="6" t="s">
        <v>30</v>
      </c>
      <c r="D1669" s="6" t="s">
        <v>4151</v>
      </c>
      <c r="E1669" s="6" t="s">
        <v>98</v>
      </c>
      <c r="F1669" s="6" t="s">
        <v>18</v>
      </c>
      <c r="G1669" s="7">
        <v>0.15</v>
      </c>
      <c r="H1669" s="6" t="s">
        <v>1493</v>
      </c>
      <c r="I1669" s="6" t="s">
        <v>20</v>
      </c>
      <c r="J1669" s="6">
        <v>2015.0</v>
      </c>
      <c r="K1669" s="10">
        <v>46083.0</v>
      </c>
      <c r="L1669" s="6">
        <v>1.0</v>
      </c>
      <c r="M1669" s="8">
        <f t="shared" si="2"/>
        <v>0.15</v>
      </c>
      <c r="P1669" s="9"/>
    </row>
    <row r="1670">
      <c r="A1670" s="6" t="s">
        <v>4152</v>
      </c>
      <c r="B1670" s="6" t="s">
        <v>4153</v>
      </c>
      <c r="C1670" s="6" t="s">
        <v>37</v>
      </c>
      <c r="D1670" s="6" t="s">
        <v>4154</v>
      </c>
      <c r="E1670" s="6" t="s">
        <v>4155</v>
      </c>
      <c r="F1670" s="6" t="s">
        <v>1000</v>
      </c>
      <c r="G1670" s="7">
        <v>0.15</v>
      </c>
      <c r="H1670" s="6" t="s">
        <v>34</v>
      </c>
      <c r="I1670" s="6" t="s">
        <v>20</v>
      </c>
      <c r="J1670" s="6">
        <v>2025.0</v>
      </c>
      <c r="K1670" s="10">
        <v>46025.0</v>
      </c>
      <c r="L1670" s="6">
        <v>1.0</v>
      </c>
      <c r="M1670" s="8">
        <f t="shared" si="2"/>
        <v>0.15</v>
      </c>
      <c r="P1670" s="9"/>
    </row>
    <row r="1671">
      <c r="A1671" s="6" t="s">
        <v>4156</v>
      </c>
      <c r="B1671" s="6" t="s">
        <v>462</v>
      </c>
      <c r="C1671" s="6" t="s">
        <v>37</v>
      </c>
      <c r="D1671" s="6" t="s">
        <v>4157</v>
      </c>
      <c r="E1671" s="6" t="s">
        <v>140</v>
      </c>
      <c r="F1671" s="6" t="s">
        <v>87</v>
      </c>
      <c r="G1671" s="7">
        <v>0.15</v>
      </c>
      <c r="H1671" s="6" t="s">
        <v>34</v>
      </c>
      <c r="I1671" s="6" t="s">
        <v>20</v>
      </c>
      <c r="J1671" s="6">
        <v>2025.0</v>
      </c>
      <c r="L1671" s="6">
        <v>1.0</v>
      </c>
      <c r="M1671" s="8">
        <f t="shared" si="2"/>
        <v>0.15</v>
      </c>
      <c r="P1671" s="9"/>
    </row>
    <row r="1672">
      <c r="A1672" s="6" t="s">
        <v>4158</v>
      </c>
      <c r="B1672" s="6" t="s">
        <v>1529</v>
      </c>
      <c r="C1672" s="6" t="s">
        <v>30</v>
      </c>
      <c r="D1672" s="6" t="s">
        <v>4159</v>
      </c>
      <c r="E1672" s="6" t="s">
        <v>1634</v>
      </c>
      <c r="F1672" s="6" t="s">
        <v>87</v>
      </c>
      <c r="G1672" s="7">
        <v>0.25</v>
      </c>
      <c r="H1672" s="6" t="s">
        <v>2287</v>
      </c>
      <c r="I1672" s="6" t="s">
        <v>20</v>
      </c>
      <c r="J1672" s="6">
        <v>2005.0</v>
      </c>
      <c r="K1672" s="10">
        <v>46084.0</v>
      </c>
      <c r="L1672" s="6">
        <v>1.0</v>
      </c>
      <c r="M1672" s="8">
        <f t="shared" si="2"/>
        <v>0.25</v>
      </c>
      <c r="P1672" s="9"/>
    </row>
    <row r="1673">
      <c r="A1673" s="6" t="s">
        <v>4160</v>
      </c>
      <c r="B1673" s="6" t="s">
        <v>162</v>
      </c>
      <c r="C1673" s="6" t="s">
        <v>43</v>
      </c>
      <c r="D1673" s="6" t="s">
        <v>4161</v>
      </c>
      <c r="E1673" s="6" t="s">
        <v>224</v>
      </c>
      <c r="F1673" s="6" t="s">
        <v>18</v>
      </c>
      <c r="G1673" s="7">
        <v>0.04</v>
      </c>
      <c r="H1673" s="6" t="s">
        <v>918</v>
      </c>
      <c r="I1673" s="6" t="s">
        <v>20</v>
      </c>
      <c r="J1673" s="6">
        <v>2023.0</v>
      </c>
      <c r="L1673" s="6">
        <v>1.0</v>
      </c>
      <c r="M1673" s="8">
        <f t="shared" si="2"/>
        <v>0.04</v>
      </c>
      <c r="P1673" s="9"/>
    </row>
    <row r="1674">
      <c r="A1674" s="6" t="s">
        <v>4162</v>
      </c>
      <c r="B1674" s="6" t="s">
        <v>74</v>
      </c>
      <c r="C1674" s="6" t="s">
        <v>43</v>
      </c>
      <c r="D1674" s="6" t="s">
        <v>4163</v>
      </c>
      <c r="E1674" s="6" t="s">
        <v>39</v>
      </c>
      <c r="F1674" s="6" t="s">
        <v>40</v>
      </c>
      <c r="G1674" s="7">
        <v>0.06</v>
      </c>
      <c r="H1674" s="6" t="s">
        <v>232</v>
      </c>
      <c r="I1674" s="6" t="s">
        <v>20</v>
      </c>
      <c r="J1674" s="6">
        <v>2010.0</v>
      </c>
      <c r="L1674" s="6">
        <v>4.0</v>
      </c>
      <c r="M1674" s="8">
        <f t="shared" si="2"/>
        <v>0.24</v>
      </c>
      <c r="P1674" s="9"/>
    </row>
    <row r="1675">
      <c r="A1675" s="6" t="s">
        <v>4164</v>
      </c>
      <c r="B1675" s="6" t="s">
        <v>4165</v>
      </c>
      <c r="C1675" s="6" t="s">
        <v>37</v>
      </c>
      <c r="D1675" s="6" t="s">
        <v>4166</v>
      </c>
      <c r="E1675" s="6" t="s">
        <v>3602</v>
      </c>
      <c r="F1675" s="6" t="s">
        <v>636</v>
      </c>
      <c r="G1675" s="7">
        <v>0.09</v>
      </c>
      <c r="H1675" s="6" t="s">
        <v>160</v>
      </c>
      <c r="I1675" s="6" t="s">
        <v>20</v>
      </c>
      <c r="J1675" s="6">
        <v>2024.0</v>
      </c>
      <c r="K1675" s="10">
        <v>46057.0</v>
      </c>
      <c r="L1675" s="6">
        <v>1.0</v>
      </c>
      <c r="M1675" s="8">
        <f t="shared" si="2"/>
        <v>0.09</v>
      </c>
      <c r="P1675" s="9"/>
    </row>
    <row r="1676">
      <c r="A1676" s="6" t="s">
        <v>4167</v>
      </c>
      <c r="B1676" s="6" t="s">
        <v>4168</v>
      </c>
      <c r="C1676" s="6" t="s">
        <v>37</v>
      </c>
      <c r="D1676" s="6" t="s">
        <v>4169</v>
      </c>
      <c r="E1676" s="6" t="s">
        <v>135</v>
      </c>
      <c r="F1676" s="6" t="s">
        <v>40</v>
      </c>
      <c r="G1676" s="7">
        <v>0.1</v>
      </c>
      <c r="H1676" s="6" t="s">
        <v>746</v>
      </c>
      <c r="I1676" s="6" t="s">
        <v>20</v>
      </c>
      <c r="J1676" s="6">
        <v>2024.0</v>
      </c>
      <c r="K1676" s="10">
        <v>46083.0</v>
      </c>
      <c r="L1676" s="6">
        <v>1.0</v>
      </c>
      <c r="M1676" s="8">
        <f t="shared" si="2"/>
        <v>0.1</v>
      </c>
      <c r="P1676" s="9"/>
    </row>
    <row r="1677">
      <c r="A1677" s="6" t="s">
        <v>4170</v>
      </c>
      <c r="B1677" s="6" t="s">
        <v>162</v>
      </c>
      <c r="C1677" s="6" t="s">
        <v>43</v>
      </c>
      <c r="D1677" s="6" t="s">
        <v>4171</v>
      </c>
      <c r="E1677" s="6" t="s">
        <v>125</v>
      </c>
      <c r="F1677" s="6" t="s">
        <v>40</v>
      </c>
      <c r="G1677" s="7">
        <v>0.14</v>
      </c>
      <c r="H1677" s="6" t="s">
        <v>363</v>
      </c>
      <c r="I1677" s="6" t="s">
        <v>45</v>
      </c>
      <c r="J1677" s="6">
        <v>2024.0</v>
      </c>
      <c r="L1677" s="6">
        <v>2.0</v>
      </c>
      <c r="M1677" s="8">
        <f t="shared" si="2"/>
        <v>0.28</v>
      </c>
      <c r="P1677" s="9"/>
    </row>
    <row r="1678">
      <c r="A1678" s="6" t="s">
        <v>4172</v>
      </c>
      <c r="B1678" s="6" t="s">
        <v>1192</v>
      </c>
      <c r="C1678" s="6" t="s">
        <v>37</v>
      </c>
      <c r="D1678" s="6" t="s">
        <v>4173</v>
      </c>
      <c r="E1678" s="6" t="s">
        <v>76</v>
      </c>
      <c r="F1678" s="6" t="s">
        <v>77</v>
      </c>
      <c r="G1678" s="7">
        <v>0.09</v>
      </c>
      <c r="H1678" s="6" t="s">
        <v>34</v>
      </c>
      <c r="I1678" s="6" t="s">
        <v>20</v>
      </c>
      <c r="J1678" s="6">
        <v>2025.0</v>
      </c>
      <c r="K1678" s="10">
        <v>46055.0</v>
      </c>
      <c r="L1678" s="6">
        <v>1.0</v>
      </c>
      <c r="M1678" s="8">
        <f t="shared" si="2"/>
        <v>0.09</v>
      </c>
      <c r="P1678" s="9"/>
    </row>
    <row r="1679">
      <c r="A1679" s="6" t="s">
        <v>4174</v>
      </c>
      <c r="B1679" s="6" t="s">
        <v>714</v>
      </c>
      <c r="C1679" s="6" t="s">
        <v>418</v>
      </c>
      <c r="D1679" s="6" t="s">
        <v>4175</v>
      </c>
      <c r="E1679" s="6" t="s">
        <v>1634</v>
      </c>
      <c r="F1679" s="6" t="s">
        <v>87</v>
      </c>
      <c r="G1679" s="7">
        <v>0.2</v>
      </c>
      <c r="H1679" s="6" t="s">
        <v>58</v>
      </c>
      <c r="I1679" s="6" t="s">
        <v>20</v>
      </c>
      <c r="J1679" s="6">
        <v>1995.0</v>
      </c>
      <c r="K1679" s="10">
        <v>46084.0</v>
      </c>
      <c r="L1679" s="6">
        <v>1.0</v>
      </c>
      <c r="M1679" s="8">
        <f t="shared" si="2"/>
        <v>0.2</v>
      </c>
      <c r="P1679" s="9"/>
    </row>
    <row r="1680">
      <c r="A1680" s="6" t="s">
        <v>4176</v>
      </c>
      <c r="B1680" s="6" t="s">
        <v>219</v>
      </c>
      <c r="C1680" s="6" t="s">
        <v>37</v>
      </c>
      <c r="D1680" s="6" t="s">
        <v>4177</v>
      </c>
      <c r="E1680" s="6" t="s">
        <v>526</v>
      </c>
      <c r="F1680" s="6" t="s">
        <v>26</v>
      </c>
      <c r="G1680" s="7">
        <v>0.14</v>
      </c>
      <c r="H1680" s="6" t="s">
        <v>58</v>
      </c>
      <c r="I1680" s="6" t="s">
        <v>20</v>
      </c>
      <c r="J1680" s="6">
        <v>1995.0</v>
      </c>
      <c r="L1680" s="6">
        <v>1.0</v>
      </c>
      <c r="M1680" s="8">
        <f t="shared" si="2"/>
        <v>0.14</v>
      </c>
      <c r="P1680" s="9"/>
    </row>
    <row r="1681">
      <c r="A1681" s="6" t="s">
        <v>4178</v>
      </c>
      <c r="B1681" s="6" t="s">
        <v>556</v>
      </c>
      <c r="C1681" s="6" t="s">
        <v>37</v>
      </c>
      <c r="D1681" s="6" t="s">
        <v>4179</v>
      </c>
      <c r="E1681" s="6" t="s">
        <v>859</v>
      </c>
      <c r="F1681" s="6" t="s">
        <v>50</v>
      </c>
      <c r="G1681" s="7">
        <v>0.04</v>
      </c>
      <c r="H1681" s="6" t="s">
        <v>655</v>
      </c>
      <c r="I1681" s="6" t="s">
        <v>20</v>
      </c>
      <c r="J1681" s="6">
        <v>2023.0</v>
      </c>
      <c r="K1681" s="10">
        <v>46083.0</v>
      </c>
      <c r="L1681" s="6">
        <v>1.0</v>
      </c>
      <c r="M1681" s="8">
        <f t="shared" si="2"/>
        <v>0.04</v>
      </c>
      <c r="P1681" s="9"/>
    </row>
    <row r="1682">
      <c r="A1682" s="6" t="s">
        <v>4180</v>
      </c>
      <c r="B1682" s="6" t="s">
        <v>4181</v>
      </c>
      <c r="C1682" s="6" t="s">
        <v>43</v>
      </c>
      <c r="D1682" s="6" t="s">
        <v>4182</v>
      </c>
      <c r="E1682" s="6" t="s">
        <v>579</v>
      </c>
      <c r="F1682" s="6" t="s">
        <v>112</v>
      </c>
      <c r="G1682" s="7">
        <v>0.09</v>
      </c>
      <c r="H1682" s="6" t="s">
        <v>1277</v>
      </c>
      <c r="I1682" s="6" t="s">
        <v>20</v>
      </c>
      <c r="J1682" s="6">
        <v>2004.0</v>
      </c>
      <c r="L1682" s="6">
        <v>1.0</v>
      </c>
      <c r="M1682" s="8">
        <f t="shared" si="2"/>
        <v>0.09</v>
      </c>
      <c r="P1682" s="9"/>
    </row>
    <row r="1683">
      <c r="A1683" s="6" t="s">
        <v>4183</v>
      </c>
      <c r="B1683" s="6" t="s">
        <v>4184</v>
      </c>
      <c r="C1683" s="6" t="s">
        <v>15</v>
      </c>
      <c r="D1683" s="6" t="s">
        <v>4185</v>
      </c>
      <c r="E1683" s="6" t="s">
        <v>1417</v>
      </c>
      <c r="F1683" s="6" t="s">
        <v>4186</v>
      </c>
      <c r="G1683" s="7">
        <v>0.25</v>
      </c>
      <c r="H1683" s="6" t="s">
        <v>153</v>
      </c>
      <c r="I1683" s="6" t="s">
        <v>20</v>
      </c>
      <c r="J1683" s="6">
        <v>2025.0</v>
      </c>
      <c r="K1683" s="10">
        <v>46055.0</v>
      </c>
      <c r="L1683" s="6">
        <v>1.0</v>
      </c>
      <c r="M1683" s="8">
        <f t="shared" si="2"/>
        <v>0.25</v>
      </c>
      <c r="P1683" s="9"/>
    </row>
    <row r="1684">
      <c r="A1684" s="6" t="s">
        <v>4187</v>
      </c>
      <c r="B1684" s="6" t="s">
        <v>603</v>
      </c>
      <c r="C1684" s="6" t="s">
        <v>37</v>
      </c>
      <c r="D1684" s="6" t="s">
        <v>4188</v>
      </c>
      <c r="E1684" s="6" t="s">
        <v>4189</v>
      </c>
      <c r="F1684" s="6" t="s">
        <v>519</v>
      </c>
      <c r="G1684" s="7">
        <v>0.41</v>
      </c>
      <c r="H1684" s="6" t="s">
        <v>586</v>
      </c>
      <c r="I1684" s="6" t="s">
        <v>20</v>
      </c>
      <c r="J1684" s="6">
        <v>2012.0</v>
      </c>
      <c r="K1684" s="10">
        <v>46023.0</v>
      </c>
      <c r="L1684" s="6">
        <v>2.0</v>
      </c>
      <c r="M1684" s="8">
        <f t="shared" si="2"/>
        <v>0.82</v>
      </c>
      <c r="P1684" s="9"/>
    </row>
    <row r="1685">
      <c r="A1685" s="6" t="s">
        <v>4190</v>
      </c>
      <c r="B1685" s="6" t="s">
        <v>203</v>
      </c>
      <c r="C1685" s="6" t="s">
        <v>183</v>
      </c>
      <c r="D1685" s="6" t="s">
        <v>4191</v>
      </c>
      <c r="E1685" s="6" t="s">
        <v>994</v>
      </c>
      <c r="F1685" s="6" t="s">
        <v>26</v>
      </c>
      <c r="G1685" s="7">
        <v>1.34</v>
      </c>
      <c r="H1685" s="6" t="s">
        <v>453</v>
      </c>
      <c r="I1685" s="6" t="s">
        <v>20</v>
      </c>
      <c r="J1685" s="6">
        <v>1994.0</v>
      </c>
      <c r="K1685" s="10">
        <v>46086.0</v>
      </c>
      <c r="L1685" s="6">
        <v>1.0</v>
      </c>
      <c r="M1685" s="8">
        <f t="shared" si="2"/>
        <v>1.34</v>
      </c>
      <c r="N1685" s="6" t="s">
        <v>122</v>
      </c>
      <c r="P1685" s="9"/>
    </row>
    <row r="1686">
      <c r="A1686" s="6" t="s">
        <v>4192</v>
      </c>
      <c r="B1686" s="6" t="s">
        <v>4193</v>
      </c>
      <c r="C1686" s="6" t="s">
        <v>43</v>
      </c>
      <c r="D1686" s="6" t="s">
        <v>4194</v>
      </c>
      <c r="E1686" s="6" t="s">
        <v>579</v>
      </c>
      <c r="F1686" s="6" t="s">
        <v>112</v>
      </c>
      <c r="G1686" s="7">
        <v>0.06</v>
      </c>
      <c r="H1686" s="6" t="s">
        <v>297</v>
      </c>
      <c r="I1686" s="6" t="s">
        <v>20</v>
      </c>
      <c r="J1686" s="6">
        <v>2022.0</v>
      </c>
      <c r="K1686" s="10">
        <v>46084.0</v>
      </c>
      <c r="L1686" s="6">
        <v>1.0</v>
      </c>
      <c r="M1686" s="8">
        <f t="shared" si="2"/>
        <v>0.06</v>
      </c>
      <c r="P1686" s="9"/>
    </row>
    <row r="1687">
      <c r="A1687" s="6" t="s">
        <v>4195</v>
      </c>
      <c r="B1687" s="6" t="s">
        <v>3941</v>
      </c>
      <c r="C1687" s="6" t="s">
        <v>43</v>
      </c>
      <c r="D1687" s="6" t="s">
        <v>4196</v>
      </c>
      <c r="E1687" s="6" t="s">
        <v>164</v>
      </c>
      <c r="F1687" s="6" t="s">
        <v>112</v>
      </c>
      <c r="G1687" s="7">
        <v>0.06</v>
      </c>
      <c r="H1687" s="6" t="s">
        <v>297</v>
      </c>
      <c r="I1687" s="6" t="s">
        <v>20</v>
      </c>
      <c r="J1687" s="6">
        <v>2022.0</v>
      </c>
      <c r="K1687" s="10">
        <v>46055.0</v>
      </c>
      <c r="L1687" s="6">
        <v>1.0</v>
      </c>
      <c r="M1687" s="8">
        <f t="shared" si="2"/>
        <v>0.06</v>
      </c>
      <c r="P1687" s="9"/>
    </row>
    <row r="1688">
      <c r="A1688" s="6" t="s">
        <v>4197</v>
      </c>
      <c r="B1688" s="6" t="s">
        <v>138</v>
      </c>
      <c r="C1688" s="6" t="s">
        <v>43</v>
      </c>
      <c r="D1688" s="6" t="s">
        <v>4198</v>
      </c>
      <c r="E1688" s="6" t="s">
        <v>125</v>
      </c>
      <c r="F1688" s="6" t="s">
        <v>40</v>
      </c>
      <c r="G1688" s="7">
        <v>0.19</v>
      </c>
      <c r="H1688" s="6" t="s">
        <v>475</v>
      </c>
      <c r="I1688" s="6" t="s">
        <v>45</v>
      </c>
      <c r="J1688" s="6">
        <v>2024.0</v>
      </c>
      <c r="L1688" s="6">
        <v>2.0</v>
      </c>
      <c r="M1688" s="8">
        <f t="shared" si="2"/>
        <v>0.38</v>
      </c>
      <c r="P1688" s="9"/>
    </row>
    <row r="1689">
      <c r="A1689" s="6" t="s">
        <v>4199</v>
      </c>
      <c r="B1689" s="6" t="s">
        <v>3397</v>
      </c>
      <c r="C1689" s="6" t="s">
        <v>43</v>
      </c>
      <c r="D1689" s="6" t="s">
        <v>4200</v>
      </c>
      <c r="E1689" s="6" t="s">
        <v>4201</v>
      </c>
      <c r="F1689" s="6" t="s">
        <v>4202</v>
      </c>
      <c r="G1689" s="7">
        <v>0.2</v>
      </c>
      <c r="H1689" s="6" t="s">
        <v>537</v>
      </c>
      <c r="I1689" s="6" t="s">
        <v>20</v>
      </c>
      <c r="J1689" s="6">
        <v>2009.0</v>
      </c>
      <c r="K1689" s="10">
        <v>46024.0</v>
      </c>
      <c r="L1689" s="6">
        <v>1.0</v>
      </c>
      <c r="M1689" s="8">
        <f t="shared" si="2"/>
        <v>0.2</v>
      </c>
      <c r="P1689" s="9"/>
    </row>
    <row r="1690">
      <c r="A1690" s="6" t="s">
        <v>4203</v>
      </c>
      <c r="B1690" s="6" t="s">
        <v>4204</v>
      </c>
      <c r="C1690" s="6" t="s">
        <v>37</v>
      </c>
      <c r="D1690" s="6" t="s">
        <v>4205</v>
      </c>
      <c r="E1690" s="6" t="s">
        <v>76</v>
      </c>
      <c r="F1690" s="6" t="s">
        <v>77</v>
      </c>
      <c r="G1690" s="7">
        <v>0.09</v>
      </c>
      <c r="H1690" s="6" t="s">
        <v>34</v>
      </c>
      <c r="I1690" s="6" t="s">
        <v>20</v>
      </c>
      <c r="J1690" s="6">
        <v>2025.0</v>
      </c>
      <c r="K1690" s="10">
        <v>46055.0</v>
      </c>
      <c r="L1690" s="6">
        <v>2.0</v>
      </c>
      <c r="M1690" s="8">
        <f t="shared" si="2"/>
        <v>0.18</v>
      </c>
      <c r="P1690" s="9"/>
    </row>
    <row r="1691">
      <c r="A1691" s="6" t="s">
        <v>4206</v>
      </c>
      <c r="B1691" s="6" t="s">
        <v>4207</v>
      </c>
      <c r="C1691" s="6" t="s">
        <v>43</v>
      </c>
      <c r="D1691" s="6" t="s">
        <v>4208</v>
      </c>
      <c r="E1691" s="6" t="s">
        <v>4209</v>
      </c>
      <c r="F1691" s="6" t="s">
        <v>636</v>
      </c>
      <c r="G1691" s="7">
        <v>0.1</v>
      </c>
      <c r="H1691" s="6" t="s">
        <v>746</v>
      </c>
      <c r="I1691" s="6" t="s">
        <v>20</v>
      </c>
      <c r="J1691" s="6">
        <v>2024.0</v>
      </c>
      <c r="K1691" s="10">
        <v>46146.0</v>
      </c>
      <c r="L1691" s="6">
        <v>2.0</v>
      </c>
      <c r="M1691" s="8">
        <f t="shared" si="2"/>
        <v>0.2</v>
      </c>
      <c r="P1691" s="9"/>
    </row>
    <row r="1692">
      <c r="A1692" s="6" t="s">
        <v>4210</v>
      </c>
      <c r="B1692" s="6" t="s">
        <v>4211</v>
      </c>
      <c r="C1692" s="6" t="s">
        <v>30</v>
      </c>
      <c r="D1692" s="6" t="s">
        <v>4212</v>
      </c>
      <c r="E1692" s="6" t="s">
        <v>1027</v>
      </c>
      <c r="F1692" s="6" t="s">
        <v>77</v>
      </c>
      <c r="G1692" s="7">
        <v>0.2</v>
      </c>
      <c r="H1692" s="6" t="s">
        <v>83</v>
      </c>
      <c r="I1692" s="6" t="s">
        <v>20</v>
      </c>
      <c r="J1692" s="6">
        <v>1995.0</v>
      </c>
      <c r="K1692" s="10">
        <v>46084.0</v>
      </c>
      <c r="L1692" s="6">
        <v>2.0</v>
      </c>
      <c r="M1692" s="8">
        <f t="shared" si="2"/>
        <v>0.4</v>
      </c>
      <c r="P1692" s="9"/>
    </row>
    <row r="1693">
      <c r="A1693" s="6" t="s">
        <v>4210</v>
      </c>
      <c r="B1693" s="6" t="s">
        <v>4211</v>
      </c>
      <c r="C1693" s="6" t="s">
        <v>30</v>
      </c>
      <c r="D1693" s="6" t="s">
        <v>4212</v>
      </c>
      <c r="E1693" s="6" t="s">
        <v>1027</v>
      </c>
      <c r="F1693" s="6" t="s">
        <v>77</v>
      </c>
      <c r="G1693" s="7">
        <v>0.5</v>
      </c>
      <c r="H1693" s="6" t="s">
        <v>1064</v>
      </c>
      <c r="I1693" s="6" t="s">
        <v>20</v>
      </c>
      <c r="J1693" s="6">
        <v>1995.0</v>
      </c>
      <c r="K1693" s="10">
        <v>46084.0</v>
      </c>
      <c r="L1693" s="6">
        <v>1.0</v>
      </c>
      <c r="M1693" s="8">
        <f t="shared" si="2"/>
        <v>0.5</v>
      </c>
      <c r="P1693" s="9"/>
    </row>
    <row r="1694">
      <c r="A1694" s="6" t="s">
        <v>4213</v>
      </c>
      <c r="B1694" s="6" t="s">
        <v>14</v>
      </c>
      <c r="C1694" s="6" t="s">
        <v>15</v>
      </c>
      <c r="D1694" s="6" t="s">
        <v>4214</v>
      </c>
      <c r="E1694" s="6" t="s">
        <v>1550</v>
      </c>
      <c r="F1694" s="6" t="s">
        <v>77</v>
      </c>
      <c r="G1694" s="7">
        <v>0.15</v>
      </c>
      <c r="H1694" s="6" t="s">
        <v>19</v>
      </c>
      <c r="I1694" s="6" t="s">
        <v>20</v>
      </c>
      <c r="J1694" s="6">
        <v>2023.0</v>
      </c>
      <c r="L1694" s="6">
        <v>3.0</v>
      </c>
      <c r="M1694" s="8">
        <f t="shared" si="2"/>
        <v>0.45</v>
      </c>
      <c r="P1694" s="9"/>
    </row>
    <row r="1695">
      <c r="A1695" s="6" t="s">
        <v>4215</v>
      </c>
      <c r="B1695" s="6" t="s">
        <v>552</v>
      </c>
      <c r="C1695" s="6" t="s">
        <v>61</v>
      </c>
      <c r="D1695" s="6" t="s">
        <v>4216</v>
      </c>
      <c r="E1695" s="6" t="s">
        <v>282</v>
      </c>
      <c r="F1695" s="6" t="s">
        <v>40</v>
      </c>
      <c r="G1695" s="7">
        <v>0.25</v>
      </c>
      <c r="H1695" s="6" t="s">
        <v>187</v>
      </c>
      <c r="I1695" s="6" t="s">
        <v>20</v>
      </c>
      <c r="J1695" s="6">
        <v>1995.0</v>
      </c>
      <c r="L1695" s="6">
        <v>1.0</v>
      </c>
      <c r="M1695" s="8">
        <f t="shared" si="2"/>
        <v>0.25</v>
      </c>
      <c r="P1695" s="9"/>
    </row>
    <row r="1696">
      <c r="A1696" s="6" t="s">
        <v>4217</v>
      </c>
      <c r="B1696" s="6" t="s">
        <v>462</v>
      </c>
      <c r="C1696" s="6" t="s">
        <v>43</v>
      </c>
      <c r="D1696" s="6" t="s">
        <v>4218</v>
      </c>
      <c r="E1696" s="6" t="s">
        <v>2145</v>
      </c>
      <c r="F1696" s="6" t="s">
        <v>87</v>
      </c>
      <c r="G1696" s="7">
        <v>0.8</v>
      </c>
      <c r="H1696" s="6" t="s">
        <v>259</v>
      </c>
      <c r="I1696" s="6" t="s">
        <v>20</v>
      </c>
      <c r="J1696" s="6">
        <v>1996.0</v>
      </c>
      <c r="L1696" s="6">
        <v>1.0</v>
      </c>
      <c r="M1696" s="8">
        <f t="shared" si="2"/>
        <v>0.8</v>
      </c>
      <c r="P1696" s="9"/>
    </row>
    <row r="1697">
      <c r="A1697" s="6" t="s">
        <v>4219</v>
      </c>
      <c r="B1697" s="6" t="s">
        <v>4220</v>
      </c>
      <c r="C1697" s="6" t="s">
        <v>37</v>
      </c>
      <c r="D1697" s="6" t="s">
        <v>4221</v>
      </c>
      <c r="E1697" s="6" t="s">
        <v>1147</v>
      </c>
      <c r="F1697" s="6" t="s">
        <v>18</v>
      </c>
      <c r="G1697" s="7">
        <v>0.25</v>
      </c>
      <c r="H1697" s="6" t="s">
        <v>113</v>
      </c>
      <c r="I1697" s="6" t="s">
        <v>20</v>
      </c>
      <c r="J1697" s="6">
        <v>2023.0</v>
      </c>
      <c r="K1697" s="10">
        <v>46055.0</v>
      </c>
      <c r="L1697" s="6">
        <v>1.0</v>
      </c>
      <c r="M1697" s="8">
        <f t="shared" si="2"/>
        <v>0.25</v>
      </c>
      <c r="P1697" s="9"/>
    </row>
    <row r="1698">
      <c r="A1698" s="6" t="s">
        <v>4222</v>
      </c>
      <c r="B1698" s="6" t="s">
        <v>150</v>
      </c>
      <c r="C1698" s="6" t="s">
        <v>156</v>
      </c>
      <c r="D1698" s="6" t="s">
        <v>4223</v>
      </c>
      <c r="E1698" s="6" t="s">
        <v>263</v>
      </c>
      <c r="F1698" s="6" t="s">
        <v>77</v>
      </c>
      <c r="G1698" s="7">
        <v>1.42</v>
      </c>
      <c r="H1698" s="6" t="s">
        <v>153</v>
      </c>
      <c r="I1698" s="6" t="s">
        <v>20</v>
      </c>
      <c r="J1698" s="6">
        <v>2025.0</v>
      </c>
      <c r="K1698" s="10">
        <v>46114.0</v>
      </c>
      <c r="L1698" s="6">
        <v>1.0</v>
      </c>
      <c r="M1698" s="8">
        <f t="shared" si="2"/>
        <v>1.42</v>
      </c>
      <c r="P1698" s="9"/>
    </row>
    <row r="1699">
      <c r="A1699" s="6" t="s">
        <v>4224</v>
      </c>
      <c r="B1699" s="6" t="s">
        <v>162</v>
      </c>
      <c r="C1699" s="6" t="s">
        <v>43</v>
      </c>
      <c r="D1699" s="6" t="s">
        <v>4225</v>
      </c>
      <c r="E1699" s="6" t="s">
        <v>176</v>
      </c>
      <c r="F1699" s="6" t="s">
        <v>77</v>
      </c>
      <c r="G1699" s="7">
        <v>0.06</v>
      </c>
      <c r="H1699" s="6" t="s">
        <v>297</v>
      </c>
      <c r="I1699" s="6" t="s">
        <v>20</v>
      </c>
      <c r="J1699" s="6">
        <v>2022.0</v>
      </c>
      <c r="L1699" s="6">
        <v>1.0</v>
      </c>
      <c r="M1699" s="8">
        <f t="shared" si="2"/>
        <v>0.06</v>
      </c>
      <c r="P1699" s="9"/>
    </row>
    <row r="1700">
      <c r="A1700" s="6" t="s">
        <v>4226</v>
      </c>
      <c r="B1700" s="6" t="s">
        <v>854</v>
      </c>
      <c r="C1700" s="6" t="s">
        <v>43</v>
      </c>
      <c r="D1700" s="6" t="s">
        <v>4227</v>
      </c>
      <c r="E1700" s="6" t="s">
        <v>356</v>
      </c>
      <c r="F1700" s="6" t="s">
        <v>87</v>
      </c>
      <c r="G1700" s="7">
        <v>0.06</v>
      </c>
      <c r="H1700" s="6" t="s">
        <v>297</v>
      </c>
      <c r="I1700" s="6" t="s">
        <v>20</v>
      </c>
      <c r="J1700" s="6">
        <v>2022.0</v>
      </c>
      <c r="K1700" s="10">
        <v>46176.0</v>
      </c>
      <c r="L1700" s="6">
        <v>1.0</v>
      </c>
      <c r="M1700" s="8">
        <f t="shared" si="2"/>
        <v>0.06</v>
      </c>
      <c r="P1700" s="9"/>
    </row>
    <row r="1701">
      <c r="A1701" s="6" t="s">
        <v>4228</v>
      </c>
      <c r="B1701" s="6" t="s">
        <v>854</v>
      </c>
      <c r="C1701" s="6" t="s">
        <v>43</v>
      </c>
      <c r="D1701" s="6" t="s">
        <v>4229</v>
      </c>
      <c r="E1701" s="6" t="s">
        <v>891</v>
      </c>
      <c r="F1701" s="6" t="s">
        <v>77</v>
      </c>
      <c r="G1701" s="7">
        <v>0.05</v>
      </c>
      <c r="H1701" s="6" t="s">
        <v>297</v>
      </c>
      <c r="I1701" s="6" t="s">
        <v>20</v>
      </c>
      <c r="J1701" s="6">
        <v>2022.0</v>
      </c>
      <c r="K1701" s="10">
        <v>46084.0</v>
      </c>
      <c r="L1701" s="6">
        <v>1.0</v>
      </c>
      <c r="M1701" s="8">
        <f t="shared" si="2"/>
        <v>0.05</v>
      </c>
      <c r="P1701" s="9"/>
    </row>
    <row r="1702">
      <c r="A1702" s="6" t="s">
        <v>4230</v>
      </c>
      <c r="B1702" s="6" t="s">
        <v>854</v>
      </c>
      <c r="C1702" s="6" t="s">
        <v>43</v>
      </c>
      <c r="D1702" s="6" t="s">
        <v>4231</v>
      </c>
      <c r="E1702" s="6" t="s">
        <v>248</v>
      </c>
      <c r="F1702" s="6" t="s">
        <v>77</v>
      </c>
      <c r="G1702" s="7">
        <v>0.06</v>
      </c>
      <c r="H1702" s="6" t="s">
        <v>297</v>
      </c>
      <c r="I1702" s="6" t="s">
        <v>20</v>
      </c>
      <c r="J1702" s="6">
        <v>2022.0</v>
      </c>
      <c r="K1702" s="10">
        <v>46115.0</v>
      </c>
      <c r="L1702" s="6">
        <v>1.0</v>
      </c>
      <c r="M1702" s="8">
        <f t="shared" si="2"/>
        <v>0.06</v>
      </c>
      <c r="P1702" s="9"/>
    </row>
    <row r="1703">
      <c r="A1703" s="6" t="s">
        <v>4232</v>
      </c>
      <c r="B1703" s="6" t="s">
        <v>74</v>
      </c>
      <c r="C1703" s="6" t="s">
        <v>43</v>
      </c>
      <c r="D1703" s="6" t="s">
        <v>4233</v>
      </c>
      <c r="E1703" s="6" t="s">
        <v>86</v>
      </c>
      <c r="F1703" s="6" t="s">
        <v>87</v>
      </c>
      <c r="G1703" s="7">
        <v>0.05</v>
      </c>
      <c r="H1703" s="6" t="s">
        <v>297</v>
      </c>
      <c r="I1703" s="6" t="s">
        <v>20</v>
      </c>
      <c r="J1703" s="6">
        <v>2022.0</v>
      </c>
      <c r="L1703" s="6">
        <v>1.0</v>
      </c>
      <c r="M1703" s="8">
        <f t="shared" si="2"/>
        <v>0.05</v>
      </c>
      <c r="P1703" s="9"/>
    </row>
    <row r="1704">
      <c r="A1704" s="6" t="s">
        <v>4234</v>
      </c>
      <c r="B1704" s="6" t="s">
        <v>462</v>
      </c>
      <c r="C1704" s="6" t="s">
        <v>37</v>
      </c>
      <c r="D1704" s="6" t="s">
        <v>4235</v>
      </c>
      <c r="E1704" s="6" t="s">
        <v>3679</v>
      </c>
      <c r="F1704" s="6" t="s">
        <v>71</v>
      </c>
      <c r="G1704" s="7">
        <v>0.19</v>
      </c>
      <c r="H1704" s="6" t="s">
        <v>136</v>
      </c>
      <c r="I1704" s="6" t="s">
        <v>20</v>
      </c>
      <c r="J1704" s="6">
        <v>2026.0</v>
      </c>
      <c r="L1704" s="6">
        <v>1.0</v>
      </c>
      <c r="M1704" s="8">
        <f t="shared" si="2"/>
        <v>0.19</v>
      </c>
      <c r="P1704" s="9"/>
    </row>
    <row r="1705">
      <c r="A1705" s="6" t="s">
        <v>4236</v>
      </c>
      <c r="B1705" s="6" t="s">
        <v>74</v>
      </c>
      <c r="C1705" s="6" t="s">
        <v>43</v>
      </c>
      <c r="D1705" s="6" t="s">
        <v>4237</v>
      </c>
      <c r="E1705" s="6" t="s">
        <v>125</v>
      </c>
      <c r="F1705" s="6" t="s">
        <v>40</v>
      </c>
      <c r="G1705" s="7">
        <v>0.03</v>
      </c>
      <c r="H1705" s="6" t="s">
        <v>382</v>
      </c>
      <c r="I1705" s="6" t="s">
        <v>20</v>
      </c>
      <c r="J1705" s="6">
        <v>2020.0</v>
      </c>
      <c r="L1705" s="6">
        <v>4.0</v>
      </c>
      <c r="M1705" s="8">
        <f t="shared" si="2"/>
        <v>0.12</v>
      </c>
      <c r="P1705" s="9"/>
    </row>
    <row r="1706">
      <c r="A1706" s="6" t="s">
        <v>4238</v>
      </c>
      <c r="B1706" s="6" t="s">
        <v>52</v>
      </c>
      <c r="C1706" s="6" t="s">
        <v>309</v>
      </c>
      <c r="D1706" s="6" t="s">
        <v>4239</v>
      </c>
      <c r="E1706" s="6" t="s">
        <v>4240</v>
      </c>
      <c r="F1706" s="6" t="s">
        <v>4241</v>
      </c>
      <c r="G1706" s="7">
        <v>26.78</v>
      </c>
      <c r="H1706" s="6" t="s">
        <v>2211</v>
      </c>
      <c r="I1706" s="6" t="s">
        <v>20</v>
      </c>
      <c r="J1706" s="6">
        <v>1999.0</v>
      </c>
      <c r="L1706" s="6">
        <v>1.0</v>
      </c>
      <c r="M1706" s="8">
        <f t="shared" si="2"/>
        <v>26.78</v>
      </c>
      <c r="P1706" s="9"/>
    </row>
    <row r="1707">
      <c r="A1707" s="6" t="s">
        <v>4242</v>
      </c>
      <c r="B1707" s="6" t="s">
        <v>4243</v>
      </c>
      <c r="C1707" s="6" t="s">
        <v>37</v>
      </c>
      <c r="D1707" s="6" t="s">
        <v>4244</v>
      </c>
      <c r="E1707" s="6" t="s">
        <v>4245</v>
      </c>
      <c r="F1707" s="6" t="s">
        <v>87</v>
      </c>
      <c r="G1707" s="7">
        <v>0.1</v>
      </c>
      <c r="H1707" s="6" t="s">
        <v>187</v>
      </c>
      <c r="I1707" s="6" t="s">
        <v>20</v>
      </c>
      <c r="J1707" s="6">
        <v>1995.0</v>
      </c>
      <c r="K1707" s="10">
        <v>46084.0</v>
      </c>
      <c r="L1707" s="6">
        <v>1.0</v>
      </c>
      <c r="M1707" s="8">
        <f t="shared" si="2"/>
        <v>0.1</v>
      </c>
      <c r="P1707" s="9"/>
    </row>
    <row r="1708">
      <c r="A1708" s="6" t="s">
        <v>4246</v>
      </c>
      <c r="B1708" s="6" t="s">
        <v>219</v>
      </c>
      <c r="C1708" s="6" t="s">
        <v>43</v>
      </c>
      <c r="D1708" s="6" t="s">
        <v>4247</v>
      </c>
      <c r="E1708" s="6" t="s">
        <v>329</v>
      </c>
      <c r="F1708" s="6" t="s">
        <v>112</v>
      </c>
      <c r="G1708" s="7">
        <v>0.06</v>
      </c>
      <c r="H1708" s="6" t="s">
        <v>582</v>
      </c>
      <c r="I1708" s="6" t="s">
        <v>20</v>
      </c>
      <c r="J1708" s="6">
        <v>2023.0</v>
      </c>
      <c r="L1708" s="6">
        <v>1.0</v>
      </c>
      <c r="M1708" s="8">
        <f t="shared" si="2"/>
        <v>0.06</v>
      </c>
      <c r="P1708" s="9"/>
    </row>
    <row r="1709">
      <c r="A1709" s="6" t="s">
        <v>4248</v>
      </c>
      <c r="B1709" s="6" t="s">
        <v>4249</v>
      </c>
      <c r="C1709" s="6" t="s">
        <v>37</v>
      </c>
      <c r="D1709" s="6" t="s">
        <v>4250</v>
      </c>
      <c r="E1709" s="6" t="s">
        <v>98</v>
      </c>
      <c r="F1709" s="6" t="s">
        <v>18</v>
      </c>
      <c r="G1709" s="7">
        <v>0.2</v>
      </c>
      <c r="H1709" s="6" t="s">
        <v>34</v>
      </c>
      <c r="I1709" s="6" t="s">
        <v>20</v>
      </c>
      <c r="J1709" s="6">
        <v>2025.0</v>
      </c>
      <c r="K1709" s="10">
        <v>46083.0</v>
      </c>
      <c r="L1709" s="6">
        <v>1.0</v>
      </c>
      <c r="M1709" s="8">
        <f t="shared" si="2"/>
        <v>0.2</v>
      </c>
      <c r="P1709" s="9"/>
    </row>
    <row r="1710">
      <c r="A1710" s="6" t="s">
        <v>4251</v>
      </c>
      <c r="B1710" s="6" t="s">
        <v>4249</v>
      </c>
      <c r="C1710" s="6" t="s">
        <v>30</v>
      </c>
      <c r="D1710" s="6" t="s">
        <v>4252</v>
      </c>
      <c r="E1710" s="6" t="s">
        <v>4253</v>
      </c>
      <c r="F1710" s="6" t="s">
        <v>33</v>
      </c>
      <c r="G1710" s="7">
        <v>2.38</v>
      </c>
      <c r="H1710" s="6" t="s">
        <v>34</v>
      </c>
      <c r="I1710" s="6" t="s">
        <v>20</v>
      </c>
      <c r="J1710" s="6">
        <v>2025.0</v>
      </c>
      <c r="K1710" s="10">
        <v>46084.0</v>
      </c>
      <c r="L1710" s="6">
        <v>1.0</v>
      </c>
      <c r="M1710" s="8">
        <f t="shared" si="2"/>
        <v>2.38</v>
      </c>
      <c r="P1710" s="9"/>
    </row>
    <row r="1711">
      <c r="A1711" s="6" t="s">
        <v>4254</v>
      </c>
      <c r="B1711" s="6" t="s">
        <v>4255</v>
      </c>
      <c r="C1711" s="6" t="s">
        <v>15</v>
      </c>
      <c r="D1711" s="6" t="s">
        <v>4256</v>
      </c>
      <c r="E1711" s="6" t="s">
        <v>140</v>
      </c>
      <c r="F1711" s="6" t="s">
        <v>87</v>
      </c>
      <c r="G1711" s="7">
        <v>0.2</v>
      </c>
      <c r="H1711" s="6" t="s">
        <v>780</v>
      </c>
      <c r="I1711" s="6" t="s">
        <v>20</v>
      </c>
      <c r="J1711" s="6">
        <v>2025.0</v>
      </c>
      <c r="K1711" s="10">
        <v>46024.0</v>
      </c>
      <c r="L1711" s="6">
        <v>1.0</v>
      </c>
      <c r="M1711" s="8">
        <f t="shared" si="2"/>
        <v>0.2</v>
      </c>
      <c r="P1711" s="9"/>
    </row>
    <row r="1712">
      <c r="A1712" s="6" t="s">
        <v>4257</v>
      </c>
      <c r="B1712" s="6" t="s">
        <v>4258</v>
      </c>
      <c r="C1712" s="6" t="s">
        <v>23</v>
      </c>
      <c r="D1712" s="6" t="s">
        <v>4259</v>
      </c>
      <c r="E1712" s="6" t="s">
        <v>2572</v>
      </c>
      <c r="F1712" s="6" t="s">
        <v>87</v>
      </c>
      <c r="G1712" s="7">
        <v>0.05</v>
      </c>
      <c r="H1712" s="6" t="s">
        <v>780</v>
      </c>
      <c r="I1712" s="6" t="s">
        <v>20</v>
      </c>
      <c r="J1712" s="6">
        <v>2025.0</v>
      </c>
      <c r="K1712" s="10">
        <v>46146.0</v>
      </c>
      <c r="L1712" s="6">
        <v>1.0</v>
      </c>
      <c r="M1712" s="8">
        <f t="shared" si="2"/>
        <v>0.05</v>
      </c>
      <c r="P1712" s="9"/>
    </row>
    <row r="1713">
      <c r="A1713" s="6" t="s">
        <v>4260</v>
      </c>
      <c r="B1713" s="6" t="s">
        <v>162</v>
      </c>
      <c r="C1713" s="6" t="s">
        <v>30</v>
      </c>
      <c r="D1713" s="6" t="s">
        <v>4261</v>
      </c>
      <c r="E1713" s="6" t="s">
        <v>4262</v>
      </c>
      <c r="F1713" s="6" t="s">
        <v>71</v>
      </c>
      <c r="G1713" s="7">
        <v>0.79</v>
      </c>
      <c r="H1713" s="6" t="s">
        <v>431</v>
      </c>
      <c r="I1713" s="6" t="s">
        <v>20</v>
      </c>
      <c r="J1713" s="6">
        <v>2019.0</v>
      </c>
      <c r="L1713" s="6">
        <v>1.0</v>
      </c>
      <c r="M1713" s="8">
        <f t="shared" si="2"/>
        <v>0.79</v>
      </c>
      <c r="P1713" s="9"/>
    </row>
    <row r="1714">
      <c r="A1714" s="6" t="s">
        <v>4263</v>
      </c>
      <c r="B1714" s="6" t="s">
        <v>3648</v>
      </c>
      <c r="C1714" s="6" t="s">
        <v>37</v>
      </c>
      <c r="D1714" s="6" t="s">
        <v>4264</v>
      </c>
      <c r="E1714" s="6" t="s">
        <v>1448</v>
      </c>
      <c r="F1714" s="6" t="s">
        <v>40</v>
      </c>
      <c r="G1714" s="7">
        <v>0.43</v>
      </c>
      <c r="H1714" s="6" t="s">
        <v>4265</v>
      </c>
      <c r="I1714" s="6" t="s">
        <v>20</v>
      </c>
      <c r="J1714" s="6">
        <v>2009.0</v>
      </c>
      <c r="K1714" s="10">
        <v>46023.0</v>
      </c>
      <c r="L1714" s="6">
        <v>3.0</v>
      </c>
      <c r="M1714" s="8">
        <f t="shared" si="2"/>
        <v>1.29</v>
      </c>
      <c r="P1714" s="9"/>
    </row>
    <row r="1715">
      <c r="A1715" s="6" t="s">
        <v>4266</v>
      </c>
      <c r="B1715" s="6" t="s">
        <v>1577</v>
      </c>
      <c r="C1715" s="6" t="s">
        <v>37</v>
      </c>
      <c r="D1715" s="6" t="s">
        <v>4267</v>
      </c>
      <c r="F1715" s="6" t="s">
        <v>26</v>
      </c>
      <c r="G1715" s="7">
        <v>0.3</v>
      </c>
      <c r="H1715" s="6" t="s">
        <v>3535</v>
      </c>
      <c r="I1715" s="6" t="s">
        <v>20</v>
      </c>
      <c r="J1715" s="6">
        <v>2011.0</v>
      </c>
      <c r="L1715" s="6">
        <v>4.0</v>
      </c>
      <c r="M1715" s="8">
        <f t="shared" si="2"/>
        <v>1.2</v>
      </c>
      <c r="P1715" s="9"/>
    </row>
    <row r="1716">
      <c r="A1716" s="6" t="s">
        <v>4268</v>
      </c>
      <c r="B1716" s="6" t="s">
        <v>4269</v>
      </c>
      <c r="C1716" s="6" t="s">
        <v>30</v>
      </c>
      <c r="D1716" s="6" t="s">
        <v>4270</v>
      </c>
      <c r="E1716" s="6" t="s">
        <v>356</v>
      </c>
      <c r="F1716" s="6" t="s">
        <v>87</v>
      </c>
      <c r="G1716" s="7">
        <v>1.79</v>
      </c>
      <c r="H1716" s="6" t="s">
        <v>4265</v>
      </c>
      <c r="I1716" s="6" t="s">
        <v>20</v>
      </c>
      <c r="J1716" s="6">
        <v>2009.0</v>
      </c>
      <c r="K1716" s="10">
        <v>46084.0</v>
      </c>
      <c r="L1716" s="6">
        <v>3.0</v>
      </c>
      <c r="M1716" s="8">
        <f t="shared" si="2"/>
        <v>5.37</v>
      </c>
      <c r="P1716" s="9"/>
    </row>
    <row r="1717">
      <c r="A1717" s="6" t="s">
        <v>4268</v>
      </c>
      <c r="B1717" s="6" t="s">
        <v>4269</v>
      </c>
      <c r="C1717" s="6" t="s">
        <v>30</v>
      </c>
      <c r="D1717" s="6" t="s">
        <v>4270</v>
      </c>
      <c r="E1717" s="6" t="s">
        <v>356</v>
      </c>
      <c r="F1717" s="6" t="s">
        <v>87</v>
      </c>
      <c r="G1717" s="7">
        <v>1.79</v>
      </c>
      <c r="H1717" s="6" t="s">
        <v>4265</v>
      </c>
      <c r="I1717" s="6" t="s">
        <v>20</v>
      </c>
      <c r="J1717" s="6">
        <v>2009.0</v>
      </c>
      <c r="K1717" s="10">
        <v>46084.0</v>
      </c>
      <c r="L1717" s="6">
        <v>1.0</v>
      </c>
      <c r="M1717" s="8">
        <f t="shared" si="2"/>
        <v>1.79</v>
      </c>
      <c r="P1717" s="9"/>
    </row>
    <row r="1718">
      <c r="A1718" s="6" t="s">
        <v>4271</v>
      </c>
      <c r="B1718" s="6" t="s">
        <v>4272</v>
      </c>
      <c r="C1718" s="6" t="s">
        <v>37</v>
      </c>
      <c r="D1718" s="6" t="s">
        <v>4273</v>
      </c>
      <c r="E1718" s="6" t="s">
        <v>1634</v>
      </c>
      <c r="F1718" s="6" t="s">
        <v>87</v>
      </c>
      <c r="G1718" s="7">
        <v>0.5</v>
      </c>
      <c r="H1718" s="6" t="s">
        <v>113</v>
      </c>
      <c r="I1718" s="6" t="s">
        <v>20</v>
      </c>
      <c r="J1718" s="6">
        <v>2023.0</v>
      </c>
      <c r="K1718" s="10">
        <v>46117.0</v>
      </c>
      <c r="L1718" s="6">
        <v>1.0</v>
      </c>
      <c r="M1718" s="8">
        <f t="shared" si="2"/>
        <v>0.5</v>
      </c>
      <c r="P1718" s="9"/>
    </row>
    <row r="1719">
      <c r="A1719" s="6" t="s">
        <v>4274</v>
      </c>
      <c r="B1719" s="6" t="s">
        <v>138</v>
      </c>
      <c r="C1719" s="6" t="s">
        <v>43</v>
      </c>
      <c r="D1719" s="6" t="s">
        <v>4275</v>
      </c>
      <c r="E1719" s="6" t="s">
        <v>135</v>
      </c>
      <c r="F1719" s="6" t="s">
        <v>40</v>
      </c>
      <c r="G1719" s="8"/>
      <c r="H1719" s="6" t="s">
        <v>471</v>
      </c>
      <c r="I1719" s="6" t="s">
        <v>45</v>
      </c>
      <c r="J1719" s="6">
        <v>2026.0</v>
      </c>
      <c r="L1719" s="6">
        <v>1.0</v>
      </c>
      <c r="M1719" s="8">
        <f t="shared" si="2"/>
        <v>0</v>
      </c>
      <c r="P1719" s="9"/>
    </row>
    <row r="1720">
      <c r="A1720" s="6" t="s">
        <v>4276</v>
      </c>
      <c r="B1720" s="6" t="s">
        <v>4277</v>
      </c>
      <c r="C1720" s="6" t="s">
        <v>43</v>
      </c>
      <c r="D1720" s="6" t="s">
        <v>4240</v>
      </c>
      <c r="E1720" s="6" t="s">
        <v>554</v>
      </c>
      <c r="F1720" s="6" t="s">
        <v>40</v>
      </c>
      <c r="G1720" s="7">
        <v>1.45</v>
      </c>
      <c r="H1720" s="6" t="s">
        <v>3245</v>
      </c>
      <c r="I1720" s="6" t="s">
        <v>20</v>
      </c>
      <c r="J1720" s="6">
        <v>1994.0</v>
      </c>
      <c r="K1720" s="10">
        <v>46083.0</v>
      </c>
      <c r="L1720" s="6">
        <v>1.0</v>
      </c>
      <c r="M1720" s="8">
        <f t="shared" si="2"/>
        <v>1.45</v>
      </c>
      <c r="P1720" s="9"/>
    </row>
    <row r="1721">
      <c r="A1721" s="6" t="s">
        <v>4278</v>
      </c>
      <c r="B1721" s="6" t="s">
        <v>714</v>
      </c>
      <c r="C1721" s="6" t="s">
        <v>61</v>
      </c>
      <c r="D1721" s="6" t="s">
        <v>4279</v>
      </c>
      <c r="E1721" s="6" t="s">
        <v>4280</v>
      </c>
      <c r="F1721" s="6" t="s">
        <v>4281</v>
      </c>
      <c r="G1721" s="7">
        <v>0.21</v>
      </c>
      <c r="H1721" s="6" t="s">
        <v>631</v>
      </c>
      <c r="I1721" s="6" t="s">
        <v>20</v>
      </c>
      <c r="J1721" s="6">
        <v>1995.0</v>
      </c>
      <c r="K1721" s="10">
        <v>46055.0</v>
      </c>
      <c r="L1721" s="6">
        <v>1.0</v>
      </c>
      <c r="M1721" s="8">
        <f t="shared" si="2"/>
        <v>0.21</v>
      </c>
      <c r="P1721" s="9"/>
    </row>
    <row r="1722">
      <c r="A1722" s="6" t="s">
        <v>4282</v>
      </c>
      <c r="B1722" s="6" t="s">
        <v>2356</v>
      </c>
      <c r="C1722" s="6" t="s">
        <v>43</v>
      </c>
      <c r="D1722" s="6" t="s">
        <v>4283</v>
      </c>
      <c r="E1722" s="6" t="s">
        <v>356</v>
      </c>
      <c r="F1722" s="6" t="s">
        <v>87</v>
      </c>
      <c r="G1722" s="7">
        <v>0.08</v>
      </c>
      <c r="H1722" s="6" t="s">
        <v>410</v>
      </c>
      <c r="I1722" s="6" t="s">
        <v>20</v>
      </c>
      <c r="J1722" s="6">
        <v>2021.0</v>
      </c>
      <c r="K1722" s="10">
        <v>46026.0</v>
      </c>
      <c r="L1722" s="6">
        <v>1.0</v>
      </c>
      <c r="M1722" s="8">
        <f t="shared" si="2"/>
        <v>0.08</v>
      </c>
      <c r="N1722" s="6" t="s">
        <v>374</v>
      </c>
      <c r="P1722" s="9"/>
    </row>
    <row r="1723">
      <c r="A1723" s="6" t="s">
        <v>4284</v>
      </c>
      <c r="B1723" s="6" t="s">
        <v>2356</v>
      </c>
      <c r="C1723" s="6" t="s">
        <v>43</v>
      </c>
      <c r="D1723" s="6" t="s">
        <v>4285</v>
      </c>
      <c r="E1723" s="6" t="s">
        <v>757</v>
      </c>
      <c r="F1723" s="6" t="s">
        <v>87</v>
      </c>
      <c r="G1723" s="7">
        <v>0.03</v>
      </c>
      <c r="H1723" s="6" t="s">
        <v>398</v>
      </c>
      <c r="I1723" s="6" t="s">
        <v>20</v>
      </c>
      <c r="J1723" s="6">
        <v>2019.0</v>
      </c>
      <c r="K1723" s="10">
        <v>46085.0</v>
      </c>
      <c r="L1723" s="6">
        <v>1.0</v>
      </c>
      <c r="M1723" s="8">
        <f t="shared" si="2"/>
        <v>0.03</v>
      </c>
      <c r="P1723" s="9"/>
    </row>
    <row r="1724">
      <c r="A1724" s="6" t="s">
        <v>4286</v>
      </c>
      <c r="B1724" s="6" t="s">
        <v>755</v>
      </c>
      <c r="C1724" s="6" t="s">
        <v>37</v>
      </c>
      <c r="D1724" s="6" t="s">
        <v>4287</v>
      </c>
      <c r="E1724" s="6" t="s">
        <v>757</v>
      </c>
      <c r="F1724" s="6" t="s">
        <v>87</v>
      </c>
      <c r="G1724" s="7">
        <v>0.15</v>
      </c>
      <c r="H1724" s="6" t="s">
        <v>324</v>
      </c>
      <c r="I1724" s="6" t="s">
        <v>20</v>
      </c>
      <c r="J1724" s="6">
        <v>1995.0</v>
      </c>
      <c r="K1724" s="6" t="s">
        <v>66</v>
      </c>
      <c r="L1724" s="6">
        <v>1.0</v>
      </c>
      <c r="M1724" s="8">
        <f t="shared" si="2"/>
        <v>0.15</v>
      </c>
      <c r="P1724" s="9"/>
    </row>
    <row r="1725">
      <c r="A1725" s="6" t="s">
        <v>4288</v>
      </c>
      <c r="B1725" s="6" t="s">
        <v>556</v>
      </c>
      <c r="C1725" s="6" t="s">
        <v>43</v>
      </c>
      <c r="D1725" s="6" t="s">
        <v>4289</v>
      </c>
      <c r="E1725" s="6" t="s">
        <v>86</v>
      </c>
      <c r="F1725" s="6" t="s">
        <v>87</v>
      </c>
      <c r="G1725" s="7">
        <v>18.98</v>
      </c>
      <c r="H1725" s="6" t="s">
        <v>89</v>
      </c>
      <c r="I1725" s="6" t="s">
        <v>20</v>
      </c>
      <c r="J1725" s="6">
        <v>2021.0</v>
      </c>
      <c r="K1725" s="10">
        <v>46082.0</v>
      </c>
      <c r="L1725" s="6">
        <v>1.0</v>
      </c>
      <c r="M1725" s="8">
        <f t="shared" si="2"/>
        <v>18.98</v>
      </c>
      <c r="N1725" s="6" t="s">
        <v>122</v>
      </c>
      <c r="P1725" s="9"/>
    </row>
    <row r="1726">
      <c r="A1726" s="6" t="s">
        <v>4290</v>
      </c>
      <c r="B1726" s="6" t="s">
        <v>192</v>
      </c>
      <c r="C1726" s="6" t="s">
        <v>37</v>
      </c>
      <c r="D1726" s="6" t="s">
        <v>4291</v>
      </c>
      <c r="E1726" s="6" t="s">
        <v>215</v>
      </c>
      <c r="F1726" s="6" t="s">
        <v>26</v>
      </c>
      <c r="G1726" s="7">
        <v>0.05</v>
      </c>
      <c r="H1726" s="6" t="s">
        <v>475</v>
      </c>
      <c r="I1726" s="6" t="s">
        <v>20</v>
      </c>
      <c r="J1726" s="6">
        <v>2024.0</v>
      </c>
      <c r="L1726" s="6">
        <v>1.0</v>
      </c>
      <c r="M1726" s="8">
        <f t="shared" si="2"/>
        <v>0.05</v>
      </c>
      <c r="P1726" s="9"/>
    </row>
    <row r="1727">
      <c r="A1727" s="6" t="s">
        <v>4292</v>
      </c>
      <c r="B1727" s="6" t="s">
        <v>74</v>
      </c>
      <c r="C1727" s="6" t="s">
        <v>43</v>
      </c>
      <c r="D1727" s="6" t="s">
        <v>4293</v>
      </c>
      <c r="E1727" s="6" t="s">
        <v>57</v>
      </c>
      <c r="F1727" s="6" t="s">
        <v>40</v>
      </c>
      <c r="G1727" s="7">
        <v>0.06</v>
      </c>
      <c r="H1727" s="6" t="s">
        <v>734</v>
      </c>
      <c r="I1727" s="6" t="s">
        <v>20</v>
      </c>
      <c r="J1727" s="6">
        <v>2022.0</v>
      </c>
      <c r="L1727" s="6">
        <v>2.0</v>
      </c>
      <c r="M1727" s="8">
        <f t="shared" si="2"/>
        <v>0.12</v>
      </c>
      <c r="P1727" s="9"/>
    </row>
    <row r="1728">
      <c r="A1728" s="6" t="s">
        <v>4292</v>
      </c>
      <c r="B1728" s="6" t="s">
        <v>74</v>
      </c>
      <c r="C1728" s="6" t="s">
        <v>43</v>
      </c>
      <c r="D1728" s="6" t="s">
        <v>4293</v>
      </c>
      <c r="E1728" s="6" t="s">
        <v>57</v>
      </c>
      <c r="F1728" s="6" t="s">
        <v>40</v>
      </c>
      <c r="G1728" s="7">
        <v>0.05</v>
      </c>
      <c r="H1728" s="6" t="s">
        <v>4294</v>
      </c>
      <c r="I1728" s="6" t="s">
        <v>20</v>
      </c>
      <c r="J1728" s="6">
        <v>2014.0</v>
      </c>
      <c r="L1728" s="6">
        <v>4.0</v>
      </c>
      <c r="M1728" s="8">
        <f t="shared" si="2"/>
        <v>0.2</v>
      </c>
      <c r="P1728" s="9"/>
    </row>
    <row r="1729">
      <c r="A1729" s="6" t="s">
        <v>4295</v>
      </c>
      <c r="B1729" s="6" t="s">
        <v>192</v>
      </c>
      <c r="C1729" s="6" t="s">
        <v>309</v>
      </c>
      <c r="D1729" s="6" t="s">
        <v>4296</v>
      </c>
      <c r="E1729" s="6" t="s">
        <v>185</v>
      </c>
      <c r="F1729" s="6" t="s">
        <v>312</v>
      </c>
      <c r="G1729" s="7">
        <v>13.32</v>
      </c>
      <c r="H1729" s="6" t="s">
        <v>2087</v>
      </c>
      <c r="I1729" s="6" t="s">
        <v>20</v>
      </c>
      <c r="J1729" s="6">
        <v>2000.0</v>
      </c>
      <c r="L1729" s="6">
        <v>1.0</v>
      </c>
      <c r="M1729" s="8">
        <f t="shared" si="2"/>
        <v>13.32</v>
      </c>
      <c r="P1729" s="9"/>
    </row>
    <row r="1730">
      <c r="A1730" s="6" t="s">
        <v>4297</v>
      </c>
      <c r="B1730" s="6" t="s">
        <v>4298</v>
      </c>
      <c r="C1730" s="6" t="s">
        <v>37</v>
      </c>
      <c r="D1730" s="6" t="s">
        <v>4299</v>
      </c>
      <c r="E1730" s="6" t="s">
        <v>1417</v>
      </c>
      <c r="F1730" s="6" t="s">
        <v>71</v>
      </c>
      <c r="G1730" s="7">
        <v>0.2</v>
      </c>
      <c r="H1730" s="6" t="s">
        <v>4045</v>
      </c>
      <c r="I1730" s="6" t="s">
        <v>20</v>
      </c>
      <c r="J1730" s="6">
        <v>2021.0</v>
      </c>
      <c r="K1730" s="10">
        <v>46055.0</v>
      </c>
      <c r="L1730" s="6">
        <v>1.0</v>
      </c>
      <c r="M1730" s="8">
        <f t="shared" si="2"/>
        <v>0.2</v>
      </c>
      <c r="P1730" s="9"/>
    </row>
    <row r="1731">
      <c r="A1731" s="6" t="s">
        <v>4300</v>
      </c>
      <c r="B1731" s="6" t="s">
        <v>115</v>
      </c>
      <c r="C1731" s="6" t="s">
        <v>15</v>
      </c>
      <c r="D1731" s="6" t="s">
        <v>4301</v>
      </c>
      <c r="E1731" s="6" t="s">
        <v>1417</v>
      </c>
      <c r="F1731" s="6" t="s">
        <v>665</v>
      </c>
      <c r="G1731" s="7">
        <v>0.3</v>
      </c>
      <c r="H1731" s="6" t="s">
        <v>617</v>
      </c>
      <c r="I1731" s="6" t="s">
        <v>20</v>
      </c>
      <c r="J1731" s="6">
        <v>2026.0</v>
      </c>
      <c r="L1731" s="6">
        <v>1.0</v>
      </c>
      <c r="M1731" s="8">
        <f t="shared" si="2"/>
        <v>0.3</v>
      </c>
      <c r="P1731" s="9"/>
    </row>
    <row r="1732">
      <c r="A1732" s="6" t="s">
        <v>4302</v>
      </c>
      <c r="B1732" s="6" t="s">
        <v>162</v>
      </c>
      <c r="C1732" s="6" t="s">
        <v>37</v>
      </c>
      <c r="D1732" s="6" t="s">
        <v>4303</v>
      </c>
      <c r="E1732" s="6" t="s">
        <v>158</v>
      </c>
      <c r="F1732" s="6" t="s">
        <v>159</v>
      </c>
      <c r="G1732" s="7">
        <v>0.08</v>
      </c>
      <c r="H1732" s="6" t="s">
        <v>922</v>
      </c>
      <c r="I1732" s="6" t="s">
        <v>20</v>
      </c>
      <c r="J1732" s="6">
        <v>2014.0</v>
      </c>
      <c r="L1732" s="6">
        <v>1.0</v>
      </c>
      <c r="M1732" s="8">
        <f t="shared" si="2"/>
        <v>0.08</v>
      </c>
      <c r="P1732" s="9"/>
    </row>
    <row r="1733">
      <c r="A1733" s="6" t="s">
        <v>4304</v>
      </c>
      <c r="B1733" s="6" t="s">
        <v>4305</v>
      </c>
      <c r="C1733" s="6" t="s">
        <v>30</v>
      </c>
      <c r="D1733" s="6" t="s">
        <v>4306</v>
      </c>
      <c r="E1733" s="6" t="s">
        <v>93</v>
      </c>
      <c r="F1733" s="6" t="s">
        <v>77</v>
      </c>
      <c r="G1733" s="7">
        <v>0.45</v>
      </c>
      <c r="H1733" s="6" t="s">
        <v>249</v>
      </c>
      <c r="I1733" s="6" t="s">
        <v>20</v>
      </c>
      <c r="J1733" s="6">
        <v>2014.0</v>
      </c>
      <c r="K1733" s="10">
        <v>46083.0</v>
      </c>
      <c r="L1733" s="6">
        <v>2.0</v>
      </c>
      <c r="M1733" s="8">
        <f t="shared" si="2"/>
        <v>0.9</v>
      </c>
      <c r="P1733" s="9"/>
    </row>
    <row r="1734">
      <c r="A1734" s="6" t="s">
        <v>4307</v>
      </c>
      <c r="B1734" s="6" t="s">
        <v>4308</v>
      </c>
      <c r="C1734" s="6" t="s">
        <v>37</v>
      </c>
      <c r="D1734" s="6" t="s">
        <v>4309</v>
      </c>
      <c r="E1734" s="6" t="s">
        <v>125</v>
      </c>
      <c r="F1734" s="6" t="s">
        <v>40</v>
      </c>
      <c r="G1734" s="7">
        <v>0.2</v>
      </c>
      <c r="H1734" s="6" t="s">
        <v>471</v>
      </c>
      <c r="I1734" s="6" t="s">
        <v>20</v>
      </c>
      <c r="J1734" s="6">
        <v>2026.0</v>
      </c>
      <c r="K1734" s="10">
        <v>46024.0</v>
      </c>
      <c r="L1734" s="6">
        <v>1.0</v>
      </c>
      <c r="M1734" s="8">
        <f t="shared" si="2"/>
        <v>0.2</v>
      </c>
      <c r="P1734" s="9"/>
    </row>
    <row r="1735">
      <c r="A1735" s="6" t="s">
        <v>4310</v>
      </c>
      <c r="B1735" s="6" t="s">
        <v>606</v>
      </c>
      <c r="C1735" s="6" t="s">
        <v>15</v>
      </c>
      <c r="D1735" s="6" t="s">
        <v>4311</v>
      </c>
      <c r="E1735" s="6" t="s">
        <v>2709</v>
      </c>
      <c r="F1735" s="6" t="s">
        <v>18</v>
      </c>
      <c r="G1735" s="7">
        <v>0.05</v>
      </c>
      <c r="H1735" s="6" t="s">
        <v>342</v>
      </c>
      <c r="I1735" s="6" t="s">
        <v>20</v>
      </c>
      <c r="J1735" s="6">
        <v>2014.0</v>
      </c>
      <c r="L1735" s="6">
        <v>1.0</v>
      </c>
      <c r="M1735" s="8">
        <f t="shared" si="2"/>
        <v>0.05</v>
      </c>
      <c r="P1735" s="9"/>
    </row>
    <row r="1736">
      <c r="A1736" s="6" t="s">
        <v>4312</v>
      </c>
      <c r="B1736" s="6" t="s">
        <v>162</v>
      </c>
      <c r="C1736" s="6" t="s">
        <v>30</v>
      </c>
      <c r="D1736" s="6" t="s">
        <v>4313</v>
      </c>
      <c r="E1736" s="6" t="s">
        <v>1752</v>
      </c>
      <c r="F1736" s="6" t="s">
        <v>40</v>
      </c>
      <c r="G1736" s="7">
        <v>0.5</v>
      </c>
      <c r="H1736" s="6" t="s">
        <v>4314</v>
      </c>
      <c r="I1736" s="6" t="s">
        <v>20</v>
      </c>
      <c r="J1736" s="6">
        <v>2021.0</v>
      </c>
      <c r="L1736" s="6">
        <v>1.0</v>
      </c>
      <c r="M1736" s="8">
        <f t="shared" si="2"/>
        <v>0.5</v>
      </c>
      <c r="P1736" s="9"/>
    </row>
    <row r="1737">
      <c r="A1737" s="6" t="s">
        <v>4315</v>
      </c>
      <c r="B1737" s="6" t="s">
        <v>552</v>
      </c>
      <c r="C1737" s="6" t="s">
        <v>183</v>
      </c>
      <c r="D1737" s="6" t="s">
        <v>4316</v>
      </c>
      <c r="E1737" s="6" t="s">
        <v>39</v>
      </c>
      <c r="F1737" s="6" t="s">
        <v>40</v>
      </c>
      <c r="G1737" s="7">
        <v>0.99</v>
      </c>
      <c r="H1737" s="6" t="s">
        <v>4317</v>
      </c>
      <c r="I1737" s="6" t="s">
        <v>20</v>
      </c>
      <c r="J1737" s="6">
        <v>1995.0</v>
      </c>
      <c r="L1737" s="6">
        <v>1.0</v>
      </c>
      <c r="M1737" s="8">
        <f t="shared" si="2"/>
        <v>0.99</v>
      </c>
      <c r="N1737" s="6" t="s">
        <v>122</v>
      </c>
      <c r="P1737" s="9"/>
    </row>
    <row r="1738">
      <c r="A1738" s="6" t="s">
        <v>4318</v>
      </c>
      <c r="B1738" s="6" t="s">
        <v>396</v>
      </c>
      <c r="C1738" s="6" t="s">
        <v>43</v>
      </c>
      <c r="D1738" s="6" t="s">
        <v>4319</v>
      </c>
      <c r="E1738" s="6" t="s">
        <v>25</v>
      </c>
      <c r="F1738" s="6" t="s">
        <v>26</v>
      </c>
      <c r="G1738" s="7">
        <v>0.03</v>
      </c>
      <c r="H1738" s="6" t="s">
        <v>468</v>
      </c>
      <c r="I1738" s="6" t="s">
        <v>20</v>
      </c>
      <c r="J1738" s="6">
        <v>2015.0</v>
      </c>
      <c r="L1738" s="6">
        <v>1.0</v>
      </c>
      <c r="M1738" s="8">
        <f t="shared" si="2"/>
        <v>0.03</v>
      </c>
      <c r="P1738" s="9"/>
    </row>
    <row r="1739">
      <c r="A1739" s="6" t="s">
        <v>4320</v>
      </c>
      <c r="B1739" s="6" t="s">
        <v>4321</v>
      </c>
      <c r="C1739" s="6" t="s">
        <v>30</v>
      </c>
      <c r="D1739" s="6" t="s">
        <v>4322</v>
      </c>
      <c r="E1739" s="6" t="s">
        <v>237</v>
      </c>
      <c r="F1739" s="6" t="s">
        <v>18</v>
      </c>
      <c r="G1739" s="7">
        <v>0.94</v>
      </c>
      <c r="H1739" s="6" t="s">
        <v>136</v>
      </c>
      <c r="I1739" s="6" t="s">
        <v>20</v>
      </c>
      <c r="J1739" s="6">
        <v>2026.0</v>
      </c>
      <c r="K1739" s="10">
        <v>46179.0</v>
      </c>
      <c r="L1739" s="6">
        <v>1.0</v>
      </c>
      <c r="M1739" s="8">
        <f t="shared" si="2"/>
        <v>0.94</v>
      </c>
      <c r="P1739" s="9"/>
    </row>
    <row r="1740">
      <c r="A1740" s="6" t="s">
        <v>4323</v>
      </c>
      <c r="B1740" s="6" t="s">
        <v>4324</v>
      </c>
      <c r="C1740" s="6" t="s">
        <v>43</v>
      </c>
      <c r="D1740" s="6" t="s">
        <v>4325</v>
      </c>
      <c r="E1740" s="6" t="s">
        <v>117</v>
      </c>
      <c r="F1740" s="6" t="s">
        <v>77</v>
      </c>
      <c r="G1740" s="7">
        <v>0.1</v>
      </c>
      <c r="H1740" s="6" t="s">
        <v>187</v>
      </c>
      <c r="I1740" s="6" t="s">
        <v>20</v>
      </c>
      <c r="J1740" s="6">
        <v>1995.0</v>
      </c>
      <c r="K1740" s="10">
        <v>46025.0</v>
      </c>
      <c r="L1740" s="6">
        <v>1.0</v>
      </c>
      <c r="M1740" s="8">
        <f t="shared" si="2"/>
        <v>0.1</v>
      </c>
      <c r="P1740" s="9"/>
    </row>
    <row r="1741">
      <c r="A1741" s="6" t="s">
        <v>4326</v>
      </c>
      <c r="B1741" s="6" t="s">
        <v>4327</v>
      </c>
      <c r="C1741" s="6" t="s">
        <v>204</v>
      </c>
      <c r="D1741" s="6" t="s">
        <v>4328</v>
      </c>
      <c r="E1741" s="6" t="s">
        <v>282</v>
      </c>
      <c r="F1741" s="6" t="s">
        <v>40</v>
      </c>
      <c r="G1741" s="7">
        <v>0.05</v>
      </c>
      <c r="H1741" s="6" t="s">
        <v>206</v>
      </c>
      <c r="I1741" s="6" t="s">
        <v>20</v>
      </c>
      <c r="J1741" s="6">
        <v>1996.0</v>
      </c>
      <c r="K1741" s="10">
        <v>46083.0</v>
      </c>
      <c r="L1741" s="6">
        <v>1.0</v>
      </c>
      <c r="M1741" s="8">
        <f t="shared" si="2"/>
        <v>0.05</v>
      </c>
      <c r="P1741" s="9"/>
    </row>
    <row r="1742">
      <c r="A1742" s="6" t="s">
        <v>4329</v>
      </c>
      <c r="B1742" s="6" t="s">
        <v>4330</v>
      </c>
      <c r="C1742" s="6" t="s">
        <v>37</v>
      </c>
      <c r="D1742" s="6" t="s">
        <v>4331</v>
      </c>
      <c r="E1742" s="6" t="s">
        <v>3707</v>
      </c>
      <c r="F1742" s="6" t="s">
        <v>1244</v>
      </c>
      <c r="G1742" s="7">
        <v>0.21</v>
      </c>
      <c r="H1742" s="6" t="s">
        <v>187</v>
      </c>
      <c r="I1742" s="6" t="s">
        <v>20</v>
      </c>
      <c r="J1742" s="6">
        <v>1995.0</v>
      </c>
      <c r="K1742" s="10">
        <v>46114.0</v>
      </c>
      <c r="L1742" s="6">
        <v>1.0</v>
      </c>
      <c r="M1742" s="8">
        <f t="shared" si="2"/>
        <v>0.21</v>
      </c>
      <c r="P1742" s="9"/>
    </row>
    <row r="1743">
      <c r="A1743" s="6" t="s">
        <v>4332</v>
      </c>
      <c r="B1743" s="6" t="s">
        <v>3230</v>
      </c>
      <c r="C1743" s="6" t="s">
        <v>15</v>
      </c>
      <c r="D1743" s="6" t="s">
        <v>4333</v>
      </c>
      <c r="E1743" s="6" t="s">
        <v>263</v>
      </c>
      <c r="F1743" s="6" t="s">
        <v>77</v>
      </c>
      <c r="G1743" s="7">
        <v>0.7</v>
      </c>
      <c r="H1743" s="6" t="s">
        <v>27</v>
      </c>
      <c r="I1743" s="6" t="s">
        <v>20</v>
      </c>
      <c r="J1743" s="6">
        <v>2026.0</v>
      </c>
      <c r="K1743" s="10">
        <v>46055.0</v>
      </c>
      <c r="L1743" s="6">
        <v>1.0</v>
      </c>
      <c r="M1743" s="8">
        <f t="shared" si="2"/>
        <v>0.7</v>
      </c>
      <c r="P1743" s="9"/>
    </row>
    <row r="1744">
      <c r="A1744" s="6" t="s">
        <v>4334</v>
      </c>
      <c r="B1744" s="6" t="s">
        <v>102</v>
      </c>
      <c r="C1744" s="6" t="s">
        <v>37</v>
      </c>
      <c r="D1744" s="6" t="s">
        <v>4335</v>
      </c>
      <c r="E1744" s="6" t="s">
        <v>135</v>
      </c>
      <c r="F1744" s="6" t="s">
        <v>40</v>
      </c>
      <c r="G1744" s="7">
        <v>0.15</v>
      </c>
      <c r="H1744" s="6" t="s">
        <v>99</v>
      </c>
      <c r="I1744" s="6" t="s">
        <v>20</v>
      </c>
      <c r="J1744" s="6">
        <v>2022.0</v>
      </c>
      <c r="K1744" s="10">
        <v>46055.0</v>
      </c>
      <c r="L1744" s="6">
        <v>2.0</v>
      </c>
      <c r="M1744" s="8">
        <f t="shared" si="2"/>
        <v>0.3</v>
      </c>
      <c r="P1744" s="9"/>
    </row>
    <row r="1745">
      <c r="A1745" s="6" t="s">
        <v>4336</v>
      </c>
      <c r="B1745" s="6" t="s">
        <v>102</v>
      </c>
      <c r="C1745" s="6" t="s">
        <v>37</v>
      </c>
      <c r="D1745" s="6" t="s">
        <v>4337</v>
      </c>
      <c r="E1745" s="6" t="s">
        <v>76</v>
      </c>
      <c r="F1745" s="6" t="s">
        <v>77</v>
      </c>
      <c r="G1745" s="7">
        <v>0.25</v>
      </c>
      <c r="H1745" s="6" t="s">
        <v>99</v>
      </c>
      <c r="I1745" s="6" t="s">
        <v>20</v>
      </c>
      <c r="J1745" s="6">
        <v>2022.0</v>
      </c>
      <c r="K1745" s="10">
        <v>46055.0</v>
      </c>
      <c r="L1745" s="6">
        <v>1.0</v>
      </c>
      <c r="M1745" s="8">
        <f t="shared" si="2"/>
        <v>0.25</v>
      </c>
      <c r="P1745" s="9"/>
    </row>
    <row r="1746">
      <c r="A1746" s="6" t="s">
        <v>4338</v>
      </c>
      <c r="B1746" s="6" t="s">
        <v>4339</v>
      </c>
      <c r="C1746" s="6" t="s">
        <v>377</v>
      </c>
      <c r="D1746" s="6" t="s">
        <v>4340</v>
      </c>
      <c r="E1746" s="6" t="s">
        <v>1448</v>
      </c>
      <c r="F1746" s="6" t="s">
        <v>697</v>
      </c>
      <c r="G1746" s="7">
        <v>0.25</v>
      </c>
      <c r="H1746" s="6" t="s">
        <v>2041</v>
      </c>
      <c r="I1746" s="6" t="s">
        <v>20</v>
      </c>
      <c r="J1746" s="6">
        <v>1998.0</v>
      </c>
      <c r="K1746" s="10">
        <v>46055.0</v>
      </c>
      <c r="L1746" s="6">
        <v>2.0</v>
      </c>
      <c r="M1746" s="8">
        <f t="shared" si="2"/>
        <v>0.5</v>
      </c>
      <c r="P1746" s="9"/>
    </row>
    <row r="1747">
      <c r="A1747" s="6" t="s">
        <v>4341</v>
      </c>
      <c r="B1747" s="6" t="s">
        <v>162</v>
      </c>
      <c r="C1747" s="6" t="s">
        <v>43</v>
      </c>
      <c r="D1747" s="6" t="s">
        <v>4342</v>
      </c>
      <c r="E1747" s="6" t="s">
        <v>420</v>
      </c>
      <c r="F1747" s="6" t="s">
        <v>40</v>
      </c>
      <c r="G1747" s="7">
        <v>0.05</v>
      </c>
      <c r="H1747" s="6" t="s">
        <v>65</v>
      </c>
      <c r="I1747" s="6" t="s">
        <v>20</v>
      </c>
      <c r="J1747" s="6">
        <v>2013.0</v>
      </c>
      <c r="L1747" s="6">
        <v>1.0</v>
      </c>
      <c r="M1747" s="8">
        <f t="shared" si="2"/>
        <v>0.05</v>
      </c>
      <c r="P1747" s="9"/>
    </row>
    <row r="1748">
      <c r="A1748" s="6" t="s">
        <v>4343</v>
      </c>
      <c r="B1748" s="6" t="s">
        <v>494</v>
      </c>
      <c r="C1748" s="6" t="s">
        <v>43</v>
      </c>
      <c r="D1748" s="6" t="s">
        <v>4344</v>
      </c>
      <c r="E1748" s="6" t="s">
        <v>420</v>
      </c>
      <c r="F1748" s="6" t="s">
        <v>40</v>
      </c>
      <c r="G1748" s="7">
        <v>0.05</v>
      </c>
      <c r="H1748" s="6" t="s">
        <v>586</v>
      </c>
      <c r="I1748" s="6" t="s">
        <v>20</v>
      </c>
      <c r="J1748" s="6">
        <v>2012.0</v>
      </c>
      <c r="L1748" s="6">
        <v>1.0</v>
      </c>
      <c r="M1748" s="8">
        <f t="shared" si="2"/>
        <v>0.05</v>
      </c>
      <c r="P1748" s="9"/>
    </row>
    <row r="1749">
      <c r="A1749" s="6" t="s">
        <v>4345</v>
      </c>
      <c r="B1749" s="6" t="s">
        <v>219</v>
      </c>
      <c r="C1749" s="6" t="s">
        <v>37</v>
      </c>
      <c r="D1749" s="6" t="s">
        <v>4346</v>
      </c>
      <c r="E1749" s="6" t="s">
        <v>994</v>
      </c>
      <c r="F1749" s="6" t="s">
        <v>26</v>
      </c>
      <c r="G1749" s="7">
        <v>0.06</v>
      </c>
      <c r="H1749" s="6" t="s">
        <v>1048</v>
      </c>
      <c r="I1749" s="6" t="s">
        <v>20</v>
      </c>
      <c r="J1749" s="6">
        <v>2008.0</v>
      </c>
      <c r="L1749" s="6">
        <v>1.0</v>
      </c>
      <c r="M1749" s="8">
        <f t="shared" si="2"/>
        <v>0.06</v>
      </c>
      <c r="P1749" s="9"/>
    </row>
    <row r="1750">
      <c r="A1750" s="6" t="s">
        <v>4347</v>
      </c>
      <c r="B1750" s="6" t="s">
        <v>4348</v>
      </c>
      <c r="C1750" s="6" t="s">
        <v>37</v>
      </c>
      <c r="D1750" s="6" t="s">
        <v>4349</v>
      </c>
      <c r="E1750" s="6" t="s">
        <v>107</v>
      </c>
      <c r="F1750" s="6" t="s">
        <v>18</v>
      </c>
      <c r="G1750" s="7">
        <v>0.15</v>
      </c>
      <c r="H1750" s="6" t="s">
        <v>34</v>
      </c>
      <c r="I1750" s="6" t="s">
        <v>20</v>
      </c>
      <c r="J1750" s="6">
        <v>2025.0</v>
      </c>
      <c r="K1750" s="10">
        <v>46024.0</v>
      </c>
      <c r="L1750" s="6">
        <v>1.0</v>
      </c>
      <c r="M1750" s="8">
        <f t="shared" si="2"/>
        <v>0.15</v>
      </c>
      <c r="P1750" s="9"/>
    </row>
    <row r="1751">
      <c r="A1751" s="6" t="s">
        <v>4350</v>
      </c>
      <c r="B1751" s="6" t="s">
        <v>4351</v>
      </c>
      <c r="C1751" s="6" t="s">
        <v>43</v>
      </c>
      <c r="D1751" s="6" t="s">
        <v>4352</v>
      </c>
      <c r="E1751" s="6" t="s">
        <v>57</v>
      </c>
      <c r="F1751" s="6" t="s">
        <v>40</v>
      </c>
      <c r="G1751" s="7">
        <v>0.15</v>
      </c>
      <c r="H1751" s="6" t="s">
        <v>126</v>
      </c>
      <c r="I1751" s="6" t="s">
        <v>20</v>
      </c>
      <c r="J1751" s="6">
        <v>2025.0</v>
      </c>
      <c r="K1751" s="10">
        <v>46056.0</v>
      </c>
      <c r="L1751" s="6">
        <v>1.0</v>
      </c>
      <c r="M1751" s="8">
        <f t="shared" si="2"/>
        <v>0.15</v>
      </c>
      <c r="P1751" s="9"/>
    </row>
    <row r="1752">
      <c r="A1752" s="6" t="s">
        <v>4353</v>
      </c>
      <c r="B1752" s="6" t="s">
        <v>4354</v>
      </c>
      <c r="C1752" s="6" t="s">
        <v>23</v>
      </c>
      <c r="D1752" s="6" t="s">
        <v>4355</v>
      </c>
      <c r="E1752" s="6" t="s">
        <v>2010</v>
      </c>
      <c r="F1752" s="6" t="s">
        <v>40</v>
      </c>
      <c r="G1752" s="7">
        <v>0.06</v>
      </c>
      <c r="H1752" s="6" t="s">
        <v>130</v>
      </c>
      <c r="I1752" s="6" t="s">
        <v>20</v>
      </c>
      <c r="J1752" s="6">
        <v>2014.0</v>
      </c>
      <c r="K1752" s="10">
        <v>46055.0</v>
      </c>
      <c r="L1752" s="6">
        <v>1.0</v>
      </c>
      <c r="M1752" s="8">
        <f t="shared" si="2"/>
        <v>0.06</v>
      </c>
      <c r="P1752" s="9"/>
    </row>
    <row r="1753">
      <c r="A1753" s="6" t="s">
        <v>4356</v>
      </c>
      <c r="B1753" s="6" t="s">
        <v>2615</v>
      </c>
      <c r="C1753" s="6" t="s">
        <v>204</v>
      </c>
      <c r="D1753" s="6" t="s">
        <v>4357</v>
      </c>
      <c r="E1753" s="6" t="s">
        <v>248</v>
      </c>
      <c r="F1753" s="6" t="s">
        <v>77</v>
      </c>
      <c r="G1753" s="7">
        <v>0.06</v>
      </c>
      <c r="H1753" s="6" t="s">
        <v>2291</v>
      </c>
      <c r="I1753" s="6" t="s">
        <v>20</v>
      </c>
      <c r="J1753" s="6">
        <v>2008.0</v>
      </c>
      <c r="K1753" s="10">
        <v>46023.0</v>
      </c>
      <c r="L1753" s="6">
        <v>2.0</v>
      </c>
      <c r="M1753" s="8">
        <f t="shared" si="2"/>
        <v>0.12</v>
      </c>
      <c r="P1753" s="9"/>
    </row>
    <row r="1754">
      <c r="A1754" s="6" t="s">
        <v>4358</v>
      </c>
      <c r="B1754" s="6" t="s">
        <v>4359</v>
      </c>
      <c r="C1754" s="6" t="s">
        <v>37</v>
      </c>
      <c r="D1754" s="6" t="s">
        <v>4360</v>
      </c>
      <c r="E1754" s="6" t="s">
        <v>57</v>
      </c>
      <c r="F1754" s="6" t="s">
        <v>40</v>
      </c>
      <c r="G1754" s="7">
        <v>0.08</v>
      </c>
      <c r="H1754" s="6" t="s">
        <v>136</v>
      </c>
      <c r="I1754" s="6" t="s">
        <v>20</v>
      </c>
      <c r="J1754" s="6">
        <v>2026.0</v>
      </c>
      <c r="K1754" s="10">
        <v>46024.0</v>
      </c>
      <c r="L1754" s="6">
        <v>1.0</v>
      </c>
      <c r="M1754" s="8">
        <f t="shared" si="2"/>
        <v>0.08</v>
      </c>
      <c r="P1754" s="9"/>
    </row>
    <row r="1755">
      <c r="A1755" s="6" t="s">
        <v>4361</v>
      </c>
      <c r="B1755" s="6" t="s">
        <v>988</v>
      </c>
      <c r="C1755" s="6" t="s">
        <v>43</v>
      </c>
      <c r="D1755" s="6" t="s">
        <v>4362</v>
      </c>
      <c r="E1755" s="6" t="s">
        <v>86</v>
      </c>
      <c r="F1755" s="6" t="s">
        <v>26</v>
      </c>
      <c r="G1755" s="7">
        <v>0.06</v>
      </c>
      <c r="H1755" s="6" t="s">
        <v>460</v>
      </c>
      <c r="I1755" s="6" t="s">
        <v>20</v>
      </c>
      <c r="J1755" s="6">
        <v>2015.0</v>
      </c>
      <c r="K1755" s="10">
        <v>46113.0</v>
      </c>
      <c r="L1755" s="6">
        <v>4.0</v>
      </c>
      <c r="M1755" s="8">
        <f t="shared" si="2"/>
        <v>0.24</v>
      </c>
      <c r="P1755" s="9"/>
    </row>
    <row r="1756">
      <c r="A1756" s="6" t="s">
        <v>4363</v>
      </c>
      <c r="B1756" s="6" t="s">
        <v>4364</v>
      </c>
      <c r="C1756" s="6" t="s">
        <v>30</v>
      </c>
      <c r="D1756" s="6" t="s">
        <v>4365</v>
      </c>
      <c r="E1756" s="6" t="s">
        <v>4366</v>
      </c>
      <c r="F1756" s="6" t="s">
        <v>536</v>
      </c>
      <c r="G1756" s="7">
        <v>1.33</v>
      </c>
      <c r="H1756" s="6" t="s">
        <v>136</v>
      </c>
      <c r="I1756" s="6" t="s">
        <v>20</v>
      </c>
      <c r="J1756" s="6">
        <v>2026.0</v>
      </c>
      <c r="K1756" s="10">
        <v>46209.0</v>
      </c>
      <c r="L1756" s="6">
        <v>1.0</v>
      </c>
      <c r="M1756" s="8">
        <f t="shared" si="2"/>
        <v>1.33</v>
      </c>
      <c r="P1756" s="9"/>
    </row>
    <row r="1757">
      <c r="A1757" s="6" t="s">
        <v>4367</v>
      </c>
      <c r="B1757" s="6" t="s">
        <v>4368</v>
      </c>
      <c r="C1757" s="6" t="s">
        <v>30</v>
      </c>
      <c r="D1757" s="6" t="s">
        <v>4369</v>
      </c>
      <c r="E1757" s="6" t="s">
        <v>1254</v>
      </c>
      <c r="F1757" s="6" t="s">
        <v>18</v>
      </c>
      <c r="G1757" s="7">
        <v>14.3</v>
      </c>
      <c r="H1757" s="6" t="s">
        <v>136</v>
      </c>
      <c r="I1757" s="6" t="s">
        <v>20</v>
      </c>
      <c r="J1757" s="6">
        <v>2026.0</v>
      </c>
      <c r="K1757" s="10">
        <v>46113.0</v>
      </c>
      <c r="L1757" s="6">
        <v>1.0</v>
      </c>
      <c r="M1757" s="8">
        <f t="shared" si="2"/>
        <v>14.3</v>
      </c>
      <c r="P1757" s="9"/>
    </row>
    <row r="1758">
      <c r="A1758" s="6" t="s">
        <v>4370</v>
      </c>
      <c r="B1758" s="6" t="s">
        <v>3355</v>
      </c>
      <c r="C1758" s="6" t="s">
        <v>37</v>
      </c>
      <c r="D1758" s="6" t="s">
        <v>4371</v>
      </c>
      <c r="E1758" s="6" t="s">
        <v>389</v>
      </c>
      <c r="F1758" s="6" t="s">
        <v>87</v>
      </c>
      <c r="G1758" s="7">
        <v>0.13</v>
      </c>
      <c r="H1758" s="6" t="s">
        <v>3366</v>
      </c>
      <c r="I1758" s="6" t="s">
        <v>20</v>
      </c>
      <c r="J1758" s="6">
        <v>2004.0</v>
      </c>
      <c r="K1758" s="10">
        <v>46055.0</v>
      </c>
      <c r="L1758" s="6">
        <v>1.0</v>
      </c>
      <c r="M1758" s="8">
        <f t="shared" si="2"/>
        <v>0.13</v>
      </c>
      <c r="P1758" s="9"/>
    </row>
    <row r="1759">
      <c r="A1759" s="6" t="s">
        <v>4372</v>
      </c>
      <c r="B1759" s="6" t="s">
        <v>1865</v>
      </c>
      <c r="C1759" s="6" t="s">
        <v>43</v>
      </c>
      <c r="D1759" s="6" t="s">
        <v>4373</v>
      </c>
      <c r="E1759" s="6" t="s">
        <v>256</v>
      </c>
      <c r="F1759" s="6" t="s">
        <v>87</v>
      </c>
      <c r="G1759" s="7">
        <v>1.75</v>
      </c>
      <c r="H1759" s="6" t="s">
        <v>217</v>
      </c>
      <c r="I1759" s="6" t="s">
        <v>45</v>
      </c>
      <c r="J1759" s="6">
        <v>2003.0</v>
      </c>
      <c r="K1759" s="10">
        <v>46055.0</v>
      </c>
      <c r="L1759" s="6">
        <v>1.0</v>
      </c>
      <c r="M1759" s="8">
        <f t="shared" si="2"/>
        <v>1.75</v>
      </c>
      <c r="P1759" s="9"/>
    </row>
    <row r="1760">
      <c r="A1760" s="6" t="s">
        <v>4374</v>
      </c>
      <c r="B1760" s="6" t="s">
        <v>4375</v>
      </c>
      <c r="C1760" s="6" t="s">
        <v>43</v>
      </c>
      <c r="D1760" s="6" t="s">
        <v>4376</v>
      </c>
      <c r="E1760" s="6" t="s">
        <v>140</v>
      </c>
      <c r="F1760" s="6" t="s">
        <v>87</v>
      </c>
      <c r="G1760" s="7">
        <v>39.21</v>
      </c>
      <c r="H1760" s="6" t="s">
        <v>217</v>
      </c>
      <c r="I1760" s="6" t="s">
        <v>20</v>
      </c>
      <c r="J1760" s="6">
        <v>2003.0</v>
      </c>
      <c r="K1760" s="10">
        <v>46023.0</v>
      </c>
      <c r="L1760" s="6">
        <v>1.0</v>
      </c>
      <c r="M1760" s="8">
        <f t="shared" si="2"/>
        <v>39.21</v>
      </c>
      <c r="P1760" s="9"/>
    </row>
    <row r="1761">
      <c r="A1761" s="6" t="s">
        <v>4377</v>
      </c>
      <c r="B1761" s="6" t="s">
        <v>4375</v>
      </c>
      <c r="C1761" s="6" t="s">
        <v>43</v>
      </c>
      <c r="D1761" s="6" t="s">
        <v>4378</v>
      </c>
      <c r="E1761" s="6" t="s">
        <v>256</v>
      </c>
      <c r="F1761" s="6" t="s">
        <v>87</v>
      </c>
      <c r="G1761" s="7">
        <v>0.05</v>
      </c>
      <c r="H1761" s="6" t="s">
        <v>1867</v>
      </c>
      <c r="I1761" s="6" t="s">
        <v>20</v>
      </c>
      <c r="J1761" s="6">
        <v>2004.0</v>
      </c>
      <c r="K1761" s="10">
        <v>46055.0</v>
      </c>
      <c r="L1761" s="6">
        <v>1.0</v>
      </c>
      <c r="M1761" s="8">
        <f t="shared" si="2"/>
        <v>0.05</v>
      </c>
      <c r="P1761" s="9"/>
    </row>
    <row r="1762">
      <c r="A1762" s="6" t="s">
        <v>4379</v>
      </c>
      <c r="B1762" s="6" t="s">
        <v>4380</v>
      </c>
      <c r="C1762" s="6" t="s">
        <v>43</v>
      </c>
      <c r="D1762" s="6" t="s">
        <v>4381</v>
      </c>
      <c r="E1762" s="6" t="s">
        <v>329</v>
      </c>
      <c r="F1762" s="6" t="s">
        <v>112</v>
      </c>
      <c r="G1762" s="7">
        <v>0.05</v>
      </c>
      <c r="H1762" s="6" t="s">
        <v>290</v>
      </c>
      <c r="I1762" s="6" t="s">
        <v>20</v>
      </c>
      <c r="J1762" s="6">
        <v>2019.0</v>
      </c>
      <c r="K1762" s="10">
        <v>46055.0</v>
      </c>
      <c r="L1762" s="6">
        <v>1.0</v>
      </c>
      <c r="M1762" s="8">
        <f t="shared" si="2"/>
        <v>0.05</v>
      </c>
      <c r="P1762" s="9"/>
    </row>
    <row r="1763">
      <c r="A1763" s="6" t="s">
        <v>4382</v>
      </c>
      <c r="B1763" s="6" t="s">
        <v>4383</v>
      </c>
      <c r="C1763" s="6" t="s">
        <v>30</v>
      </c>
      <c r="D1763" s="6" t="s">
        <v>4384</v>
      </c>
      <c r="E1763" s="6" t="s">
        <v>256</v>
      </c>
      <c r="F1763" s="6" t="s">
        <v>87</v>
      </c>
      <c r="G1763" s="7">
        <v>0.59</v>
      </c>
      <c r="H1763" s="6" t="s">
        <v>238</v>
      </c>
      <c r="I1763" s="6" t="s">
        <v>20</v>
      </c>
      <c r="J1763" s="6">
        <v>2024.0</v>
      </c>
      <c r="K1763" s="10">
        <v>46084.0</v>
      </c>
      <c r="L1763" s="6">
        <v>1.0</v>
      </c>
      <c r="M1763" s="8">
        <f t="shared" si="2"/>
        <v>0.59</v>
      </c>
      <c r="P1763" s="9"/>
    </row>
    <row r="1764">
      <c r="A1764" s="6" t="s">
        <v>4385</v>
      </c>
      <c r="B1764" s="6" t="s">
        <v>4386</v>
      </c>
      <c r="C1764" s="6" t="s">
        <v>156</v>
      </c>
      <c r="D1764" s="6" t="s">
        <v>4387</v>
      </c>
      <c r="E1764" s="6" t="s">
        <v>909</v>
      </c>
      <c r="F1764" s="6" t="s">
        <v>87</v>
      </c>
      <c r="G1764" s="7">
        <v>9.5</v>
      </c>
      <c r="H1764" s="6" t="s">
        <v>130</v>
      </c>
      <c r="I1764" s="6" t="s">
        <v>20</v>
      </c>
      <c r="J1764" s="6">
        <v>2014.0</v>
      </c>
      <c r="K1764" s="10">
        <v>46084.0</v>
      </c>
      <c r="L1764" s="6">
        <v>1.0</v>
      </c>
      <c r="M1764" s="8">
        <f t="shared" si="2"/>
        <v>9.5</v>
      </c>
      <c r="P1764" s="9"/>
    </row>
    <row r="1765">
      <c r="A1765" s="6" t="s">
        <v>4388</v>
      </c>
      <c r="B1765" s="6" t="s">
        <v>162</v>
      </c>
      <c r="C1765" s="6" t="s">
        <v>43</v>
      </c>
      <c r="D1765" s="6" t="s">
        <v>4389</v>
      </c>
      <c r="E1765" s="6" t="s">
        <v>86</v>
      </c>
      <c r="F1765" s="6" t="s">
        <v>87</v>
      </c>
      <c r="G1765" s="7">
        <v>0.23</v>
      </c>
      <c r="H1765" s="6" t="s">
        <v>597</v>
      </c>
      <c r="I1765" s="6" t="s">
        <v>20</v>
      </c>
      <c r="J1765" s="6">
        <v>2024.0</v>
      </c>
      <c r="L1765" s="6">
        <v>1.0</v>
      </c>
      <c r="M1765" s="8">
        <f t="shared" si="2"/>
        <v>0.23</v>
      </c>
      <c r="P1765" s="9"/>
    </row>
    <row r="1766">
      <c r="A1766" s="6" t="s">
        <v>4390</v>
      </c>
      <c r="B1766" s="6" t="s">
        <v>4391</v>
      </c>
      <c r="C1766" s="6" t="s">
        <v>43</v>
      </c>
      <c r="D1766" s="6" t="s">
        <v>4392</v>
      </c>
      <c r="E1766" s="6" t="s">
        <v>4393</v>
      </c>
      <c r="F1766" s="6" t="s">
        <v>112</v>
      </c>
      <c r="G1766" s="7">
        <v>0.15</v>
      </c>
      <c r="H1766" s="6" t="s">
        <v>113</v>
      </c>
      <c r="I1766" s="6" t="s">
        <v>20</v>
      </c>
      <c r="J1766" s="6">
        <v>2023.0</v>
      </c>
      <c r="K1766" s="10">
        <v>46148.0</v>
      </c>
      <c r="L1766" s="6">
        <v>1.0</v>
      </c>
      <c r="M1766" s="8">
        <f t="shared" si="2"/>
        <v>0.15</v>
      </c>
      <c r="P1766" s="9"/>
    </row>
    <row r="1767">
      <c r="A1767" s="6" t="s">
        <v>4394</v>
      </c>
      <c r="B1767" s="6" t="s">
        <v>4395</v>
      </c>
      <c r="C1767" s="6" t="s">
        <v>37</v>
      </c>
      <c r="D1767" s="6" t="s">
        <v>4396</v>
      </c>
      <c r="E1767" s="6" t="s">
        <v>822</v>
      </c>
      <c r="F1767" s="6" t="s">
        <v>77</v>
      </c>
      <c r="G1767" s="7">
        <v>0.03</v>
      </c>
      <c r="H1767" s="6" t="s">
        <v>187</v>
      </c>
      <c r="I1767" s="6" t="s">
        <v>20</v>
      </c>
      <c r="J1767" s="6">
        <v>1995.0</v>
      </c>
      <c r="K1767" s="10">
        <v>46023.0</v>
      </c>
      <c r="L1767" s="6">
        <v>2.0</v>
      </c>
      <c r="M1767" s="8">
        <f t="shared" si="2"/>
        <v>0.06</v>
      </c>
      <c r="P1767" s="9"/>
    </row>
    <row r="1768">
      <c r="A1768" s="6" t="s">
        <v>4397</v>
      </c>
      <c r="B1768" s="6" t="s">
        <v>254</v>
      </c>
      <c r="C1768" s="6" t="s">
        <v>43</v>
      </c>
      <c r="D1768" s="6" t="s">
        <v>4398</v>
      </c>
      <c r="E1768" s="6" t="s">
        <v>176</v>
      </c>
      <c r="F1768" s="6" t="s">
        <v>77</v>
      </c>
      <c r="G1768" s="7">
        <v>0.08</v>
      </c>
      <c r="H1768" s="6" t="s">
        <v>187</v>
      </c>
      <c r="I1768" s="6" t="s">
        <v>20</v>
      </c>
      <c r="J1768" s="6">
        <v>1995.0</v>
      </c>
      <c r="L1768" s="6">
        <v>1.0</v>
      </c>
      <c r="M1768" s="8">
        <f t="shared" si="2"/>
        <v>0.08</v>
      </c>
      <c r="P1768" s="9"/>
    </row>
    <row r="1769">
      <c r="A1769" s="6" t="s">
        <v>4399</v>
      </c>
      <c r="B1769" s="6" t="s">
        <v>254</v>
      </c>
      <c r="C1769" s="6" t="s">
        <v>37</v>
      </c>
      <c r="D1769" s="6" t="s">
        <v>4400</v>
      </c>
      <c r="E1769" s="6" t="s">
        <v>176</v>
      </c>
      <c r="F1769" s="6" t="s">
        <v>77</v>
      </c>
      <c r="G1769" s="7">
        <v>0.12</v>
      </c>
      <c r="H1769" s="6" t="s">
        <v>206</v>
      </c>
      <c r="I1769" s="6" t="s">
        <v>20</v>
      </c>
      <c r="J1769" s="6">
        <v>1996.0</v>
      </c>
      <c r="L1769" s="6">
        <v>1.0</v>
      </c>
      <c r="M1769" s="8">
        <f t="shared" si="2"/>
        <v>0.12</v>
      </c>
      <c r="P1769" s="9"/>
    </row>
    <row r="1770">
      <c r="A1770" s="6" t="s">
        <v>4401</v>
      </c>
      <c r="B1770" s="6" t="s">
        <v>661</v>
      </c>
      <c r="C1770" s="6" t="s">
        <v>662</v>
      </c>
      <c r="D1770" s="6" t="s">
        <v>4402</v>
      </c>
      <c r="E1770" s="6" t="s">
        <v>4403</v>
      </c>
      <c r="F1770" s="6" t="s">
        <v>665</v>
      </c>
      <c r="G1770" s="7">
        <v>5.95</v>
      </c>
      <c r="H1770" s="6" t="s">
        <v>342</v>
      </c>
      <c r="I1770" s="6" t="s">
        <v>20</v>
      </c>
      <c r="J1770" s="6">
        <v>2014.0</v>
      </c>
      <c r="K1770" s="10">
        <v>46207.0</v>
      </c>
      <c r="L1770" s="6">
        <v>1.0</v>
      </c>
      <c r="M1770" s="8">
        <f t="shared" si="2"/>
        <v>5.95</v>
      </c>
      <c r="P1770" s="9"/>
    </row>
    <row r="1771">
      <c r="A1771" s="6" t="s">
        <v>4404</v>
      </c>
      <c r="B1771" s="6" t="s">
        <v>162</v>
      </c>
      <c r="C1771" s="6" t="s">
        <v>43</v>
      </c>
      <c r="D1771" s="6" t="s">
        <v>4405</v>
      </c>
      <c r="E1771" s="6" t="s">
        <v>329</v>
      </c>
      <c r="F1771" s="6" t="s">
        <v>112</v>
      </c>
      <c r="G1771" s="7">
        <v>0.09</v>
      </c>
      <c r="H1771" s="6" t="s">
        <v>249</v>
      </c>
      <c r="I1771" s="6" t="s">
        <v>20</v>
      </c>
      <c r="J1771" s="6">
        <v>2014.0</v>
      </c>
      <c r="L1771" s="6">
        <v>4.0</v>
      </c>
      <c r="M1771" s="8">
        <f t="shared" si="2"/>
        <v>0.36</v>
      </c>
      <c r="P1771" s="9"/>
    </row>
    <row r="1772">
      <c r="A1772" s="6" t="s">
        <v>4406</v>
      </c>
      <c r="B1772" s="6" t="s">
        <v>2921</v>
      </c>
      <c r="C1772" s="6" t="s">
        <v>377</v>
      </c>
      <c r="D1772" s="6" t="s">
        <v>4407</v>
      </c>
      <c r="E1772" s="6" t="s">
        <v>1486</v>
      </c>
      <c r="F1772" s="6" t="s">
        <v>2822</v>
      </c>
      <c r="G1772" s="7">
        <v>0.09</v>
      </c>
      <c r="H1772" s="6" t="s">
        <v>471</v>
      </c>
      <c r="I1772" s="6" t="s">
        <v>20</v>
      </c>
      <c r="J1772" s="6">
        <v>2026.0</v>
      </c>
      <c r="K1772" s="10">
        <v>46148.0</v>
      </c>
      <c r="L1772" s="6">
        <v>1.0</v>
      </c>
      <c r="M1772" s="8">
        <f t="shared" si="2"/>
        <v>0.09</v>
      </c>
      <c r="P1772" s="9"/>
    </row>
    <row r="1773">
      <c r="A1773" s="6" t="s">
        <v>4408</v>
      </c>
      <c r="B1773" s="6" t="s">
        <v>610</v>
      </c>
      <c r="C1773" s="6" t="s">
        <v>37</v>
      </c>
      <c r="D1773" s="6" t="s">
        <v>4409</v>
      </c>
      <c r="E1773" s="6" t="s">
        <v>39</v>
      </c>
      <c r="F1773" s="6" t="s">
        <v>40</v>
      </c>
      <c r="G1773" s="7">
        <v>0.05</v>
      </c>
      <c r="H1773" s="6" t="s">
        <v>144</v>
      </c>
      <c r="I1773" s="6" t="s">
        <v>20</v>
      </c>
      <c r="J1773" s="6">
        <v>2018.0</v>
      </c>
      <c r="K1773" s="10">
        <v>46055.0</v>
      </c>
      <c r="L1773" s="6">
        <v>2.0</v>
      </c>
      <c r="M1773" s="8">
        <f t="shared" si="2"/>
        <v>0.1</v>
      </c>
      <c r="P1773" s="9"/>
    </row>
    <row r="1774">
      <c r="A1774" s="6" t="s">
        <v>4410</v>
      </c>
      <c r="B1774" s="6" t="s">
        <v>789</v>
      </c>
      <c r="C1774" s="6" t="s">
        <v>43</v>
      </c>
      <c r="D1774" s="6" t="s">
        <v>4411</v>
      </c>
      <c r="E1774" s="6" t="s">
        <v>25</v>
      </c>
      <c r="F1774" s="6" t="s">
        <v>26</v>
      </c>
      <c r="G1774" s="7">
        <v>0.04</v>
      </c>
      <c r="H1774" s="6" t="s">
        <v>34</v>
      </c>
      <c r="I1774" s="6" t="s">
        <v>20</v>
      </c>
      <c r="J1774" s="6">
        <v>2025.0</v>
      </c>
      <c r="L1774" s="6">
        <v>2.0</v>
      </c>
      <c r="M1774" s="8">
        <f t="shared" si="2"/>
        <v>0.08</v>
      </c>
      <c r="P1774" s="9"/>
    </row>
    <row r="1775">
      <c r="A1775" s="6" t="s">
        <v>4412</v>
      </c>
      <c r="B1775" s="6" t="s">
        <v>4413</v>
      </c>
      <c r="C1775" s="6" t="s">
        <v>37</v>
      </c>
      <c r="D1775" s="6" t="s">
        <v>4414</v>
      </c>
      <c r="E1775" s="6" t="s">
        <v>579</v>
      </c>
      <c r="F1775" s="6" t="s">
        <v>112</v>
      </c>
      <c r="G1775" s="7">
        <v>0.1</v>
      </c>
      <c r="H1775" s="6" t="s">
        <v>34</v>
      </c>
      <c r="I1775" s="6" t="s">
        <v>20</v>
      </c>
      <c r="J1775" s="6">
        <v>2025.0</v>
      </c>
      <c r="L1775" s="6">
        <v>1.0</v>
      </c>
      <c r="M1775" s="8">
        <f t="shared" si="2"/>
        <v>0.1</v>
      </c>
      <c r="P1775" s="9"/>
    </row>
    <row r="1776">
      <c r="A1776" s="6" t="s">
        <v>4415</v>
      </c>
      <c r="B1776" s="6" t="s">
        <v>52</v>
      </c>
      <c r="C1776" s="6" t="s">
        <v>43</v>
      </c>
      <c r="D1776" s="6" t="s">
        <v>4416</v>
      </c>
      <c r="F1776" s="6" t="s">
        <v>1244</v>
      </c>
      <c r="G1776" s="7">
        <v>0.1</v>
      </c>
      <c r="H1776" s="6" t="s">
        <v>34</v>
      </c>
      <c r="I1776" s="6" t="s">
        <v>20</v>
      </c>
      <c r="J1776" s="6">
        <v>2025.0</v>
      </c>
      <c r="L1776" s="6">
        <v>1.0</v>
      </c>
      <c r="M1776" s="8">
        <f t="shared" si="2"/>
        <v>0.1</v>
      </c>
      <c r="P1776" s="9"/>
    </row>
    <row r="1777">
      <c r="A1777" s="6" t="s">
        <v>4417</v>
      </c>
      <c r="B1777" s="6" t="s">
        <v>2966</v>
      </c>
      <c r="C1777" s="6" t="s">
        <v>43</v>
      </c>
      <c r="D1777" s="6" t="s">
        <v>4418</v>
      </c>
      <c r="E1777" s="6" t="s">
        <v>39</v>
      </c>
      <c r="F1777" s="6" t="s">
        <v>40</v>
      </c>
      <c r="G1777" s="7">
        <v>0.08</v>
      </c>
      <c r="H1777" s="6" t="s">
        <v>34</v>
      </c>
      <c r="I1777" s="6" t="s">
        <v>20</v>
      </c>
      <c r="J1777" s="6">
        <v>2025.0</v>
      </c>
      <c r="K1777" s="10">
        <v>46084.0</v>
      </c>
      <c r="L1777" s="6">
        <v>1.0</v>
      </c>
      <c r="M1777" s="8">
        <f t="shared" si="2"/>
        <v>0.08</v>
      </c>
      <c r="P1777" s="9"/>
    </row>
    <row r="1778">
      <c r="A1778" s="6" t="s">
        <v>4417</v>
      </c>
      <c r="B1778" s="6" t="s">
        <v>2966</v>
      </c>
      <c r="C1778" s="6" t="s">
        <v>43</v>
      </c>
      <c r="D1778" s="6" t="s">
        <v>4418</v>
      </c>
      <c r="E1778" s="6" t="s">
        <v>39</v>
      </c>
      <c r="F1778" s="6" t="s">
        <v>40</v>
      </c>
      <c r="G1778" s="7">
        <v>0.08</v>
      </c>
      <c r="H1778" s="6" t="s">
        <v>34</v>
      </c>
      <c r="I1778" s="6" t="s">
        <v>20</v>
      </c>
      <c r="J1778" s="6">
        <v>2025.0</v>
      </c>
      <c r="K1778" s="10">
        <v>46084.0</v>
      </c>
      <c r="L1778" s="6">
        <v>9.0</v>
      </c>
      <c r="M1778" s="8">
        <f t="shared" si="2"/>
        <v>0.72</v>
      </c>
      <c r="P1778" s="9"/>
    </row>
    <row r="1779">
      <c r="A1779" s="6" t="s">
        <v>4419</v>
      </c>
      <c r="B1779" s="6" t="s">
        <v>371</v>
      </c>
      <c r="C1779" s="6" t="s">
        <v>30</v>
      </c>
      <c r="D1779" s="6" t="s">
        <v>4420</v>
      </c>
      <c r="E1779" s="6" t="s">
        <v>282</v>
      </c>
      <c r="F1779" s="6" t="s">
        <v>40</v>
      </c>
      <c r="G1779" s="7">
        <v>0.12</v>
      </c>
      <c r="H1779" s="6" t="s">
        <v>373</v>
      </c>
      <c r="I1779" s="6" t="s">
        <v>20</v>
      </c>
      <c r="J1779" s="6">
        <v>2015.0</v>
      </c>
      <c r="K1779" s="10">
        <v>46085.0</v>
      </c>
      <c r="L1779" s="6">
        <v>1.0</v>
      </c>
      <c r="M1779" s="8">
        <f t="shared" si="2"/>
        <v>0.12</v>
      </c>
      <c r="P1779" s="9"/>
    </row>
    <row r="1780">
      <c r="A1780" s="6" t="s">
        <v>4421</v>
      </c>
      <c r="B1780" s="6" t="s">
        <v>4422</v>
      </c>
      <c r="C1780" s="6" t="s">
        <v>156</v>
      </c>
      <c r="D1780" s="6" t="s">
        <v>4423</v>
      </c>
      <c r="E1780" s="6" t="s">
        <v>1936</v>
      </c>
      <c r="F1780" s="6" t="s">
        <v>18</v>
      </c>
      <c r="G1780" s="7">
        <v>0.03</v>
      </c>
      <c r="H1780" s="6" t="s">
        <v>342</v>
      </c>
      <c r="I1780" s="6" t="s">
        <v>20</v>
      </c>
      <c r="J1780" s="6">
        <v>2014.0</v>
      </c>
      <c r="K1780" s="10">
        <v>46083.0</v>
      </c>
      <c r="L1780" s="6">
        <v>1.0</v>
      </c>
      <c r="M1780" s="8">
        <f t="shared" si="2"/>
        <v>0.03</v>
      </c>
      <c r="P1780" s="9"/>
    </row>
    <row r="1781">
      <c r="A1781" s="6" t="s">
        <v>4424</v>
      </c>
      <c r="B1781" s="6" t="s">
        <v>4425</v>
      </c>
      <c r="C1781" s="6" t="s">
        <v>23</v>
      </c>
      <c r="D1781" s="6" t="s">
        <v>4426</v>
      </c>
      <c r="E1781" s="6" t="s">
        <v>509</v>
      </c>
      <c r="F1781" s="6" t="s">
        <v>1335</v>
      </c>
      <c r="G1781" s="7">
        <v>0.04</v>
      </c>
      <c r="H1781" s="6" t="s">
        <v>342</v>
      </c>
      <c r="I1781" s="6" t="s">
        <v>20</v>
      </c>
      <c r="J1781" s="6">
        <v>2014.0</v>
      </c>
      <c r="K1781" s="10">
        <v>46024.0</v>
      </c>
      <c r="L1781" s="6">
        <v>2.0</v>
      </c>
      <c r="M1781" s="8">
        <f t="shared" si="2"/>
        <v>0.08</v>
      </c>
      <c r="P1781" s="9"/>
    </row>
    <row r="1782">
      <c r="A1782" s="6" t="s">
        <v>4427</v>
      </c>
      <c r="B1782" s="6" t="s">
        <v>4428</v>
      </c>
      <c r="C1782" s="6" t="s">
        <v>37</v>
      </c>
      <c r="D1782" s="6" t="s">
        <v>4429</v>
      </c>
      <c r="E1782" s="6" t="s">
        <v>4430</v>
      </c>
      <c r="F1782" s="6" t="s">
        <v>1118</v>
      </c>
      <c r="G1782" s="7">
        <v>0.16</v>
      </c>
      <c r="H1782" s="6" t="s">
        <v>99</v>
      </c>
      <c r="I1782" s="6" t="s">
        <v>20</v>
      </c>
      <c r="J1782" s="6">
        <v>2022.0</v>
      </c>
      <c r="K1782" s="10">
        <v>46082.0</v>
      </c>
      <c r="L1782" s="6">
        <v>1.0</v>
      </c>
      <c r="M1782" s="8">
        <f t="shared" si="2"/>
        <v>0.16</v>
      </c>
      <c r="P1782" s="9"/>
    </row>
    <row r="1783">
      <c r="A1783" s="6" t="s">
        <v>4431</v>
      </c>
      <c r="B1783" s="6" t="s">
        <v>4432</v>
      </c>
      <c r="C1783" s="6" t="s">
        <v>43</v>
      </c>
      <c r="D1783" s="6" t="s">
        <v>4433</v>
      </c>
      <c r="E1783" s="6" t="s">
        <v>125</v>
      </c>
      <c r="F1783" s="6" t="s">
        <v>40</v>
      </c>
      <c r="G1783" s="7">
        <v>0.64</v>
      </c>
      <c r="H1783" s="6" t="s">
        <v>249</v>
      </c>
      <c r="I1783" s="6" t="s">
        <v>20</v>
      </c>
      <c r="J1783" s="6">
        <v>2014.0</v>
      </c>
      <c r="K1783" s="6" t="s">
        <v>445</v>
      </c>
      <c r="L1783" s="6">
        <v>5.0</v>
      </c>
      <c r="M1783" s="8">
        <f t="shared" si="2"/>
        <v>3.2</v>
      </c>
      <c r="P1783" s="9"/>
    </row>
    <row r="1784">
      <c r="A1784" s="6" t="s">
        <v>4434</v>
      </c>
      <c r="B1784" s="6" t="s">
        <v>4435</v>
      </c>
      <c r="C1784" s="6" t="s">
        <v>37</v>
      </c>
      <c r="D1784" s="6" t="s">
        <v>4436</v>
      </c>
      <c r="E1784" s="6" t="s">
        <v>420</v>
      </c>
      <c r="F1784" s="6" t="s">
        <v>40</v>
      </c>
      <c r="G1784" s="7">
        <v>0.14</v>
      </c>
      <c r="H1784" s="6" t="s">
        <v>19</v>
      </c>
      <c r="I1784" s="6" t="s">
        <v>20</v>
      </c>
      <c r="J1784" s="6">
        <v>2023.0</v>
      </c>
      <c r="K1784" s="10">
        <v>46115.0</v>
      </c>
      <c r="L1784" s="6">
        <v>1.0</v>
      </c>
      <c r="M1784" s="8">
        <f t="shared" si="2"/>
        <v>0.14</v>
      </c>
      <c r="P1784" s="9"/>
    </row>
    <row r="1785">
      <c r="A1785" s="6" t="s">
        <v>4437</v>
      </c>
      <c r="B1785" s="6" t="s">
        <v>3664</v>
      </c>
      <c r="C1785" s="6" t="s">
        <v>43</v>
      </c>
      <c r="D1785" s="6" t="s">
        <v>4438</v>
      </c>
      <c r="E1785" s="6" t="s">
        <v>107</v>
      </c>
      <c r="F1785" s="6" t="s">
        <v>18</v>
      </c>
      <c r="G1785" s="7">
        <v>0.04</v>
      </c>
      <c r="H1785" s="6" t="s">
        <v>148</v>
      </c>
      <c r="I1785" s="6" t="s">
        <v>20</v>
      </c>
      <c r="J1785" s="6">
        <v>2026.0</v>
      </c>
      <c r="K1785" s="10">
        <v>46024.0</v>
      </c>
      <c r="L1785" s="6">
        <v>3.0</v>
      </c>
      <c r="M1785" s="8">
        <f t="shared" si="2"/>
        <v>0.12</v>
      </c>
      <c r="P1785" s="9"/>
    </row>
    <row r="1786">
      <c r="A1786" s="6" t="s">
        <v>4439</v>
      </c>
      <c r="B1786" s="6" t="s">
        <v>2565</v>
      </c>
      <c r="C1786" s="6" t="s">
        <v>15</v>
      </c>
      <c r="D1786" s="6" t="s">
        <v>4440</v>
      </c>
      <c r="E1786" s="6" t="s">
        <v>457</v>
      </c>
      <c r="F1786" s="6" t="s">
        <v>112</v>
      </c>
      <c r="G1786" s="7">
        <v>0.15</v>
      </c>
      <c r="H1786" s="6" t="s">
        <v>780</v>
      </c>
      <c r="I1786" s="6" t="s">
        <v>20</v>
      </c>
      <c r="J1786" s="6">
        <v>2025.0</v>
      </c>
      <c r="K1786" s="10">
        <v>46084.0</v>
      </c>
      <c r="L1786" s="6">
        <v>1.0</v>
      </c>
      <c r="M1786" s="8">
        <f t="shared" si="2"/>
        <v>0.15</v>
      </c>
      <c r="P1786" s="9"/>
    </row>
    <row r="1787">
      <c r="A1787" s="6" t="s">
        <v>4441</v>
      </c>
      <c r="B1787" s="6" t="s">
        <v>494</v>
      </c>
      <c r="C1787" s="6" t="s">
        <v>43</v>
      </c>
      <c r="D1787" s="6" t="s">
        <v>4442</v>
      </c>
      <c r="E1787" s="6" t="s">
        <v>135</v>
      </c>
      <c r="F1787" s="6" t="s">
        <v>40</v>
      </c>
      <c r="G1787" s="7">
        <v>0.1</v>
      </c>
      <c r="H1787" s="6" t="s">
        <v>2087</v>
      </c>
      <c r="I1787" s="6" t="s">
        <v>20</v>
      </c>
      <c r="J1787" s="6">
        <v>2000.0</v>
      </c>
      <c r="L1787" s="6">
        <v>1.0</v>
      </c>
      <c r="M1787" s="8">
        <f t="shared" si="2"/>
        <v>0.1</v>
      </c>
      <c r="P1787" s="9"/>
    </row>
    <row r="1788">
      <c r="A1788" s="6" t="s">
        <v>4443</v>
      </c>
      <c r="B1788" s="6" t="s">
        <v>74</v>
      </c>
      <c r="C1788" s="6" t="s">
        <v>43</v>
      </c>
      <c r="D1788" s="6" t="s">
        <v>4444</v>
      </c>
      <c r="E1788" s="6" t="s">
        <v>135</v>
      </c>
      <c r="F1788" s="6" t="s">
        <v>40</v>
      </c>
      <c r="G1788" s="7">
        <v>0.35</v>
      </c>
      <c r="H1788" s="6" t="s">
        <v>270</v>
      </c>
      <c r="I1788" s="6" t="s">
        <v>45</v>
      </c>
      <c r="J1788" s="6">
        <v>2022.0</v>
      </c>
      <c r="L1788" s="6">
        <v>2.0</v>
      </c>
      <c r="M1788" s="8">
        <f t="shared" si="2"/>
        <v>0.7</v>
      </c>
      <c r="P1788" s="9"/>
    </row>
    <row r="1789">
      <c r="A1789" s="6" t="s">
        <v>4443</v>
      </c>
      <c r="B1789" s="6" t="s">
        <v>74</v>
      </c>
      <c r="C1789" s="6" t="s">
        <v>43</v>
      </c>
      <c r="D1789" s="6" t="s">
        <v>4444</v>
      </c>
      <c r="E1789" s="6" t="s">
        <v>135</v>
      </c>
      <c r="F1789" s="6" t="s">
        <v>40</v>
      </c>
      <c r="G1789" s="7">
        <v>0.05</v>
      </c>
      <c r="H1789" s="6" t="s">
        <v>496</v>
      </c>
      <c r="I1789" s="6" t="s">
        <v>20</v>
      </c>
      <c r="J1789" s="6">
        <v>2013.0</v>
      </c>
      <c r="L1789" s="6">
        <v>1.0</v>
      </c>
      <c r="M1789" s="8">
        <f t="shared" si="2"/>
        <v>0.05</v>
      </c>
      <c r="P1789" s="9"/>
    </row>
    <row r="1790">
      <c r="A1790" s="6" t="s">
        <v>4445</v>
      </c>
      <c r="B1790" s="6" t="s">
        <v>440</v>
      </c>
      <c r="C1790" s="6" t="s">
        <v>418</v>
      </c>
      <c r="D1790" s="6" t="s">
        <v>4446</v>
      </c>
      <c r="E1790" s="6" t="s">
        <v>86</v>
      </c>
      <c r="F1790" s="6" t="s">
        <v>2822</v>
      </c>
      <c r="G1790" s="7">
        <v>0.15</v>
      </c>
      <c r="H1790" s="6" t="s">
        <v>471</v>
      </c>
      <c r="I1790" s="6" t="s">
        <v>20</v>
      </c>
      <c r="J1790" s="6">
        <v>2026.0</v>
      </c>
      <c r="L1790" s="6">
        <v>1.0</v>
      </c>
      <c r="M1790" s="8">
        <f t="shared" si="2"/>
        <v>0.15</v>
      </c>
      <c r="P1790" s="9"/>
    </row>
    <row r="1791">
      <c r="A1791" s="6" t="s">
        <v>4447</v>
      </c>
      <c r="B1791" s="6" t="s">
        <v>1012</v>
      </c>
      <c r="C1791" s="6" t="s">
        <v>43</v>
      </c>
      <c r="E1791" s="6" t="s">
        <v>356</v>
      </c>
      <c r="F1791" s="6" t="s">
        <v>87</v>
      </c>
      <c r="G1791" s="7">
        <v>0.03</v>
      </c>
      <c r="H1791" s="6" t="s">
        <v>1776</v>
      </c>
      <c r="I1791" s="6" t="s">
        <v>20</v>
      </c>
      <c r="J1791" s="6">
        <v>2017.0</v>
      </c>
      <c r="K1791" s="10">
        <v>46117.0</v>
      </c>
      <c r="L1791" s="6">
        <v>5.0</v>
      </c>
      <c r="M1791" s="8">
        <f t="shared" si="2"/>
        <v>0.15</v>
      </c>
      <c r="P1791" s="9"/>
    </row>
    <row r="1792">
      <c r="A1792" s="6" t="s">
        <v>4448</v>
      </c>
      <c r="B1792" s="6" t="s">
        <v>606</v>
      </c>
      <c r="C1792" s="6" t="s">
        <v>23</v>
      </c>
      <c r="D1792" s="6" t="s">
        <v>4449</v>
      </c>
      <c r="E1792" s="6" t="s">
        <v>129</v>
      </c>
      <c r="F1792" s="6" t="s">
        <v>87</v>
      </c>
      <c r="G1792" s="7">
        <v>0.1</v>
      </c>
      <c r="H1792" s="6" t="s">
        <v>153</v>
      </c>
      <c r="I1792" s="6" t="s">
        <v>20</v>
      </c>
      <c r="J1792" s="6">
        <v>2025.0</v>
      </c>
      <c r="L1792" s="6">
        <v>7.0</v>
      </c>
      <c r="M1792" s="8">
        <f t="shared" si="2"/>
        <v>0.7</v>
      </c>
      <c r="P1792" s="9"/>
    </row>
    <row r="1793">
      <c r="A1793" s="6" t="s">
        <v>4450</v>
      </c>
      <c r="B1793" s="6" t="s">
        <v>162</v>
      </c>
      <c r="C1793" s="6" t="s">
        <v>30</v>
      </c>
      <c r="D1793" s="6" t="s">
        <v>4451</v>
      </c>
      <c r="E1793" s="6" t="s">
        <v>125</v>
      </c>
      <c r="F1793" s="6" t="s">
        <v>40</v>
      </c>
      <c r="G1793" s="7">
        <v>0.3</v>
      </c>
      <c r="H1793" s="6" t="s">
        <v>249</v>
      </c>
      <c r="I1793" s="6" t="s">
        <v>20</v>
      </c>
      <c r="J1793" s="6">
        <v>2014.0</v>
      </c>
      <c r="L1793" s="6">
        <v>2.0</v>
      </c>
      <c r="M1793" s="8">
        <f t="shared" si="2"/>
        <v>0.6</v>
      </c>
      <c r="P1793" s="9"/>
    </row>
    <row r="1794">
      <c r="A1794" s="6" t="s">
        <v>4452</v>
      </c>
      <c r="B1794" s="6" t="s">
        <v>162</v>
      </c>
      <c r="C1794" s="6" t="s">
        <v>43</v>
      </c>
      <c r="D1794" s="6" t="s">
        <v>4453</v>
      </c>
      <c r="E1794" s="6" t="s">
        <v>356</v>
      </c>
      <c r="F1794" s="6" t="s">
        <v>87</v>
      </c>
      <c r="G1794" s="7">
        <v>0.26</v>
      </c>
      <c r="H1794" s="6" t="s">
        <v>4454</v>
      </c>
      <c r="I1794" s="6" t="s">
        <v>20</v>
      </c>
      <c r="J1794" s="6">
        <v>1997.0</v>
      </c>
      <c r="L1794" s="6">
        <v>1.0</v>
      </c>
      <c r="M1794" s="8">
        <f t="shared" si="2"/>
        <v>0.26</v>
      </c>
      <c r="P1794" s="9"/>
    </row>
    <row r="1795">
      <c r="A1795" s="6" t="s">
        <v>4455</v>
      </c>
      <c r="B1795" s="6" t="s">
        <v>462</v>
      </c>
      <c r="C1795" s="6" t="s">
        <v>43</v>
      </c>
      <c r="D1795" s="6" t="s">
        <v>4456</v>
      </c>
      <c r="E1795" s="6" t="s">
        <v>2145</v>
      </c>
      <c r="F1795" s="6" t="s">
        <v>87</v>
      </c>
      <c r="G1795" s="7">
        <v>0.05</v>
      </c>
      <c r="H1795" s="6" t="s">
        <v>187</v>
      </c>
      <c r="I1795" s="6" t="s">
        <v>20</v>
      </c>
      <c r="J1795" s="6">
        <v>1995.0</v>
      </c>
      <c r="L1795" s="6">
        <v>1.0</v>
      </c>
      <c r="M1795" s="8">
        <f t="shared" si="2"/>
        <v>0.05</v>
      </c>
      <c r="P1795" s="9"/>
    </row>
    <row r="1796">
      <c r="A1796" s="6" t="s">
        <v>4457</v>
      </c>
      <c r="B1796" s="6" t="s">
        <v>115</v>
      </c>
      <c r="C1796" s="6" t="s">
        <v>15</v>
      </c>
      <c r="D1796" s="6" t="s">
        <v>4458</v>
      </c>
      <c r="E1796" s="6" t="s">
        <v>1010</v>
      </c>
      <c r="F1796" s="6" t="s">
        <v>87</v>
      </c>
      <c r="G1796" s="7">
        <v>0.08</v>
      </c>
      <c r="H1796" s="6" t="s">
        <v>2682</v>
      </c>
      <c r="I1796" s="6" t="s">
        <v>20</v>
      </c>
      <c r="J1796" s="6">
        <v>2018.0</v>
      </c>
      <c r="L1796" s="6">
        <v>2.0</v>
      </c>
      <c r="M1796" s="8">
        <f t="shared" si="2"/>
        <v>0.16</v>
      </c>
      <c r="P1796" s="9"/>
    </row>
    <row r="1797">
      <c r="A1797" s="6" t="s">
        <v>4459</v>
      </c>
      <c r="B1797" s="6" t="s">
        <v>1794</v>
      </c>
      <c r="C1797" s="6" t="s">
        <v>204</v>
      </c>
      <c r="D1797" s="6" t="s">
        <v>4460</v>
      </c>
      <c r="E1797" s="6" t="s">
        <v>125</v>
      </c>
      <c r="F1797" s="6" t="s">
        <v>40</v>
      </c>
      <c r="G1797" s="7">
        <v>0.09</v>
      </c>
      <c r="H1797" s="6" t="s">
        <v>324</v>
      </c>
      <c r="I1797" s="6" t="s">
        <v>20</v>
      </c>
      <c r="J1797" s="6">
        <v>1995.0</v>
      </c>
      <c r="L1797" s="6">
        <v>4.0</v>
      </c>
      <c r="M1797" s="8">
        <f t="shared" si="2"/>
        <v>0.36</v>
      </c>
      <c r="P1797" s="9"/>
    </row>
    <row r="1798">
      <c r="A1798" s="6" t="s">
        <v>4459</v>
      </c>
      <c r="B1798" s="6" t="s">
        <v>563</v>
      </c>
      <c r="C1798" s="6" t="s">
        <v>23</v>
      </c>
      <c r="D1798" s="6" t="s">
        <v>4461</v>
      </c>
      <c r="E1798" s="6" t="s">
        <v>125</v>
      </c>
      <c r="F1798" s="6" t="s">
        <v>40</v>
      </c>
      <c r="G1798" s="7">
        <v>0.13</v>
      </c>
      <c r="H1798" s="6" t="s">
        <v>313</v>
      </c>
      <c r="I1798" s="6" t="s">
        <v>20</v>
      </c>
      <c r="J1798" s="6">
        <v>1995.0</v>
      </c>
      <c r="L1798" s="6">
        <v>1.0</v>
      </c>
      <c r="M1798" s="8">
        <f t="shared" si="2"/>
        <v>0.13</v>
      </c>
      <c r="P1798" s="9"/>
    </row>
    <row r="1799">
      <c r="A1799" s="6" t="s">
        <v>4459</v>
      </c>
      <c r="B1799" s="6" t="s">
        <v>563</v>
      </c>
      <c r="C1799" s="6" t="s">
        <v>23</v>
      </c>
      <c r="D1799" s="6" t="s">
        <v>4461</v>
      </c>
      <c r="E1799" s="6" t="s">
        <v>125</v>
      </c>
      <c r="F1799" s="6" t="s">
        <v>40</v>
      </c>
      <c r="G1799" s="7">
        <v>0.09</v>
      </c>
      <c r="H1799" s="6" t="s">
        <v>1602</v>
      </c>
      <c r="I1799" s="6" t="s">
        <v>20</v>
      </c>
      <c r="J1799" s="6">
        <v>1995.0</v>
      </c>
      <c r="L1799" s="6">
        <v>1.0</v>
      </c>
      <c r="M1799" s="8">
        <f t="shared" si="2"/>
        <v>0.09</v>
      </c>
      <c r="P1799" s="9"/>
    </row>
    <row r="1800">
      <c r="A1800" s="6" t="s">
        <v>4459</v>
      </c>
      <c r="B1800" s="6" t="s">
        <v>1794</v>
      </c>
      <c r="C1800" s="6" t="s">
        <v>204</v>
      </c>
      <c r="D1800" s="6" t="s">
        <v>4460</v>
      </c>
      <c r="E1800" s="6" t="s">
        <v>125</v>
      </c>
      <c r="F1800" s="6" t="s">
        <v>40</v>
      </c>
      <c r="G1800" s="7">
        <v>0.13</v>
      </c>
      <c r="H1800" s="6" t="s">
        <v>316</v>
      </c>
      <c r="I1800" s="6" t="s">
        <v>20</v>
      </c>
      <c r="J1800" s="6">
        <v>1995.0</v>
      </c>
      <c r="L1800" s="6">
        <v>3.0</v>
      </c>
      <c r="M1800" s="8">
        <f t="shared" si="2"/>
        <v>0.39</v>
      </c>
      <c r="P1800" s="9"/>
    </row>
    <row r="1801">
      <c r="A1801" s="6" t="s">
        <v>4462</v>
      </c>
      <c r="B1801" s="6" t="s">
        <v>162</v>
      </c>
      <c r="C1801" s="6" t="s">
        <v>43</v>
      </c>
      <c r="D1801" s="6" t="s">
        <v>4463</v>
      </c>
      <c r="E1801" s="6" t="s">
        <v>179</v>
      </c>
      <c r="F1801" s="6" t="s">
        <v>112</v>
      </c>
      <c r="G1801" s="7">
        <v>0.08</v>
      </c>
      <c r="H1801" s="6" t="s">
        <v>283</v>
      </c>
      <c r="I1801" s="6" t="s">
        <v>20</v>
      </c>
      <c r="J1801" s="6">
        <v>2013.0</v>
      </c>
      <c r="L1801" s="6">
        <v>2.0</v>
      </c>
      <c r="M1801" s="8">
        <f t="shared" si="2"/>
        <v>0.16</v>
      </c>
      <c r="P1801" s="9"/>
    </row>
    <row r="1802">
      <c r="A1802" s="6" t="s">
        <v>4464</v>
      </c>
      <c r="B1802" s="6" t="s">
        <v>4465</v>
      </c>
      <c r="C1802" s="6" t="s">
        <v>43</v>
      </c>
      <c r="D1802" s="6" t="s">
        <v>4466</v>
      </c>
      <c r="E1802" s="6" t="s">
        <v>76</v>
      </c>
      <c r="F1802" s="6" t="s">
        <v>77</v>
      </c>
      <c r="G1802" s="7">
        <v>0.04</v>
      </c>
      <c r="H1802" s="6" t="s">
        <v>290</v>
      </c>
      <c r="I1802" s="6" t="s">
        <v>20</v>
      </c>
      <c r="J1802" s="6">
        <v>2019.0</v>
      </c>
      <c r="K1802" s="10">
        <v>46054.0</v>
      </c>
      <c r="L1802" s="6">
        <v>1.0</v>
      </c>
      <c r="M1802" s="8">
        <f t="shared" si="2"/>
        <v>0.04</v>
      </c>
      <c r="P1802" s="9"/>
    </row>
    <row r="1803">
      <c r="A1803" s="6" t="s">
        <v>4467</v>
      </c>
      <c r="B1803" s="6" t="s">
        <v>208</v>
      </c>
      <c r="C1803" s="6" t="s">
        <v>37</v>
      </c>
      <c r="D1803" s="6" t="s">
        <v>4468</v>
      </c>
      <c r="E1803" s="6" t="s">
        <v>3303</v>
      </c>
      <c r="F1803" s="6" t="s">
        <v>50</v>
      </c>
      <c r="G1803" s="7">
        <v>0.04</v>
      </c>
      <c r="H1803" s="6" t="s">
        <v>1344</v>
      </c>
      <c r="I1803" s="6" t="s">
        <v>20</v>
      </c>
      <c r="J1803" s="6">
        <v>2018.0</v>
      </c>
      <c r="K1803" s="10">
        <v>46055.0</v>
      </c>
      <c r="L1803" s="6">
        <v>1.0</v>
      </c>
      <c r="M1803" s="8">
        <f t="shared" si="2"/>
        <v>0.04</v>
      </c>
      <c r="P1803" s="9"/>
    </row>
    <row r="1804">
      <c r="A1804" s="6" t="s">
        <v>4469</v>
      </c>
      <c r="B1804" s="6" t="s">
        <v>4470</v>
      </c>
      <c r="C1804" s="6" t="s">
        <v>30</v>
      </c>
      <c r="D1804" s="6" t="s">
        <v>4471</v>
      </c>
      <c r="E1804" s="6" t="s">
        <v>708</v>
      </c>
      <c r="F1804" s="6" t="s">
        <v>112</v>
      </c>
      <c r="G1804" s="7">
        <v>3.44</v>
      </c>
      <c r="H1804" s="6" t="s">
        <v>136</v>
      </c>
      <c r="I1804" s="6" t="s">
        <v>20</v>
      </c>
      <c r="J1804" s="6">
        <v>2026.0</v>
      </c>
      <c r="K1804" s="10">
        <v>46117.0</v>
      </c>
      <c r="L1804" s="6">
        <v>1.0</v>
      </c>
      <c r="M1804" s="8">
        <f t="shared" si="2"/>
        <v>3.44</v>
      </c>
      <c r="P1804" s="9"/>
    </row>
    <row r="1805">
      <c r="A1805" s="6" t="s">
        <v>4472</v>
      </c>
      <c r="B1805" s="6" t="s">
        <v>1375</v>
      </c>
      <c r="C1805" s="6" t="s">
        <v>30</v>
      </c>
      <c r="D1805" s="6" t="s">
        <v>4473</v>
      </c>
      <c r="E1805" s="6" t="s">
        <v>4474</v>
      </c>
      <c r="F1805" s="6" t="s">
        <v>1000</v>
      </c>
      <c r="G1805" s="7">
        <v>0.2</v>
      </c>
      <c r="H1805" s="6" t="s">
        <v>1856</v>
      </c>
      <c r="I1805" s="6" t="s">
        <v>20</v>
      </c>
      <c r="J1805" s="6">
        <v>2017.0</v>
      </c>
      <c r="L1805" s="6">
        <v>1.0</v>
      </c>
      <c r="M1805" s="8">
        <f t="shared" si="2"/>
        <v>0.2</v>
      </c>
      <c r="P1805" s="9"/>
    </row>
    <row r="1806">
      <c r="A1806" s="6" t="s">
        <v>4475</v>
      </c>
      <c r="B1806" s="6" t="s">
        <v>74</v>
      </c>
      <c r="C1806" s="6" t="s">
        <v>43</v>
      </c>
      <c r="D1806" s="6" t="s">
        <v>4476</v>
      </c>
      <c r="E1806" s="6" t="s">
        <v>135</v>
      </c>
      <c r="F1806" s="6" t="s">
        <v>40</v>
      </c>
      <c r="G1806" s="7">
        <v>0.4</v>
      </c>
      <c r="H1806" s="6" t="s">
        <v>1161</v>
      </c>
      <c r="I1806" s="6" t="s">
        <v>20</v>
      </c>
      <c r="J1806" s="6">
        <v>2005.0</v>
      </c>
      <c r="L1806" s="6">
        <v>3.0</v>
      </c>
      <c r="M1806" s="8">
        <f t="shared" si="2"/>
        <v>1.2</v>
      </c>
      <c r="P1806" s="9"/>
    </row>
    <row r="1807">
      <c r="A1807" s="6" t="s">
        <v>4477</v>
      </c>
      <c r="B1807" s="6" t="s">
        <v>4478</v>
      </c>
      <c r="C1807" s="6" t="s">
        <v>37</v>
      </c>
      <c r="D1807" s="6" t="s">
        <v>4479</v>
      </c>
      <c r="E1807" s="6" t="s">
        <v>164</v>
      </c>
      <c r="F1807" s="6" t="s">
        <v>112</v>
      </c>
      <c r="G1807" s="7">
        <v>0.2</v>
      </c>
      <c r="H1807" s="6" t="s">
        <v>34</v>
      </c>
      <c r="I1807" s="6" t="s">
        <v>20</v>
      </c>
      <c r="J1807" s="6">
        <v>2025.0</v>
      </c>
      <c r="L1807" s="6">
        <v>1.0</v>
      </c>
      <c r="M1807" s="8">
        <f t="shared" si="2"/>
        <v>0.2</v>
      </c>
      <c r="P1807" s="9"/>
    </row>
    <row r="1808">
      <c r="A1808" s="6" t="s">
        <v>4480</v>
      </c>
      <c r="B1808" s="6" t="s">
        <v>3516</v>
      </c>
      <c r="C1808" s="6" t="s">
        <v>37</v>
      </c>
      <c r="D1808" s="6" t="s">
        <v>4481</v>
      </c>
      <c r="E1808" s="6" t="s">
        <v>98</v>
      </c>
      <c r="F1808" s="6" t="s">
        <v>18</v>
      </c>
      <c r="G1808" s="7">
        <v>0.08</v>
      </c>
      <c r="H1808" s="6" t="s">
        <v>1048</v>
      </c>
      <c r="I1808" s="6" t="s">
        <v>20</v>
      </c>
      <c r="J1808" s="6">
        <v>2008.0</v>
      </c>
      <c r="K1808" s="10">
        <v>46084.0</v>
      </c>
      <c r="L1808" s="6">
        <v>1.0</v>
      </c>
      <c r="M1808" s="8">
        <f t="shared" si="2"/>
        <v>0.08</v>
      </c>
      <c r="P1808" s="9"/>
    </row>
    <row r="1809">
      <c r="A1809" s="6" t="s">
        <v>4482</v>
      </c>
      <c r="B1809" s="6" t="s">
        <v>462</v>
      </c>
      <c r="C1809" s="6" t="s">
        <v>30</v>
      </c>
      <c r="D1809" s="6" t="s">
        <v>4483</v>
      </c>
      <c r="E1809" s="6" t="s">
        <v>554</v>
      </c>
      <c r="F1809" s="6" t="s">
        <v>40</v>
      </c>
      <c r="G1809" s="7">
        <v>2.79</v>
      </c>
      <c r="H1809" s="6" t="s">
        <v>58</v>
      </c>
      <c r="I1809" s="6" t="s">
        <v>20</v>
      </c>
      <c r="J1809" s="6">
        <v>1995.0</v>
      </c>
      <c r="L1809" s="6">
        <v>1.0</v>
      </c>
      <c r="M1809" s="8">
        <f t="shared" si="2"/>
        <v>2.79</v>
      </c>
      <c r="N1809" s="6" t="s">
        <v>122</v>
      </c>
      <c r="P1809" s="9"/>
    </row>
    <row r="1810">
      <c r="A1810" s="6" t="s">
        <v>4484</v>
      </c>
      <c r="B1810" s="6" t="s">
        <v>4485</v>
      </c>
      <c r="C1810" s="6" t="s">
        <v>43</v>
      </c>
      <c r="D1810" s="6" t="s">
        <v>4486</v>
      </c>
      <c r="E1810" s="6" t="s">
        <v>57</v>
      </c>
      <c r="F1810" s="6" t="s">
        <v>40</v>
      </c>
      <c r="G1810" s="7">
        <v>0.03</v>
      </c>
      <c r="H1810" s="6" t="s">
        <v>709</v>
      </c>
      <c r="I1810" s="6" t="s">
        <v>20</v>
      </c>
      <c r="J1810" s="6">
        <v>2017.0</v>
      </c>
      <c r="K1810" s="10">
        <v>46055.0</v>
      </c>
      <c r="L1810" s="6">
        <v>1.0</v>
      </c>
      <c r="M1810" s="8">
        <f t="shared" si="2"/>
        <v>0.03</v>
      </c>
      <c r="P1810" s="9"/>
    </row>
    <row r="1811">
      <c r="A1811" s="6" t="s">
        <v>4484</v>
      </c>
      <c r="B1811" s="6" t="s">
        <v>4485</v>
      </c>
      <c r="C1811" s="6" t="s">
        <v>43</v>
      </c>
      <c r="D1811" s="6" t="s">
        <v>4486</v>
      </c>
      <c r="E1811" s="6" t="s">
        <v>57</v>
      </c>
      <c r="F1811" s="6" t="s">
        <v>40</v>
      </c>
      <c r="G1811" s="7">
        <v>0.03</v>
      </c>
      <c r="H1811" s="6" t="s">
        <v>1076</v>
      </c>
      <c r="I1811" s="6" t="s">
        <v>20</v>
      </c>
      <c r="J1811" s="6">
        <v>2018.0</v>
      </c>
      <c r="K1811" s="10">
        <v>46055.0</v>
      </c>
      <c r="L1811" s="6">
        <v>7.0</v>
      </c>
      <c r="M1811" s="8">
        <f t="shared" si="2"/>
        <v>0.21</v>
      </c>
      <c r="P1811" s="9"/>
    </row>
    <row r="1812">
      <c r="A1812" s="6" t="s">
        <v>4487</v>
      </c>
      <c r="B1812" s="6" t="s">
        <v>625</v>
      </c>
      <c r="C1812" s="6" t="s">
        <v>43</v>
      </c>
      <c r="D1812" s="6" t="s">
        <v>4488</v>
      </c>
      <c r="E1812" s="6" t="s">
        <v>1027</v>
      </c>
      <c r="F1812" s="6" t="s">
        <v>77</v>
      </c>
      <c r="G1812" s="7">
        <v>0.05</v>
      </c>
      <c r="H1812" s="6" t="s">
        <v>187</v>
      </c>
      <c r="I1812" s="6" t="s">
        <v>20</v>
      </c>
      <c r="J1812" s="6">
        <v>1995.0</v>
      </c>
      <c r="K1812" s="10">
        <v>46083.0</v>
      </c>
      <c r="L1812" s="6">
        <v>2.0</v>
      </c>
      <c r="M1812" s="8">
        <f t="shared" si="2"/>
        <v>0.1</v>
      </c>
      <c r="P1812" s="9"/>
    </row>
    <row r="1813">
      <c r="A1813" s="6" t="s">
        <v>4489</v>
      </c>
      <c r="B1813" s="6" t="s">
        <v>4490</v>
      </c>
      <c r="C1813" s="6" t="s">
        <v>15</v>
      </c>
      <c r="D1813" s="6" t="s">
        <v>4491</v>
      </c>
      <c r="G1813" s="7">
        <v>0.25</v>
      </c>
      <c r="H1813" s="6" t="s">
        <v>19</v>
      </c>
      <c r="I1813" s="6" t="s">
        <v>20</v>
      </c>
      <c r="J1813" s="6">
        <v>2023.0</v>
      </c>
      <c r="K1813" s="10">
        <v>46083.0</v>
      </c>
      <c r="L1813" s="6">
        <v>2.0</v>
      </c>
      <c r="M1813" s="8">
        <f t="shared" si="2"/>
        <v>0.5</v>
      </c>
      <c r="P1813" s="9"/>
    </row>
    <row r="1814">
      <c r="A1814" s="6" t="s">
        <v>4489</v>
      </c>
      <c r="B1814" s="6" t="s">
        <v>4490</v>
      </c>
      <c r="C1814" s="6" t="s">
        <v>15</v>
      </c>
      <c r="D1814" s="6" t="s">
        <v>4491</v>
      </c>
      <c r="G1814" s="7">
        <v>0.18</v>
      </c>
      <c r="H1814" s="6" t="s">
        <v>19</v>
      </c>
      <c r="I1814" s="6" t="s">
        <v>20</v>
      </c>
      <c r="J1814" s="6">
        <v>2023.0</v>
      </c>
      <c r="K1814" s="10">
        <v>46083.0</v>
      </c>
      <c r="L1814" s="6">
        <v>1.0</v>
      </c>
      <c r="M1814" s="8">
        <f t="shared" si="2"/>
        <v>0.18</v>
      </c>
      <c r="P1814" s="9"/>
    </row>
    <row r="1815">
      <c r="A1815" s="6" t="s">
        <v>4492</v>
      </c>
      <c r="B1815" s="6" t="s">
        <v>119</v>
      </c>
      <c r="C1815" s="6" t="s">
        <v>204</v>
      </c>
      <c r="D1815" s="6" t="s">
        <v>4493</v>
      </c>
      <c r="E1815" s="6" t="s">
        <v>176</v>
      </c>
      <c r="F1815" s="6" t="s">
        <v>77</v>
      </c>
      <c r="G1815" s="7">
        <v>0.32</v>
      </c>
      <c r="H1815" s="6" t="s">
        <v>373</v>
      </c>
      <c r="I1815" s="6" t="s">
        <v>20</v>
      </c>
      <c r="J1815" s="6">
        <v>2015.0</v>
      </c>
      <c r="L1815" s="6">
        <v>3.0</v>
      </c>
      <c r="M1815" s="8">
        <f t="shared" si="2"/>
        <v>0.96</v>
      </c>
      <c r="P1815" s="9"/>
    </row>
    <row r="1816">
      <c r="A1816" s="6" t="s">
        <v>4494</v>
      </c>
      <c r="B1816" s="6" t="s">
        <v>74</v>
      </c>
      <c r="C1816" s="6" t="s">
        <v>43</v>
      </c>
      <c r="D1816" s="6" t="s">
        <v>4495</v>
      </c>
      <c r="E1816" s="6" t="s">
        <v>420</v>
      </c>
      <c r="F1816" s="6" t="s">
        <v>40</v>
      </c>
      <c r="G1816" s="7">
        <v>0.04</v>
      </c>
      <c r="H1816" s="6" t="s">
        <v>121</v>
      </c>
      <c r="I1816" s="6" t="s">
        <v>20</v>
      </c>
      <c r="J1816" s="6">
        <v>2021.0</v>
      </c>
      <c r="L1816" s="6">
        <v>1.0</v>
      </c>
      <c r="M1816" s="8">
        <f t="shared" si="2"/>
        <v>0.04</v>
      </c>
      <c r="P1816" s="9"/>
    </row>
    <row r="1817">
      <c r="A1817" s="6" t="s">
        <v>4496</v>
      </c>
      <c r="B1817" s="6" t="s">
        <v>219</v>
      </c>
      <c r="C1817" s="6" t="s">
        <v>43</v>
      </c>
      <c r="D1817" s="6" t="s">
        <v>4497</v>
      </c>
      <c r="E1817" s="6" t="s">
        <v>185</v>
      </c>
      <c r="F1817" s="6" t="s">
        <v>26</v>
      </c>
      <c r="G1817" s="7">
        <v>0.09</v>
      </c>
      <c r="H1817" s="6" t="s">
        <v>238</v>
      </c>
      <c r="I1817" s="6" t="s">
        <v>20</v>
      </c>
      <c r="J1817" s="6">
        <v>2024.0</v>
      </c>
      <c r="L1817" s="6">
        <v>1.0</v>
      </c>
      <c r="M1817" s="8">
        <f t="shared" si="2"/>
        <v>0.09</v>
      </c>
      <c r="P1817" s="9"/>
    </row>
    <row r="1818">
      <c r="A1818" s="6" t="s">
        <v>4498</v>
      </c>
      <c r="B1818" s="6" t="s">
        <v>606</v>
      </c>
      <c r="C1818" s="6" t="s">
        <v>15</v>
      </c>
      <c r="D1818" s="6" t="s">
        <v>4499</v>
      </c>
      <c r="E1818" s="6" t="s">
        <v>252</v>
      </c>
      <c r="F1818" s="6" t="s">
        <v>40</v>
      </c>
      <c r="G1818" s="7">
        <v>1.3</v>
      </c>
      <c r="H1818" s="6" t="s">
        <v>1784</v>
      </c>
      <c r="I1818" s="6" t="s">
        <v>20</v>
      </c>
      <c r="J1818" s="6">
        <v>2026.0</v>
      </c>
      <c r="L1818" s="6">
        <v>2.0</v>
      </c>
      <c r="M1818" s="8">
        <f t="shared" si="2"/>
        <v>2.6</v>
      </c>
      <c r="P1818" s="9"/>
    </row>
    <row r="1819">
      <c r="A1819" s="6" t="s">
        <v>4500</v>
      </c>
      <c r="B1819" s="6" t="s">
        <v>2270</v>
      </c>
      <c r="C1819" s="6" t="s">
        <v>43</v>
      </c>
      <c r="D1819" s="6" t="s">
        <v>4501</v>
      </c>
      <c r="E1819" s="6" t="s">
        <v>57</v>
      </c>
      <c r="F1819" s="6" t="s">
        <v>40</v>
      </c>
      <c r="G1819" s="7">
        <v>1.7</v>
      </c>
      <c r="H1819" s="6" t="s">
        <v>136</v>
      </c>
      <c r="I1819" s="6" t="s">
        <v>20</v>
      </c>
      <c r="J1819" s="6">
        <v>2026.0</v>
      </c>
      <c r="K1819" s="10">
        <v>46082.0</v>
      </c>
      <c r="L1819" s="6">
        <v>1.0</v>
      </c>
      <c r="M1819" s="8">
        <f t="shared" si="2"/>
        <v>1.7</v>
      </c>
      <c r="P1819" s="9"/>
    </row>
    <row r="1820">
      <c r="A1820" s="6" t="s">
        <v>4502</v>
      </c>
      <c r="B1820" s="6" t="s">
        <v>2270</v>
      </c>
      <c r="C1820" s="6" t="s">
        <v>37</v>
      </c>
      <c r="D1820" s="6" t="s">
        <v>4503</v>
      </c>
      <c r="E1820" s="6" t="s">
        <v>125</v>
      </c>
      <c r="F1820" s="6" t="s">
        <v>40</v>
      </c>
      <c r="G1820" s="7">
        <v>0.6</v>
      </c>
      <c r="H1820" s="6" t="s">
        <v>136</v>
      </c>
      <c r="I1820" s="6" t="s">
        <v>45</v>
      </c>
      <c r="J1820" s="6">
        <v>2026.0</v>
      </c>
      <c r="K1820" s="10">
        <v>46024.0</v>
      </c>
      <c r="L1820" s="6">
        <v>1.0</v>
      </c>
      <c r="M1820" s="8">
        <f t="shared" si="2"/>
        <v>0.6</v>
      </c>
      <c r="P1820" s="9"/>
    </row>
    <row r="1821">
      <c r="A1821" s="6" t="s">
        <v>4504</v>
      </c>
      <c r="B1821" s="6" t="s">
        <v>4505</v>
      </c>
      <c r="C1821" s="6" t="s">
        <v>23</v>
      </c>
      <c r="D1821" s="6" t="s">
        <v>4506</v>
      </c>
      <c r="E1821" s="6" t="s">
        <v>2390</v>
      </c>
      <c r="F1821" s="6" t="s">
        <v>40</v>
      </c>
      <c r="G1821" s="7">
        <v>0.06</v>
      </c>
      <c r="H1821" s="6" t="s">
        <v>130</v>
      </c>
      <c r="I1821" s="6" t="s">
        <v>20</v>
      </c>
      <c r="J1821" s="6">
        <v>2014.0</v>
      </c>
      <c r="K1821" s="10">
        <v>46024.0</v>
      </c>
      <c r="L1821" s="6">
        <v>2.0</v>
      </c>
      <c r="M1821" s="8">
        <f t="shared" si="2"/>
        <v>0.12</v>
      </c>
      <c r="P1821" s="9"/>
    </row>
    <row r="1822">
      <c r="A1822" s="6" t="s">
        <v>4507</v>
      </c>
      <c r="B1822" s="6" t="s">
        <v>74</v>
      </c>
      <c r="C1822" s="6" t="s">
        <v>43</v>
      </c>
      <c r="D1822" s="6" t="s">
        <v>4508</v>
      </c>
      <c r="E1822" s="6" t="s">
        <v>76</v>
      </c>
      <c r="F1822" s="6" t="s">
        <v>77</v>
      </c>
      <c r="G1822" s="7">
        <v>0.06</v>
      </c>
      <c r="H1822" s="6" t="s">
        <v>297</v>
      </c>
      <c r="I1822" s="6" t="s">
        <v>20</v>
      </c>
      <c r="J1822" s="6">
        <v>2022.0</v>
      </c>
      <c r="L1822" s="6">
        <v>1.0</v>
      </c>
      <c r="M1822" s="8">
        <f t="shared" si="2"/>
        <v>0.06</v>
      </c>
      <c r="P1822" s="9"/>
    </row>
    <row r="1823">
      <c r="A1823" s="6" t="s">
        <v>4509</v>
      </c>
      <c r="B1823" s="6" t="s">
        <v>162</v>
      </c>
      <c r="C1823" s="6" t="s">
        <v>43</v>
      </c>
      <c r="D1823" s="6" t="s">
        <v>4510</v>
      </c>
      <c r="E1823" s="6" t="s">
        <v>82</v>
      </c>
      <c r="F1823" s="6" t="s">
        <v>77</v>
      </c>
      <c r="G1823" s="7">
        <v>0.03</v>
      </c>
      <c r="H1823" s="6" t="s">
        <v>78</v>
      </c>
      <c r="I1823" s="6" t="s">
        <v>20</v>
      </c>
      <c r="J1823" s="6">
        <v>2018.0</v>
      </c>
      <c r="L1823" s="6">
        <v>1.0</v>
      </c>
      <c r="M1823" s="8">
        <f t="shared" si="2"/>
        <v>0.03</v>
      </c>
      <c r="P1823" s="9"/>
    </row>
    <row r="1824">
      <c r="A1824" s="6" t="s">
        <v>4511</v>
      </c>
      <c r="B1824" s="6" t="s">
        <v>4512</v>
      </c>
      <c r="C1824" s="6" t="s">
        <v>30</v>
      </c>
      <c r="D1824" s="6" t="s">
        <v>4513</v>
      </c>
      <c r="E1824" s="6" t="s">
        <v>1820</v>
      </c>
      <c r="F1824" s="6" t="s">
        <v>77</v>
      </c>
      <c r="G1824" s="7">
        <v>0.34</v>
      </c>
      <c r="H1824" s="6" t="s">
        <v>144</v>
      </c>
      <c r="I1824" s="6" t="s">
        <v>20</v>
      </c>
      <c r="J1824" s="6">
        <v>2018.0</v>
      </c>
      <c r="L1824" s="6">
        <v>1.0</v>
      </c>
      <c r="M1824" s="8">
        <f t="shared" si="2"/>
        <v>0.34</v>
      </c>
      <c r="P1824" s="9"/>
    </row>
    <row r="1825">
      <c r="A1825" s="6" t="s">
        <v>4514</v>
      </c>
      <c r="B1825" s="6" t="s">
        <v>4515</v>
      </c>
      <c r="C1825" s="6" t="s">
        <v>43</v>
      </c>
      <c r="D1825" s="6" t="s">
        <v>4516</v>
      </c>
      <c r="E1825" s="6" t="s">
        <v>135</v>
      </c>
      <c r="F1825" s="6" t="s">
        <v>40</v>
      </c>
      <c r="G1825" s="7">
        <v>0.25</v>
      </c>
      <c r="H1825" s="6" t="s">
        <v>746</v>
      </c>
      <c r="I1825" s="6" t="s">
        <v>45</v>
      </c>
      <c r="J1825" s="6">
        <v>2024.0</v>
      </c>
      <c r="K1825" s="10">
        <v>46054.0</v>
      </c>
      <c r="L1825" s="6">
        <v>4.0</v>
      </c>
      <c r="M1825" s="8">
        <f t="shared" si="2"/>
        <v>1</v>
      </c>
      <c r="P1825" s="9"/>
    </row>
    <row r="1826">
      <c r="A1826" s="6" t="s">
        <v>4517</v>
      </c>
      <c r="B1826" s="6" t="s">
        <v>494</v>
      </c>
      <c r="C1826" s="6" t="s">
        <v>43</v>
      </c>
      <c r="D1826" s="6" t="s">
        <v>4518</v>
      </c>
      <c r="E1826" s="6" t="s">
        <v>125</v>
      </c>
      <c r="F1826" s="6" t="s">
        <v>40</v>
      </c>
      <c r="G1826" s="7">
        <v>1.48</v>
      </c>
      <c r="H1826" s="6" t="s">
        <v>4519</v>
      </c>
      <c r="I1826" s="6" t="s">
        <v>20</v>
      </c>
      <c r="J1826" s="6">
        <v>2009.0</v>
      </c>
      <c r="L1826" s="6">
        <v>2.0</v>
      </c>
      <c r="M1826" s="8">
        <f t="shared" si="2"/>
        <v>2.96</v>
      </c>
      <c r="P1826" s="9"/>
    </row>
    <row r="1827">
      <c r="A1827" s="6" t="s">
        <v>4520</v>
      </c>
      <c r="B1827" s="6" t="s">
        <v>606</v>
      </c>
      <c r="C1827" s="6" t="s">
        <v>23</v>
      </c>
      <c r="D1827" s="6" t="s">
        <v>4521</v>
      </c>
      <c r="E1827" s="6" t="s">
        <v>1568</v>
      </c>
      <c r="F1827" s="6" t="s">
        <v>87</v>
      </c>
      <c r="G1827" s="7">
        <v>0.05</v>
      </c>
      <c r="H1827" s="6" t="s">
        <v>153</v>
      </c>
      <c r="I1827" s="6" t="s">
        <v>20</v>
      </c>
      <c r="J1827" s="6">
        <v>2025.0</v>
      </c>
      <c r="L1827" s="6">
        <v>11.0</v>
      </c>
      <c r="M1827" s="8">
        <f t="shared" si="2"/>
        <v>0.55</v>
      </c>
      <c r="P1827" s="9"/>
    </row>
    <row r="1828">
      <c r="A1828" s="6" t="s">
        <v>4522</v>
      </c>
      <c r="B1828" s="6" t="s">
        <v>4523</v>
      </c>
      <c r="C1828" s="6" t="s">
        <v>156</v>
      </c>
      <c r="D1828" s="6" t="s">
        <v>4524</v>
      </c>
      <c r="E1828" s="6" t="s">
        <v>4525</v>
      </c>
      <c r="F1828" s="6" t="s">
        <v>665</v>
      </c>
      <c r="G1828" s="7">
        <v>0.9</v>
      </c>
      <c r="H1828" s="6" t="s">
        <v>130</v>
      </c>
      <c r="I1828" s="6" t="s">
        <v>20</v>
      </c>
      <c r="J1828" s="6">
        <v>2014.0</v>
      </c>
      <c r="K1828" s="10">
        <v>46115.0</v>
      </c>
      <c r="L1828" s="6">
        <v>1.0</v>
      </c>
      <c r="M1828" s="8">
        <f t="shared" si="2"/>
        <v>0.9</v>
      </c>
      <c r="P1828" s="9"/>
    </row>
    <row r="1829">
      <c r="A1829" s="6" t="s">
        <v>4526</v>
      </c>
      <c r="B1829" s="6" t="s">
        <v>606</v>
      </c>
      <c r="C1829" s="6" t="s">
        <v>15</v>
      </c>
      <c r="D1829" s="6" t="s">
        <v>4527</v>
      </c>
      <c r="E1829" s="6" t="s">
        <v>3277</v>
      </c>
      <c r="F1829" s="6" t="s">
        <v>665</v>
      </c>
      <c r="G1829" s="7">
        <v>0.44</v>
      </c>
      <c r="H1829" s="6" t="s">
        <v>130</v>
      </c>
      <c r="I1829" s="6" t="s">
        <v>20</v>
      </c>
      <c r="J1829" s="6">
        <v>2014.0</v>
      </c>
      <c r="L1829" s="6">
        <v>1.0</v>
      </c>
      <c r="M1829" s="8">
        <f t="shared" si="2"/>
        <v>0.44</v>
      </c>
      <c r="P1829" s="9"/>
    </row>
    <row r="1830">
      <c r="A1830" s="6" t="s">
        <v>4528</v>
      </c>
      <c r="B1830" s="6" t="s">
        <v>4529</v>
      </c>
      <c r="C1830" s="6" t="s">
        <v>37</v>
      </c>
      <c r="D1830" s="6" t="s">
        <v>4530</v>
      </c>
      <c r="E1830" s="6" t="s">
        <v>86</v>
      </c>
      <c r="F1830" s="6" t="s">
        <v>87</v>
      </c>
      <c r="G1830" s="7">
        <v>0.1</v>
      </c>
      <c r="H1830" s="6" t="s">
        <v>266</v>
      </c>
      <c r="I1830" s="6" t="s">
        <v>20</v>
      </c>
      <c r="J1830" s="6">
        <v>2025.0</v>
      </c>
      <c r="K1830" s="10">
        <v>46024.0</v>
      </c>
      <c r="L1830" s="6">
        <v>1.0</v>
      </c>
      <c r="M1830" s="8">
        <f t="shared" si="2"/>
        <v>0.1</v>
      </c>
      <c r="P1830" s="9"/>
    </row>
    <row r="1831">
      <c r="A1831" s="6" t="s">
        <v>4531</v>
      </c>
      <c r="B1831" s="6" t="s">
        <v>74</v>
      </c>
      <c r="C1831" s="6" t="s">
        <v>43</v>
      </c>
      <c r="D1831" s="6" t="s">
        <v>4532</v>
      </c>
      <c r="E1831" s="6" t="s">
        <v>86</v>
      </c>
      <c r="F1831" s="6" t="s">
        <v>87</v>
      </c>
      <c r="G1831" s="7">
        <v>0.15</v>
      </c>
      <c r="H1831" s="6" t="s">
        <v>99</v>
      </c>
      <c r="I1831" s="6" t="s">
        <v>20</v>
      </c>
      <c r="J1831" s="6">
        <v>2022.0</v>
      </c>
      <c r="L1831" s="6">
        <v>1.0</v>
      </c>
      <c r="M1831" s="8">
        <f t="shared" si="2"/>
        <v>0.15</v>
      </c>
      <c r="P1831" s="9"/>
    </row>
    <row r="1832">
      <c r="A1832" s="6" t="s">
        <v>4531</v>
      </c>
      <c r="B1832" s="6" t="s">
        <v>74</v>
      </c>
      <c r="C1832" s="6" t="s">
        <v>37</v>
      </c>
      <c r="D1832" s="6" t="s">
        <v>4532</v>
      </c>
      <c r="E1832" s="6" t="s">
        <v>86</v>
      </c>
      <c r="F1832" s="6" t="s">
        <v>87</v>
      </c>
      <c r="G1832" s="7">
        <v>0.1</v>
      </c>
      <c r="H1832" s="6" t="s">
        <v>709</v>
      </c>
      <c r="I1832" s="6" t="s">
        <v>20</v>
      </c>
      <c r="J1832" s="6">
        <v>2017.0</v>
      </c>
      <c r="L1832" s="6">
        <v>2.0</v>
      </c>
      <c r="M1832" s="8">
        <f t="shared" si="2"/>
        <v>0.2</v>
      </c>
      <c r="P1832" s="9"/>
    </row>
    <row r="1833">
      <c r="A1833" s="6" t="s">
        <v>4533</v>
      </c>
      <c r="B1833" s="6" t="s">
        <v>606</v>
      </c>
      <c r="C1833" s="6" t="s">
        <v>23</v>
      </c>
      <c r="D1833" s="6" t="s">
        <v>4534</v>
      </c>
      <c r="E1833" s="6" t="s">
        <v>1010</v>
      </c>
      <c r="F1833" s="6" t="s">
        <v>87</v>
      </c>
      <c r="G1833" s="7">
        <v>0.13</v>
      </c>
      <c r="H1833" s="6" t="s">
        <v>27</v>
      </c>
      <c r="I1833" s="6" t="s">
        <v>20</v>
      </c>
      <c r="J1833" s="6">
        <v>2026.0</v>
      </c>
      <c r="L1833" s="6">
        <v>2.0</v>
      </c>
      <c r="M1833" s="8">
        <f t="shared" si="2"/>
        <v>0.26</v>
      </c>
      <c r="P1833" s="9"/>
    </row>
    <row r="1834">
      <c r="A1834" s="6" t="s">
        <v>4535</v>
      </c>
      <c r="B1834" s="6" t="s">
        <v>4536</v>
      </c>
      <c r="C1834" s="6" t="s">
        <v>377</v>
      </c>
      <c r="D1834" s="6" t="s">
        <v>4537</v>
      </c>
      <c r="E1834" s="6" t="s">
        <v>1027</v>
      </c>
      <c r="F1834" s="6" t="s">
        <v>77</v>
      </c>
      <c r="G1834" s="7">
        <v>0.46</v>
      </c>
      <c r="H1834" s="6" t="s">
        <v>1392</v>
      </c>
      <c r="I1834" s="6" t="s">
        <v>20</v>
      </c>
      <c r="J1834" s="6">
        <v>2014.0</v>
      </c>
      <c r="K1834" s="10">
        <v>46024.0</v>
      </c>
      <c r="L1834" s="6">
        <v>4.0</v>
      </c>
      <c r="M1834" s="8">
        <f t="shared" si="2"/>
        <v>1.84</v>
      </c>
      <c r="P1834" s="9"/>
    </row>
    <row r="1835">
      <c r="A1835" s="6" t="s">
        <v>4538</v>
      </c>
      <c r="B1835" s="6" t="s">
        <v>74</v>
      </c>
      <c r="C1835" s="6" t="s">
        <v>37</v>
      </c>
      <c r="D1835" s="6" t="s">
        <v>4539</v>
      </c>
      <c r="E1835" s="6" t="s">
        <v>76</v>
      </c>
      <c r="F1835" s="6" t="s">
        <v>77</v>
      </c>
      <c r="G1835" s="7">
        <v>0.29</v>
      </c>
      <c r="H1835" s="6" t="s">
        <v>290</v>
      </c>
      <c r="I1835" s="6" t="s">
        <v>20</v>
      </c>
      <c r="J1835" s="6">
        <v>2019.0</v>
      </c>
      <c r="L1835" s="6">
        <v>2.0</v>
      </c>
      <c r="M1835" s="8">
        <f t="shared" si="2"/>
        <v>0.58</v>
      </c>
      <c r="P1835" s="9"/>
    </row>
    <row r="1836">
      <c r="A1836" s="6" t="s">
        <v>4540</v>
      </c>
      <c r="B1836" s="6" t="s">
        <v>625</v>
      </c>
      <c r="C1836" s="6" t="s">
        <v>43</v>
      </c>
      <c r="D1836" s="6" t="s">
        <v>4541</v>
      </c>
      <c r="E1836" s="6" t="s">
        <v>1027</v>
      </c>
      <c r="F1836" s="6" t="s">
        <v>77</v>
      </c>
      <c r="G1836" s="7">
        <v>0.05</v>
      </c>
      <c r="H1836" s="6" t="s">
        <v>187</v>
      </c>
      <c r="I1836" s="6" t="s">
        <v>20</v>
      </c>
      <c r="J1836" s="6">
        <v>1995.0</v>
      </c>
      <c r="K1836" s="10">
        <v>46083.0</v>
      </c>
      <c r="L1836" s="6">
        <v>1.0</v>
      </c>
      <c r="M1836" s="8">
        <f t="shared" si="2"/>
        <v>0.05</v>
      </c>
      <c r="P1836" s="9"/>
    </row>
    <row r="1837">
      <c r="A1837" s="6" t="s">
        <v>4542</v>
      </c>
      <c r="B1837" s="6" t="s">
        <v>657</v>
      </c>
      <c r="C1837" s="6" t="s">
        <v>15</v>
      </c>
      <c r="D1837" s="6" t="s">
        <v>4543</v>
      </c>
      <c r="E1837" s="6">
        <v>4.0</v>
      </c>
      <c r="F1837" s="6" t="s">
        <v>26</v>
      </c>
      <c r="G1837" s="7">
        <v>0.15</v>
      </c>
      <c r="H1837" s="6" t="s">
        <v>153</v>
      </c>
      <c r="I1837" s="6" t="s">
        <v>20</v>
      </c>
      <c r="J1837" s="6">
        <v>2025.0</v>
      </c>
      <c r="L1837" s="6">
        <v>1.0</v>
      </c>
      <c r="M1837" s="8">
        <f t="shared" si="2"/>
        <v>0.15</v>
      </c>
      <c r="P1837" s="9"/>
    </row>
    <row r="1838">
      <c r="A1838" s="6" t="s">
        <v>4544</v>
      </c>
      <c r="B1838" s="6" t="s">
        <v>2270</v>
      </c>
      <c r="C1838" s="6" t="s">
        <v>37</v>
      </c>
      <c r="D1838" s="6" t="s">
        <v>4545</v>
      </c>
      <c r="E1838" s="6" t="s">
        <v>135</v>
      </c>
      <c r="F1838" s="6" t="s">
        <v>40</v>
      </c>
      <c r="G1838" s="7">
        <v>0.1</v>
      </c>
      <c r="H1838" s="6" t="s">
        <v>136</v>
      </c>
      <c r="I1838" s="6" t="s">
        <v>20</v>
      </c>
      <c r="J1838" s="6">
        <v>2026.0</v>
      </c>
      <c r="K1838" s="10">
        <v>46024.0</v>
      </c>
      <c r="L1838" s="6">
        <v>4.0</v>
      </c>
      <c r="M1838" s="8">
        <f t="shared" si="2"/>
        <v>0.4</v>
      </c>
      <c r="P1838" s="9"/>
    </row>
    <row r="1839">
      <c r="A1839" s="6" t="s">
        <v>4546</v>
      </c>
      <c r="B1839" s="6" t="s">
        <v>219</v>
      </c>
      <c r="C1839" s="6" t="s">
        <v>37</v>
      </c>
      <c r="D1839" s="6" t="s">
        <v>4547</v>
      </c>
      <c r="E1839" s="6" t="s">
        <v>994</v>
      </c>
      <c r="F1839" s="6" t="s">
        <v>26</v>
      </c>
      <c r="G1839" s="7">
        <v>0.09</v>
      </c>
      <c r="H1839" s="6" t="s">
        <v>141</v>
      </c>
      <c r="I1839" s="6" t="s">
        <v>20</v>
      </c>
      <c r="J1839" s="6">
        <v>1995.0</v>
      </c>
      <c r="L1839" s="6">
        <v>2.0</v>
      </c>
      <c r="M1839" s="8">
        <f t="shared" si="2"/>
        <v>0.18</v>
      </c>
      <c r="P1839" s="9"/>
    </row>
    <row r="1840">
      <c r="A1840" s="6" t="s">
        <v>4548</v>
      </c>
      <c r="B1840" s="6" t="s">
        <v>146</v>
      </c>
      <c r="C1840" s="6" t="s">
        <v>37</v>
      </c>
      <c r="D1840" s="6" t="s">
        <v>4549</v>
      </c>
      <c r="E1840" s="6" t="s">
        <v>86</v>
      </c>
      <c r="F1840" s="6" t="s">
        <v>87</v>
      </c>
      <c r="G1840" s="7">
        <v>0.14</v>
      </c>
      <c r="H1840" s="6" t="s">
        <v>148</v>
      </c>
      <c r="I1840" s="6" t="s">
        <v>20</v>
      </c>
      <c r="J1840" s="6">
        <v>2026.0</v>
      </c>
      <c r="L1840" s="6">
        <v>1.0</v>
      </c>
      <c r="M1840" s="8">
        <f t="shared" si="2"/>
        <v>0.14</v>
      </c>
      <c r="P1840" s="9"/>
    </row>
    <row r="1841">
      <c r="A1841" s="6" t="s">
        <v>4550</v>
      </c>
      <c r="B1841" s="6" t="s">
        <v>1941</v>
      </c>
      <c r="C1841" s="6" t="s">
        <v>43</v>
      </c>
      <c r="D1841" s="6" t="s">
        <v>4551</v>
      </c>
      <c r="E1841" s="6" t="s">
        <v>389</v>
      </c>
      <c r="F1841" s="6" t="s">
        <v>87</v>
      </c>
      <c r="G1841" s="7">
        <v>0.13</v>
      </c>
      <c r="H1841" s="6" t="s">
        <v>113</v>
      </c>
      <c r="I1841" s="6" t="s">
        <v>20</v>
      </c>
      <c r="J1841" s="6">
        <v>2023.0</v>
      </c>
      <c r="K1841" s="10">
        <v>46056.0</v>
      </c>
      <c r="L1841" s="6">
        <v>1.0</v>
      </c>
      <c r="M1841" s="8">
        <f t="shared" si="2"/>
        <v>0.13</v>
      </c>
      <c r="P1841" s="9"/>
    </row>
    <row r="1842">
      <c r="A1842" s="6" t="s">
        <v>4552</v>
      </c>
      <c r="B1842" s="6" t="s">
        <v>4553</v>
      </c>
      <c r="C1842" s="6" t="s">
        <v>43</v>
      </c>
      <c r="D1842" s="6" t="s">
        <v>4554</v>
      </c>
      <c r="E1842" s="6" t="s">
        <v>57</v>
      </c>
      <c r="F1842" s="6" t="s">
        <v>40</v>
      </c>
      <c r="G1842" s="7">
        <v>0.05</v>
      </c>
      <c r="H1842" s="6" t="s">
        <v>475</v>
      </c>
      <c r="I1842" s="6" t="s">
        <v>20</v>
      </c>
      <c r="J1842" s="6">
        <v>2024.0</v>
      </c>
      <c r="K1842" s="10">
        <v>46024.0</v>
      </c>
      <c r="L1842" s="6">
        <v>1.0</v>
      </c>
      <c r="M1842" s="8">
        <f t="shared" si="2"/>
        <v>0.05</v>
      </c>
      <c r="P1842" s="9"/>
    </row>
    <row r="1843">
      <c r="A1843" s="6" t="s">
        <v>4555</v>
      </c>
      <c r="B1843" s="6" t="s">
        <v>2880</v>
      </c>
      <c r="C1843" s="6" t="s">
        <v>37</v>
      </c>
      <c r="D1843" s="6" t="s">
        <v>4556</v>
      </c>
      <c r="E1843" s="6" t="s">
        <v>994</v>
      </c>
      <c r="F1843" s="6" t="s">
        <v>26</v>
      </c>
      <c r="G1843" s="7">
        <v>0.75</v>
      </c>
      <c r="H1843" s="6" t="s">
        <v>453</v>
      </c>
      <c r="I1843" s="6" t="s">
        <v>20</v>
      </c>
      <c r="J1843" s="6">
        <v>1994.0</v>
      </c>
      <c r="K1843" s="6" t="s">
        <v>4557</v>
      </c>
      <c r="L1843" s="6">
        <v>1.0</v>
      </c>
      <c r="M1843" s="8">
        <f t="shared" si="2"/>
        <v>0.75</v>
      </c>
      <c r="P1843" s="9"/>
    </row>
    <row r="1844">
      <c r="A1844" s="6" t="s">
        <v>4558</v>
      </c>
      <c r="B1844" s="6" t="s">
        <v>14</v>
      </c>
      <c r="C1844" s="6" t="s">
        <v>15</v>
      </c>
      <c r="D1844" s="6" t="s">
        <v>4559</v>
      </c>
      <c r="E1844" s="6" t="s">
        <v>1131</v>
      </c>
      <c r="F1844" s="6" t="s">
        <v>87</v>
      </c>
      <c r="G1844" s="7">
        <v>0.21</v>
      </c>
      <c r="H1844" s="6" t="s">
        <v>19</v>
      </c>
      <c r="I1844" s="6" t="s">
        <v>20</v>
      </c>
      <c r="J1844" s="6">
        <v>2023.0</v>
      </c>
      <c r="L1844" s="6">
        <v>2.0</v>
      </c>
      <c r="M1844" s="8">
        <f t="shared" si="2"/>
        <v>0.42</v>
      </c>
      <c r="P1844" s="9"/>
    </row>
    <row r="1845">
      <c r="A1845" s="6" t="s">
        <v>4560</v>
      </c>
      <c r="B1845" s="6" t="s">
        <v>2234</v>
      </c>
      <c r="C1845" s="6" t="s">
        <v>43</v>
      </c>
      <c r="D1845" s="6" t="s">
        <v>4561</v>
      </c>
      <c r="E1845" s="6" t="s">
        <v>329</v>
      </c>
      <c r="F1845" s="6" t="s">
        <v>112</v>
      </c>
      <c r="G1845" s="7">
        <v>0.04</v>
      </c>
      <c r="H1845" s="6" t="s">
        <v>421</v>
      </c>
      <c r="I1845" s="6" t="s">
        <v>20</v>
      </c>
      <c r="J1845" s="6">
        <v>2000.0</v>
      </c>
      <c r="K1845" s="10">
        <v>46055.0</v>
      </c>
      <c r="L1845" s="6">
        <v>1.0</v>
      </c>
      <c r="M1845" s="8">
        <f t="shared" si="2"/>
        <v>0.04</v>
      </c>
      <c r="P1845" s="9"/>
    </row>
    <row r="1846">
      <c r="A1846" s="6" t="s">
        <v>4562</v>
      </c>
      <c r="B1846" s="6" t="s">
        <v>4563</v>
      </c>
      <c r="C1846" s="6" t="s">
        <v>309</v>
      </c>
      <c r="D1846" s="6" t="s">
        <v>4564</v>
      </c>
      <c r="E1846" s="6" t="s">
        <v>4565</v>
      </c>
      <c r="F1846" s="6" t="s">
        <v>159</v>
      </c>
      <c r="G1846" s="7">
        <v>1.35</v>
      </c>
      <c r="H1846" s="6" t="s">
        <v>4566</v>
      </c>
      <c r="I1846" s="6" t="s">
        <v>20</v>
      </c>
      <c r="K1846" s="10">
        <v>46082.0</v>
      </c>
      <c r="L1846" s="6">
        <v>1.0</v>
      </c>
      <c r="M1846" s="8">
        <f t="shared" si="2"/>
        <v>1.35</v>
      </c>
      <c r="P1846" s="9"/>
    </row>
    <row r="1847">
      <c r="A1847" s="6" t="s">
        <v>4567</v>
      </c>
      <c r="B1847" s="6" t="s">
        <v>2783</v>
      </c>
      <c r="C1847" s="6" t="s">
        <v>37</v>
      </c>
      <c r="D1847" s="6" t="s">
        <v>4568</v>
      </c>
      <c r="E1847" s="6" t="s">
        <v>579</v>
      </c>
      <c r="F1847" s="6" t="s">
        <v>112</v>
      </c>
      <c r="G1847" s="7">
        <v>0.04</v>
      </c>
      <c r="H1847" s="6" t="s">
        <v>1287</v>
      </c>
      <c r="I1847" s="6" t="s">
        <v>20</v>
      </c>
      <c r="J1847" s="6">
        <v>2021.0</v>
      </c>
      <c r="K1847" s="10">
        <v>46059.0</v>
      </c>
      <c r="L1847" s="6">
        <v>1.0</v>
      </c>
      <c r="M1847" s="8">
        <f t="shared" si="2"/>
        <v>0.04</v>
      </c>
      <c r="P1847" s="9"/>
    </row>
    <row r="1848">
      <c r="A1848" s="6" t="s">
        <v>4569</v>
      </c>
      <c r="B1848" s="6" t="s">
        <v>967</v>
      </c>
      <c r="C1848" s="6" t="s">
        <v>15</v>
      </c>
      <c r="D1848" s="6" t="s">
        <v>4570</v>
      </c>
      <c r="E1848" s="6" t="s">
        <v>4571</v>
      </c>
      <c r="F1848" s="6" t="s">
        <v>64</v>
      </c>
      <c r="G1848" s="7">
        <v>0.23</v>
      </c>
      <c r="H1848" s="6" t="s">
        <v>153</v>
      </c>
      <c r="I1848" s="6" t="s">
        <v>20</v>
      </c>
      <c r="J1848" s="6">
        <v>2025.0</v>
      </c>
      <c r="K1848" s="10">
        <v>46083.0</v>
      </c>
      <c r="L1848" s="6">
        <v>4.0</v>
      </c>
      <c r="M1848" s="8">
        <f t="shared" si="2"/>
        <v>0.92</v>
      </c>
      <c r="P1848" s="9"/>
    </row>
    <row r="1849">
      <c r="A1849" s="6" t="s">
        <v>4572</v>
      </c>
      <c r="B1849" s="6" t="s">
        <v>4573</v>
      </c>
      <c r="C1849" s="6" t="s">
        <v>23</v>
      </c>
      <c r="D1849" s="6" t="s">
        <v>4574</v>
      </c>
      <c r="E1849" s="6" t="s">
        <v>2390</v>
      </c>
      <c r="F1849" s="6" t="s">
        <v>40</v>
      </c>
      <c r="G1849" s="7">
        <v>0.94</v>
      </c>
      <c r="H1849" s="6" t="s">
        <v>130</v>
      </c>
      <c r="I1849" s="6" t="s">
        <v>20</v>
      </c>
      <c r="J1849" s="6">
        <v>2014.0</v>
      </c>
      <c r="K1849" s="10">
        <v>46024.0</v>
      </c>
      <c r="L1849" s="6">
        <v>1.0</v>
      </c>
      <c r="M1849" s="8">
        <f t="shared" si="2"/>
        <v>0.94</v>
      </c>
      <c r="P1849" s="9"/>
    </row>
    <row r="1850">
      <c r="A1850" s="6" t="s">
        <v>4575</v>
      </c>
      <c r="B1850" s="6" t="s">
        <v>4576</v>
      </c>
      <c r="C1850" s="6" t="s">
        <v>37</v>
      </c>
      <c r="D1850" s="6" t="s">
        <v>4577</v>
      </c>
      <c r="E1850" s="6" t="s">
        <v>887</v>
      </c>
      <c r="F1850" s="6" t="s">
        <v>159</v>
      </c>
      <c r="G1850" s="7">
        <v>0.15</v>
      </c>
      <c r="H1850" s="6" t="s">
        <v>34</v>
      </c>
      <c r="I1850" s="6" t="s">
        <v>20</v>
      </c>
      <c r="J1850" s="6">
        <v>2025.0</v>
      </c>
      <c r="K1850" s="10">
        <v>46083.0</v>
      </c>
      <c r="L1850" s="6">
        <v>1.0</v>
      </c>
      <c r="M1850" s="8">
        <f t="shared" si="2"/>
        <v>0.15</v>
      </c>
      <c r="P1850" s="9"/>
    </row>
    <row r="1851">
      <c r="A1851" s="6" t="s">
        <v>4578</v>
      </c>
      <c r="B1851" s="6" t="s">
        <v>74</v>
      </c>
      <c r="C1851" s="6" t="s">
        <v>37</v>
      </c>
      <c r="D1851" s="6" t="s">
        <v>4579</v>
      </c>
      <c r="E1851" s="6" t="s">
        <v>76</v>
      </c>
      <c r="F1851" s="6" t="s">
        <v>77</v>
      </c>
      <c r="G1851" s="7">
        <v>0.25</v>
      </c>
      <c r="H1851" s="6" t="s">
        <v>238</v>
      </c>
      <c r="I1851" s="6" t="s">
        <v>20</v>
      </c>
      <c r="J1851" s="6">
        <v>2024.0</v>
      </c>
      <c r="L1851" s="6">
        <v>1.0</v>
      </c>
      <c r="M1851" s="8">
        <f t="shared" si="2"/>
        <v>0.25</v>
      </c>
      <c r="P1851" s="9"/>
    </row>
    <row r="1852">
      <c r="A1852" s="6" t="s">
        <v>4580</v>
      </c>
      <c r="B1852" s="6" t="s">
        <v>14</v>
      </c>
      <c r="C1852" s="6" t="s">
        <v>15</v>
      </c>
      <c r="D1852" s="6" t="s">
        <v>4581</v>
      </c>
      <c r="E1852" s="6" t="s">
        <v>179</v>
      </c>
      <c r="F1852" s="6" t="s">
        <v>112</v>
      </c>
      <c r="G1852" s="7">
        <v>0.2</v>
      </c>
      <c r="H1852" s="6" t="s">
        <v>19</v>
      </c>
      <c r="I1852" s="6" t="s">
        <v>20</v>
      </c>
      <c r="J1852" s="6">
        <v>2023.0</v>
      </c>
      <c r="L1852" s="6">
        <v>1.0</v>
      </c>
      <c r="M1852" s="8">
        <f t="shared" si="2"/>
        <v>0.2</v>
      </c>
      <c r="P1852" s="9"/>
    </row>
    <row r="1853">
      <c r="A1853" s="6" t="s">
        <v>4582</v>
      </c>
      <c r="B1853" s="6" t="s">
        <v>462</v>
      </c>
      <c r="C1853" s="6" t="s">
        <v>309</v>
      </c>
      <c r="D1853" s="6" t="s">
        <v>4583</v>
      </c>
      <c r="E1853" s="6" t="s">
        <v>4584</v>
      </c>
      <c r="F1853" s="6" t="s">
        <v>697</v>
      </c>
      <c r="G1853" s="7">
        <v>6.8</v>
      </c>
      <c r="H1853" s="6" t="s">
        <v>2041</v>
      </c>
      <c r="I1853" s="6" t="s">
        <v>20</v>
      </c>
      <c r="J1853" s="6">
        <v>1998.0</v>
      </c>
      <c r="L1853" s="6">
        <v>1.0</v>
      </c>
      <c r="M1853" s="8">
        <f t="shared" si="2"/>
        <v>6.8</v>
      </c>
      <c r="P1853" s="9"/>
    </row>
    <row r="1854">
      <c r="A1854" s="6" t="s">
        <v>4585</v>
      </c>
      <c r="B1854" s="6" t="s">
        <v>361</v>
      </c>
      <c r="C1854" s="6" t="s">
        <v>43</v>
      </c>
      <c r="E1854" s="6" t="s">
        <v>39</v>
      </c>
      <c r="F1854" s="6" t="s">
        <v>40</v>
      </c>
      <c r="G1854" s="7">
        <v>0.03</v>
      </c>
      <c r="H1854" s="6" t="s">
        <v>709</v>
      </c>
      <c r="I1854" s="6" t="s">
        <v>20</v>
      </c>
      <c r="J1854" s="6">
        <v>2017.0</v>
      </c>
      <c r="K1854" s="10">
        <v>46204.0</v>
      </c>
      <c r="L1854" s="6">
        <v>1.0</v>
      </c>
      <c r="M1854" s="8">
        <f t="shared" si="2"/>
        <v>0.03</v>
      </c>
      <c r="P1854" s="9"/>
    </row>
    <row r="1855">
      <c r="A1855" s="6" t="s">
        <v>4586</v>
      </c>
      <c r="B1855" s="6" t="s">
        <v>4587</v>
      </c>
      <c r="C1855" s="6" t="s">
        <v>23</v>
      </c>
      <c r="D1855" s="6" t="s">
        <v>4588</v>
      </c>
      <c r="E1855" s="6" t="s">
        <v>457</v>
      </c>
      <c r="F1855" s="6" t="s">
        <v>112</v>
      </c>
      <c r="G1855" s="7">
        <v>0.1</v>
      </c>
      <c r="H1855" s="6" t="s">
        <v>153</v>
      </c>
      <c r="I1855" s="6" t="s">
        <v>20</v>
      </c>
      <c r="J1855" s="6">
        <v>2025.0</v>
      </c>
      <c r="K1855" s="10">
        <v>46056.0</v>
      </c>
      <c r="L1855" s="6">
        <v>2.0</v>
      </c>
      <c r="M1855" s="8">
        <f t="shared" si="2"/>
        <v>0.2</v>
      </c>
      <c r="P1855" s="9"/>
    </row>
    <row r="1856">
      <c r="A1856" s="6" t="s">
        <v>4589</v>
      </c>
      <c r="B1856" s="6" t="s">
        <v>4590</v>
      </c>
      <c r="C1856" s="6" t="s">
        <v>37</v>
      </c>
      <c r="D1856" s="6" t="s">
        <v>4591</v>
      </c>
      <c r="E1856" s="6" t="s">
        <v>248</v>
      </c>
      <c r="F1856" s="6" t="s">
        <v>77</v>
      </c>
      <c r="G1856" s="7">
        <v>0.11</v>
      </c>
      <c r="H1856" s="6" t="s">
        <v>136</v>
      </c>
      <c r="I1856" s="6" t="s">
        <v>20</v>
      </c>
      <c r="J1856" s="6">
        <v>2026.0</v>
      </c>
      <c r="K1856" s="10">
        <v>46056.0</v>
      </c>
      <c r="L1856" s="6">
        <v>2.0</v>
      </c>
      <c r="M1856" s="8">
        <f t="shared" si="2"/>
        <v>0.22</v>
      </c>
      <c r="P1856" s="9"/>
    </row>
    <row r="1857">
      <c r="A1857" s="6" t="s">
        <v>4592</v>
      </c>
      <c r="B1857" s="6" t="s">
        <v>529</v>
      </c>
      <c r="C1857" s="6" t="s">
        <v>30</v>
      </c>
      <c r="D1857" s="6" t="s">
        <v>4593</v>
      </c>
      <c r="E1857" s="6" t="s">
        <v>4594</v>
      </c>
      <c r="F1857" s="6" t="s">
        <v>77</v>
      </c>
      <c r="G1857" s="7">
        <v>2.49</v>
      </c>
      <c r="H1857" s="6" t="s">
        <v>83</v>
      </c>
      <c r="I1857" s="6" t="s">
        <v>20</v>
      </c>
      <c r="J1857" s="6">
        <v>1995.0</v>
      </c>
      <c r="K1857" s="10">
        <v>46210.0</v>
      </c>
      <c r="L1857" s="6">
        <v>1.0</v>
      </c>
      <c r="M1857" s="8">
        <f t="shared" si="2"/>
        <v>2.49</v>
      </c>
      <c r="P1857" s="9"/>
    </row>
    <row r="1858">
      <c r="A1858" s="6" t="s">
        <v>4595</v>
      </c>
      <c r="B1858" s="6" t="s">
        <v>4596</v>
      </c>
      <c r="C1858" s="6" t="s">
        <v>30</v>
      </c>
      <c r="D1858" s="6" t="s">
        <v>4597</v>
      </c>
      <c r="E1858" s="6" t="s">
        <v>4598</v>
      </c>
      <c r="F1858" s="6" t="s">
        <v>4599</v>
      </c>
      <c r="G1858" s="7">
        <v>5.74</v>
      </c>
      <c r="H1858" s="6" t="s">
        <v>206</v>
      </c>
      <c r="I1858" s="6" t="s">
        <v>20</v>
      </c>
      <c r="J1858" s="6">
        <v>1996.0</v>
      </c>
      <c r="K1858" s="10">
        <v>46122.0</v>
      </c>
      <c r="L1858" s="6">
        <v>1.0</v>
      </c>
      <c r="M1858" s="8">
        <f t="shared" si="2"/>
        <v>5.74</v>
      </c>
      <c r="N1858" s="6" t="s">
        <v>122</v>
      </c>
      <c r="P1858" s="9"/>
    </row>
    <row r="1859">
      <c r="A1859" s="6" t="s">
        <v>4600</v>
      </c>
      <c r="B1859" s="6" t="s">
        <v>4601</v>
      </c>
      <c r="C1859" s="6" t="s">
        <v>37</v>
      </c>
      <c r="D1859" s="6" t="s">
        <v>4602</v>
      </c>
      <c r="E1859" s="6" t="s">
        <v>57</v>
      </c>
      <c r="F1859" s="6" t="s">
        <v>40</v>
      </c>
      <c r="G1859" s="7">
        <v>13.95</v>
      </c>
      <c r="H1859" s="6" t="s">
        <v>113</v>
      </c>
      <c r="I1859" s="6" t="s">
        <v>20</v>
      </c>
      <c r="J1859" s="6">
        <v>2023.0</v>
      </c>
      <c r="K1859" s="10">
        <v>46114.0</v>
      </c>
      <c r="L1859" s="6">
        <v>1.0</v>
      </c>
      <c r="M1859" s="8">
        <f t="shared" si="2"/>
        <v>13.95</v>
      </c>
      <c r="N1859" s="6" t="s">
        <v>122</v>
      </c>
      <c r="P1859" s="9"/>
    </row>
    <row r="1860">
      <c r="A1860" s="6" t="s">
        <v>4603</v>
      </c>
      <c r="B1860" s="6" t="s">
        <v>47</v>
      </c>
      <c r="C1860" s="6" t="s">
        <v>43</v>
      </c>
      <c r="D1860" s="6" t="s">
        <v>4604</v>
      </c>
      <c r="E1860" s="6" t="s">
        <v>654</v>
      </c>
      <c r="F1860" s="6" t="s">
        <v>18</v>
      </c>
      <c r="G1860" s="7">
        <v>0.1</v>
      </c>
      <c r="H1860" s="6" t="s">
        <v>34</v>
      </c>
      <c r="I1860" s="6" t="s">
        <v>20</v>
      </c>
      <c r="J1860" s="6">
        <v>2025.0</v>
      </c>
      <c r="L1860" s="6">
        <v>2.0</v>
      </c>
      <c r="M1860" s="8">
        <f t="shared" si="2"/>
        <v>0.2</v>
      </c>
      <c r="P1860" s="9"/>
    </row>
    <row r="1861">
      <c r="A1861" s="6" t="s">
        <v>4605</v>
      </c>
      <c r="B1861" s="6" t="s">
        <v>4606</v>
      </c>
      <c r="C1861" s="6" t="s">
        <v>43</v>
      </c>
      <c r="D1861" s="6" t="s">
        <v>4607</v>
      </c>
      <c r="E1861" s="6" t="s">
        <v>1027</v>
      </c>
      <c r="F1861" s="6" t="s">
        <v>77</v>
      </c>
      <c r="G1861" s="7">
        <v>0.05</v>
      </c>
      <c r="H1861" s="6" t="s">
        <v>104</v>
      </c>
      <c r="I1861" s="6" t="s">
        <v>20</v>
      </c>
      <c r="J1861" s="6">
        <v>2019.0</v>
      </c>
      <c r="K1861" s="10">
        <v>46083.0</v>
      </c>
      <c r="L1861" s="6">
        <v>1.0</v>
      </c>
      <c r="M1861" s="8">
        <f t="shared" si="2"/>
        <v>0.05</v>
      </c>
      <c r="P1861" s="9"/>
    </row>
    <row r="1862">
      <c r="A1862" s="6" t="s">
        <v>4608</v>
      </c>
      <c r="B1862" s="6" t="s">
        <v>4609</v>
      </c>
      <c r="C1862" s="6" t="s">
        <v>43</v>
      </c>
      <c r="D1862" s="6" t="s">
        <v>4610</v>
      </c>
      <c r="E1862" s="6" t="s">
        <v>1027</v>
      </c>
      <c r="F1862" s="6" t="s">
        <v>77</v>
      </c>
      <c r="G1862" s="7">
        <v>0.05</v>
      </c>
      <c r="H1862" s="6" t="s">
        <v>83</v>
      </c>
      <c r="I1862" s="6" t="s">
        <v>20</v>
      </c>
      <c r="J1862" s="6">
        <v>1995.0</v>
      </c>
      <c r="K1862" s="10">
        <v>46024.0</v>
      </c>
      <c r="L1862" s="6">
        <v>2.0</v>
      </c>
      <c r="M1862" s="8">
        <f t="shared" si="2"/>
        <v>0.1</v>
      </c>
      <c r="P1862" s="9"/>
    </row>
    <row r="1863">
      <c r="A1863" s="6" t="s">
        <v>4608</v>
      </c>
      <c r="B1863" s="6" t="s">
        <v>4609</v>
      </c>
      <c r="C1863" s="6" t="s">
        <v>43</v>
      </c>
      <c r="D1863" s="6" t="s">
        <v>4610</v>
      </c>
      <c r="E1863" s="6" t="s">
        <v>1027</v>
      </c>
      <c r="F1863" s="6" t="s">
        <v>77</v>
      </c>
      <c r="G1863" s="7">
        <v>0.06</v>
      </c>
      <c r="H1863" s="6" t="s">
        <v>1064</v>
      </c>
      <c r="I1863" s="6" t="s">
        <v>20</v>
      </c>
      <c r="J1863" s="6">
        <v>1995.0</v>
      </c>
      <c r="K1863" s="10">
        <v>46024.0</v>
      </c>
      <c r="L1863" s="6">
        <v>2.0</v>
      </c>
      <c r="M1863" s="8">
        <f t="shared" si="2"/>
        <v>0.12</v>
      </c>
      <c r="P1863" s="9"/>
    </row>
    <row r="1864">
      <c r="A1864" s="6" t="s">
        <v>4611</v>
      </c>
      <c r="B1864" s="6" t="s">
        <v>4612</v>
      </c>
      <c r="C1864" s="6" t="s">
        <v>43</v>
      </c>
      <c r="D1864" s="6" t="s">
        <v>4613</v>
      </c>
      <c r="E1864" s="6" t="s">
        <v>57</v>
      </c>
      <c r="F1864" s="6" t="s">
        <v>40</v>
      </c>
      <c r="G1864" s="7">
        <v>0.05</v>
      </c>
      <c r="H1864" s="6" t="s">
        <v>228</v>
      </c>
      <c r="I1864" s="6" t="s">
        <v>20</v>
      </c>
      <c r="J1864" s="6">
        <v>2025.0</v>
      </c>
      <c r="K1864" s="10">
        <v>46055.0</v>
      </c>
      <c r="L1864" s="6">
        <v>1.0</v>
      </c>
      <c r="M1864" s="8">
        <f t="shared" si="2"/>
        <v>0.05</v>
      </c>
      <c r="P1864" s="9"/>
    </row>
    <row r="1865">
      <c r="A1865" s="6" t="s">
        <v>4614</v>
      </c>
      <c r="B1865" s="6" t="s">
        <v>4615</v>
      </c>
      <c r="C1865" s="6" t="s">
        <v>43</v>
      </c>
      <c r="D1865" s="6" t="s">
        <v>4616</v>
      </c>
      <c r="E1865" s="6" t="s">
        <v>39</v>
      </c>
      <c r="F1865" s="6" t="s">
        <v>40</v>
      </c>
      <c r="G1865" s="7">
        <v>0.03</v>
      </c>
      <c r="H1865" s="6" t="s">
        <v>290</v>
      </c>
      <c r="I1865" s="6" t="s">
        <v>20</v>
      </c>
      <c r="J1865" s="6">
        <v>2019.0</v>
      </c>
      <c r="K1865" s="10">
        <v>46084.0</v>
      </c>
      <c r="L1865" s="6">
        <v>1.0</v>
      </c>
      <c r="M1865" s="8">
        <f t="shared" si="2"/>
        <v>0.03</v>
      </c>
      <c r="P1865" s="9"/>
    </row>
    <row r="1866">
      <c r="A1866" s="6" t="s">
        <v>4617</v>
      </c>
      <c r="B1866" s="6" t="s">
        <v>4618</v>
      </c>
      <c r="C1866" s="6" t="s">
        <v>37</v>
      </c>
      <c r="D1866" s="6" t="s">
        <v>4619</v>
      </c>
      <c r="E1866" s="6" t="s">
        <v>448</v>
      </c>
      <c r="F1866" s="6" t="s">
        <v>112</v>
      </c>
      <c r="G1866" s="7">
        <v>1.32</v>
      </c>
      <c r="H1866" s="6" t="s">
        <v>113</v>
      </c>
      <c r="I1866" s="6" t="s">
        <v>20</v>
      </c>
      <c r="J1866" s="6">
        <v>2023.0</v>
      </c>
      <c r="K1866" s="10">
        <v>46116.0</v>
      </c>
      <c r="L1866" s="6">
        <v>1.0</v>
      </c>
      <c r="M1866" s="8">
        <f t="shared" si="2"/>
        <v>1.32</v>
      </c>
      <c r="N1866" s="6" t="s">
        <v>122</v>
      </c>
      <c r="P1866" s="9"/>
    </row>
    <row r="1867">
      <c r="A1867" s="6" t="s">
        <v>4620</v>
      </c>
      <c r="B1867" s="6" t="s">
        <v>213</v>
      </c>
      <c r="C1867" s="6" t="s">
        <v>15</v>
      </c>
      <c r="D1867" s="6" t="s">
        <v>4621</v>
      </c>
      <c r="E1867" s="6">
        <v>3.0</v>
      </c>
      <c r="F1867" s="6" t="s">
        <v>26</v>
      </c>
      <c r="G1867" s="7">
        <v>0.85</v>
      </c>
      <c r="H1867" s="6" t="s">
        <v>153</v>
      </c>
      <c r="I1867" s="6" t="s">
        <v>20</v>
      </c>
      <c r="J1867" s="6">
        <v>2025.0</v>
      </c>
      <c r="L1867" s="6">
        <v>1.0</v>
      </c>
      <c r="M1867" s="8">
        <f t="shared" si="2"/>
        <v>0.85</v>
      </c>
      <c r="P1867" s="9"/>
    </row>
    <row r="1868">
      <c r="A1868" s="6" t="s">
        <v>4622</v>
      </c>
      <c r="B1868" s="6" t="s">
        <v>2719</v>
      </c>
      <c r="C1868" s="6" t="s">
        <v>15</v>
      </c>
      <c r="D1868" s="6" t="s">
        <v>4623</v>
      </c>
      <c r="E1868" s="6" t="s">
        <v>201</v>
      </c>
      <c r="F1868" s="6" t="s">
        <v>40</v>
      </c>
      <c r="G1868" s="7">
        <v>0.44</v>
      </c>
      <c r="H1868" s="6" t="s">
        <v>27</v>
      </c>
      <c r="I1868" s="6" t="s">
        <v>20</v>
      </c>
      <c r="J1868" s="6">
        <v>2026.0</v>
      </c>
      <c r="K1868" s="10">
        <v>46144.0</v>
      </c>
      <c r="L1868" s="6">
        <v>1.0</v>
      </c>
      <c r="M1868" s="8">
        <f t="shared" si="2"/>
        <v>0.44</v>
      </c>
      <c r="P1868" s="9"/>
    </row>
    <row r="1869">
      <c r="A1869" s="6" t="s">
        <v>4624</v>
      </c>
      <c r="B1869" s="6" t="s">
        <v>74</v>
      </c>
      <c r="C1869" s="6" t="s">
        <v>43</v>
      </c>
      <c r="D1869" s="6" t="s">
        <v>4625</v>
      </c>
      <c r="E1869" s="6" t="s">
        <v>164</v>
      </c>
      <c r="F1869" s="6" t="s">
        <v>112</v>
      </c>
      <c r="G1869" s="7">
        <v>0.15</v>
      </c>
      <c r="H1869" s="6" t="s">
        <v>488</v>
      </c>
      <c r="I1869" s="6" t="s">
        <v>20</v>
      </c>
      <c r="J1869" s="6">
        <v>2023.0</v>
      </c>
      <c r="L1869" s="6">
        <v>1.0</v>
      </c>
      <c r="M1869" s="8">
        <f t="shared" si="2"/>
        <v>0.15</v>
      </c>
      <c r="P1869" s="9"/>
    </row>
    <row r="1870">
      <c r="A1870" s="6" t="s">
        <v>4626</v>
      </c>
      <c r="B1870" s="6" t="s">
        <v>138</v>
      </c>
      <c r="C1870" s="6" t="s">
        <v>43</v>
      </c>
      <c r="D1870" s="6" t="s">
        <v>3597</v>
      </c>
      <c r="E1870" s="6" t="s">
        <v>420</v>
      </c>
      <c r="F1870" s="6" t="s">
        <v>40</v>
      </c>
      <c r="G1870" s="7">
        <v>0.05</v>
      </c>
      <c r="H1870" s="6" t="s">
        <v>88</v>
      </c>
      <c r="I1870" s="6" t="s">
        <v>20</v>
      </c>
      <c r="J1870" s="6">
        <v>2024.0</v>
      </c>
      <c r="L1870" s="6">
        <v>1.0</v>
      </c>
      <c r="M1870" s="8">
        <f t="shared" si="2"/>
        <v>0.05</v>
      </c>
      <c r="P1870" s="9"/>
    </row>
    <row r="1871">
      <c r="A1871" s="6" t="s">
        <v>4627</v>
      </c>
      <c r="B1871" s="6" t="s">
        <v>74</v>
      </c>
      <c r="C1871" s="6" t="s">
        <v>37</v>
      </c>
      <c r="D1871" s="6" t="s">
        <v>4628</v>
      </c>
      <c r="E1871" s="6" t="s">
        <v>2145</v>
      </c>
      <c r="F1871" s="6" t="s">
        <v>87</v>
      </c>
      <c r="G1871" s="7">
        <v>0.15</v>
      </c>
      <c r="H1871" s="6" t="s">
        <v>1300</v>
      </c>
      <c r="I1871" s="6" t="s">
        <v>20</v>
      </c>
      <c r="J1871" s="6">
        <v>2021.0</v>
      </c>
      <c r="L1871" s="6">
        <v>1.0</v>
      </c>
      <c r="M1871" s="8">
        <f t="shared" si="2"/>
        <v>0.15</v>
      </c>
      <c r="P1871" s="9"/>
    </row>
    <row r="1872">
      <c r="A1872" s="6" t="s">
        <v>4629</v>
      </c>
      <c r="B1872" s="6" t="s">
        <v>208</v>
      </c>
      <c r="C1872" s="6" t="s">
        <v>30</v>
      </c>
      <c r="D1872" s="6" t="s">
        <v>4630</v>
      </c>
      <c r="E1872" s="6" t="s">
        <v>1147</v>
      </c>
      <c r="F1872" s="6" t="s">
        <v>18</v>
      </c>
      <c r="G1872" s="7">
        <v>0.17</v>
      </c>
      <c r="H1872" s="6" t="s">
        <v>444</v>
      </c>
      <c r="I1872" s="6" t="s">
        <v>20</v>
      </c>
      <c r="J1872" s="6">
        <v>2012.0</v>
      </c>
      <c r="K1872" s="10">
        <v>46055.0</v>
      </c>
      <c r="L1872" s="6">
        <v>1.0</v>
      </c>
      <c r="M1872" s="8">
        <f t="shared" si="2"/>
        <v>0.17</v>
      </c>
      <c r="P1872" s="9"/>
    </row>
    <row r="1873">
      <c r="A1873" s="6" t="s">
        <v>4631</v>
      </c>
      <c r="B1873" s="6" t="s">
        <v>4632</v>
      </c>
      <c r="C1873" s="6" t="s">
        <v>23</v>
      </c>
      <c r="D1873" s="6" t="s">
        <v>4633</v>
      </c>
      <c r="E1873" s="6">
        <v>1.0</v>
      </c>
      <c r="F1873" s="6" t="s">
        <v>26</v>
      </c>
      <c r="G1873" s="7">
        <v>0.1</v>
      </c>
      <c r="H1873" s="6" t="s">
        <v>153</v>
      </c>
      <c r="I1873" s="6" t="s">
        <v>20</v>
      </c>
      <c r="J1873" s="6">
        <v>2025.0</v>
      </c>
      <c r="L1873" s="6">
        <v>12.0</v>
      </c>
      <c r="M1873" s="8">
        <f t="shared" si="2"/>
        <v>1.2</v>
      </c>
      <c r="P1873" s="9"/>
    </row>
    <row r="1874">
      <c r="A1874" s="6" t="s">
        <v>4631</v>
      </c>
      <c r="B1874" s="6" t="s">
        <v>4632</v>
      </c>
      <c r="C1874" s="6" t="s">
        <v>23</v>
      </c>
      <c r="D1874" s="6" t="s">
        <v>4633</v>
      </c>
      <c r="E1874" s="6">
        <v>1.0</v>
      </c>
      <c r="F1874" s="6" t="s">
        <v>26</v>
      </c>
      <c r="G1874" s="7">
        <v>0.4</v>
      </c>
      <c r="H1874" s="6" t="s">
        <v>153</v>
      </c>
      <c r="I1874" s="6" t="s">
        <v>45</v>
      </c>
      <c r="J1874" s="6">
        <v>2025.0</v>
      </c>
      <c r="L1874" s="6">
        <v>8.0</v>
      </c>
      <c r="M1874" s="8">
        <f t="shared" si="2"/>
        <v>3.2</v>
      </c>
      <c r="P1874" s="9"/>
    </row>
    <row r="1875">
      <c r="A1875" s="6" t="s">
        <v>4634</v>
      </c>
      <c r="B1875" s="6" t="s">
        <v>2380</v>
      </c>
      <c r="C1875" s="6" t="s">
        <v>37</v>
      </c>
      <c r="D1875" s="6" t="s">
        <v>4635</v>
      </c>
      <c r="E1875" s="6" t="s">
        <v>329</v>
      </c>
      <c r="F1875" s="6" t="s">
        <v>112</v>
      </c>
      <c r="G1875" s="7">
        <v>0.04</v>
      </c>
      <c r="H1875" s="6" t="s">
        <v>1287</v>
      </c>
      <c r="I1875" s="6" t="s">
        <v>20</v>
      </c>
      <c r="J1875" s="6">
        <v>2021.0</v>
      </c>
      <c r="K1875" s="10">
        <v>46146.0</v>
      </c>
      <c r="L1875" s="6">
        <v>1.0</v>
      </c>
      <c r="M1875" s="8">
        <f t="shared" si="2"/>
        <v>0.04</v>
      </c>
      <c r="P1875" s="9"/>
    </row>
    <row r="1876">
      <c r="A1876" s="6" t="s">
        <v>4636</v>
      </c>
      <c r="B1876" s="6" t="s">
        <v>953</v>
      </c>
      <c r="C1876" s="6" t="s">
        <v>37</v>
      </c>
      <c r="D1876" s="6" t="s">
        <v>4637</v>
      </c>
      <c r="E1876" s="6" t="s">
        <v>681</v>
      </c>
      <c r="F1876" s="6" t="s">
        <v>26</v>
      </c>
      <c r="G1876" s="7">
        <v>0.1</v>
      </c>
      <c r="H1876" s="6" t="s">
        <v>160</v>
      </c>
      <c r="I1876" s="6" t="s">
        <v>20</v>
      </c>
      <c r="J1876" s="6">
        <v>2024.0</v>
      </c>
      <c r="K1876" s="10">
        <v>46148.0</v>
      </c>
      <c r="L1876" s="6">
        <v>1.0</v>
      </c>
      <c r="M1876" s="8">
        <f t="shared" si="2"/>
        <v>0.1</v>
      </c>
      <c r="P1876" s="9"/>
    </row>
    <row r="1877">
      <c r="A1877" s="6" t="s">
        <v>4638</v>
      </c>
      <c r="B1877" s="6" t="s">
        <v>4639</v>
      </c>
      <c r="C1877" s="6" t="s">
        <v>43</v>
      </c>
      <c r="D1877" s="6" t="s">
        <v>4640</v>
      </c>
      <c r="E1877" s="6" t="s">
        <v>329</v>
      </c>
      <c r="F1877" s="6" t="s">
        <v>112</v>
      </c>
      <c r="G1877" s="7">
        <v>0.05</v>
      </c>
      <c r="H1877" s="6" t="s">
        <v>404</v>
      </c>
      <c r="I1877" s="6" t="s">
        <v>20</v>
      </c>
      <c r="J1877" s="6">
        <v>2020.0</v>
      </c>
      <c r="K1877" s="10">
        <v>46055.0</v>
      </c>
      <c r="L1877" s="6">
        <v>2.0</v>
      </c>
      <c r="M1877" s="8">
        <f t="shared" si="2"/>
        <v>0.1</v>
      </c>
      <c r="P1877" s="9"/>
    </row>
    <row r="1878">
      <c r="A1878" s="6" t="s">
        <v>4641</v>
      </c>
      <c r="B1878" s="6" t="s">
        <v>4642</v>
      </c>
      <c r="C1878" s="6" t="s">
        <v>377</v>
      </c>
      <c r="D1878" s="6" t="s">
        <v>4643</v>
      </c>
      <c r="E1878" s="6" t="s">
        <v>164</v>
      </c>
      <c r="F1878" s="6" t="s">
        <v>112</v>
      </c>
      <c r="G1878" s="7">
        <v>0.12</v>
      </c>
      <c r="H1878" s="7" t="s">
        <v>4644</v>
      </c>
      <c r="I1878" s="6" t="s">
        <v>20</v>
      </c>
      <c r="J1878" s="6">
        <v>2026.0</v>
      </c>
      <c r="K1878" s="10">
        <v>46025.0</v>
      </c>
      <c r="L1878" s="6">
        <v>4.0</v>
      </c>
      <c r="M1878" s="8">
        <f t="shared" si="2"/>
        <v>0.48</v>
      </c>
      <c r="P1878" s="9"/>
    </row>
    <row r="1879">
      <c r="A1879" s="6" t="s">
        <v>4645</v>
      </c>
      <c r="B1879" s="6" t="s">
        <v>162</v>
      </c>
      <c r="C1879" s="6" t="s">
        <v>43</v>
      </c>
      <c r="D1879" s="6" t="s">
        <v>4646</v>
      </c>
      <c r="E1879" s="6" t="s">
        <v>76</v>
      </c>
      <c r="F1879" s="6" t="s">
        <v>77</v>
      </c>
      <c r="G1879" s="7">
        <v>0.08</v>
      </c>
      <c r="H1879" s="6" t="s">
        <v>88</v>
      </c>
      <c r="I1879" s="6" t="s">
        <v>20</v>
      </c>
      <c r="J1879" s="6">
        <v>2024.0</v>
      </c>
      <c r="L1879" s="6">
        <v>1.0</v>
      </c>
      <c r="M1879" s="8">
        <f t="shared" si="2"/>
        <v>0.08</v>
      </c>
      <c r="P1879" s="9"/>
    </row>
    <row r="1880">
      <c r="A1880" s="6" t="s">
        <v>4647</v>
      </c>
      <c r="B1880" s="6" t="s">
        <v>74</v>
      </c>
      <c r="C1880" s="6" t="s">
        <v>43</v>
      </c>
      <c r="D1880" s="6" t="s">
        <v>4648</v>
      </c>
      <c r="E1880" s="6" t="s">
        <v>107</v>
      </c>
      <c r="F1880" s="6" t="s">
        <v>18</v>
      </c>
      <c r="G1880" s="7">
        <v>0.05</v>
      </c>
      <c r="H1880" s="6" t="s">
        <v>1004</v>
      </c>
      <c r="I1880" s="6" t="s">
        <v>20</v>
      </c>
      <c r="J1880" s="6">
        <v>2022.0</v>
      </c>
      <c r="L1880" s="6">
        <v>1.0</v>
      </c>
      <c r="M1880" s="8">
        <f t="shared" si="2"/>
        <v>0.05</v>
      </c>
      <c r="P1880" s="9"/>
    </row>
    <row r="1881">
      <c r="A1881" s="6" t="s">
        <v>4649</v>
      </c>
      <c r="B1881" s="6" t="s">
        <v>657</v>
      </c>
      <c r="C1881" s="6" t="s">
        <v>156</v>
      </c>
      <c r="D1881" s="6" t="s">
        <v>4650</v>
      </c>
      <c r="E1881" s="6" t="s">
        <v>616</v>
      </c>
      <c r="F1881" s="6" t="s">
        <v>40</v>
      </c>
      <c r="G1881" s="7">
        <v>1.0</v>
      </c>
      <c r="H1881" s="6" t="s">
        <v>153</v>
      </c>
      <c r="I1881" s="6" t="s">
        <v>20</v>
      </c>
      <c r="J1881" s="6">
        <v>2025.0</v>
      </c>
      <c r="L1881" s="6">
        <v>1.0</v>
      </c>
      <c r="M1881" s="8">
        <f t="shared" si="2"/>
        <v>1</v>
      </c>
      <c r="P1881" s="9"/>
    </row>
    <row r="1882">
      <c r="A1882" s="6" t="s">
        <v>4651</v>
      </c>
      <c r="B1882" s="6" t="s">
        <v>1577</v>
      </c>
      <c r="C1882" s="6" t="s">
        <v>43</v>
      </c>
      <c r="D1882" s="6" t="s">
        <v>4652</v>
      </c>
      <c r="F1882" s="6" t="s">
        <v>26</v>
      </c>
      <c r="G1882" s="7">
        <v>1.09</v>
      </c>
      <c r="H1882" s="6" t="s">
        <v>734</v>
      </c>
      <c r="I1882" s="6" t="s">
        <v>20</v>
      </c>
      <c r="J1882" s="6">
        <v>2022.0</v>
      </c>
      <c r="L1882" s="6">
        <v>2.0</v>
      </c>
      <c r="M1882" s="8">
        <f t="shared" si="2"/>
        <v>2.18</v>
      </c>
      <c r="P1882" s="9"/>
    </row>
    <row r="1883">
      <c r="A1883" s="6" t="s">
        <v>4653</v>
      </c>
      <c r="B1883" s="6" t="s">
        <v>162</v>
      </c>
      <c r="C1883" s="6" t="s">
        <v>43</v>
      </c>
      <c r="D1883" s="6" t="s">
        <v>4654</v>
      </c>
      <c r="E1883" s="6" t="s">
        <v>93</v>
      </c>
      <c r="F1883" s="6" t="s">
        <v>77</v>
      </c>
      <c r="G1883" s="7">
        <v>0.05</v>
      </c>
      <c r="H1883" s="6" t="s">
        <v>4045</v>
      </c>
      <c r="I1883" s="6" t="s">
        <v>20</v>
      </c>
      <c r="J1883" s="6">
        <v>2021.0</v>
      </c>
      <c r="L1883" s="6">
        <v>1.0</v>
      </c>
      <c r="M1883" s="8">
        <f t="shared" si="2"/>
        <v>0.05</v>
      </c>
      <c r="P1883" s="9"/>
    </row>
    <row r="1884">
      <c r="A1884" s="6" t="s">
        <v>4655</v>
      </c>
      <c r="B1884" s="6" t="s">
        <v>1577</v>
      </c>
      <c r="C1884" s="6" t="s">
        <v>37</v>
      </c>
      <c r="D1884" s="6" t="s">
        <v>4656</v>
      </c>
      <c r="F1884" s="6" t="s">
        <v>26</v>
      </c>
      <c r="G1884" s="7">
        <v>0.2</v>
      </c>
      <c r="H1884" s="6" t="s">
        <v>373</v>
      </c>
      <c r="I1884" s="6" t="s">
        <v>20</v>
      </c>
      <c r="J1884" s="6">
        <v>2015.0</v>
      </c>
      <c r="L1884" s="6">
        <v>1.0</v>
      </c>
      <c r="M1884" s="8">
        <f t="shared" si="2"/>
        <v>0.2</v>
      </c>
      <c r="P1884" s="9"/>
    </row>
    <row r="1885">
      <c r="A1885" s="6" t="s">
        <v>4657</v>
      </c>
      <c r="B1885" s="6" t="s">
        <v>138</v>
      </c>
      <c r="C1885" s="6" t="s">
        <v>23</v>
      </c>
      <c r="D1885" s="6" t="s">
        <v>4658</v>
      </c>
      <c r="E1885" s="6" t="s">
        <v>2709</v>
      </c>
      <c r="F1885" s="6" t="s">
        <v>18</v>
      </c>
      <c r="G1885" s="7">
        <v>0.2</v>
      </c>
      <c r="H1885" s="6" t="s">
        <v>4659</v>
      </c>
      <c r="I1885" s="6" t="s">
        <v>20</v>
      </c>
      <c r="J1885" s="6">
        <v>2025.0</v>
      </c>
      <c r="L1885" s="6">
        <v>6.0</v>
      </c>
      <c r="M1885" s="8">
        <f t="shared" si="2"/>
        <v>1.2</v>
      </c>
      <c r="P1885" s="9"/>
    </row>
    <row r="1886">
      <c r="A1886" s="6" t="s">
        <v>4660</v>
      </c>
      <c r="B1886" s="6" t="s">
        <v>162</v>
      </c>
      <c r="C1886" s="6" t="s">
        <v>37</v>
      </c>
      <c r="D1886" s="6" t="s">
        <v>4661</v>
      </c>
      <c r="E1886" s="6" t="s">
        <v>753</v>
      </c>
      <c r="F1886" s="6" t="s">
        <v>87</v>
      </c>
      <c r="G1886" s="7">
        <v>0.13</v>
      </c>
      <c r="H1886" s="6" t="s">
        <v>1287</v>
      </c>
      <c r="I1886" s="6" t="s">
        <v>20</v>
      </c>
      <c r="J1886" s="6">
        <v>2021.0</v>
      </c>
      <c r="L1886" s="6">
        <v>1.0</v>
      </c>
      <c r="M1886" s="8">
        <f t="shared" si="2"/>
        <v>0.13</v>
      </c>
      <c r="P1886" s="9"/>
    </row>
    <row r="1887">
      <c r="A1887" s="6" t="s">
        <v>4662</v>
      </c>
      <c r="B1887" s="6" t="s">
        <v>4663</v>
      </c>
      <c r="C1887" s="6" t="s">
        <v>23</v>
      </c>
      <c r="D1887" s="6" t="s">
        <v>4664</v>
      </c>
      <c r="E1887" s="6">
        <v>3.0</v>
      </c>
      <c r="F1887" s="6" t="s">
        <v>26</v>
      </c>
      <c r="G1887" s="7">
        <v>0.03</v>
      </c>
      <c r="H1887" s="6" t="s">
        <v>153</v>
      </c>
      <c r="I1887" s="6" t="s">
        <v>20</v>
      </c>
      <c r="J1887" s="6">
        <v>2025.0</v>
      </c>
      <c r="K1887" s="10">
        <v>46113.0</v>
      </c>
      <c r="L1887" s="6">
        <v>10.0</v>
      </c>
      <c r="M1887" s="8">
        <f t="shared" si="2"/>
        <v>0.3</v>
      </c>
      <c r="P1887" s="9"/>
    </row>
    <row r="1888">
      <c r="A1888" s="6" t="s">
        <v>4665</v>
      </c>
      <c r="B1888" s="6" t="s">
        <v>167</v>
      </c>
      <c r="C1888" s="6" t="s">
        <v>15</v>
      </c>
      <c r="D1888" s="6" t="s">
        <v>4666</v>
      </c>
      <c r="E1888" s="6" t="s">
        <v>201</v>
      </c>
      <c r="F1888" s="6" t="s">
        <v>40</v>
      </c>
      <c r="G1888" s="7">
        <v>0.15</v>
      </c>
      <c r="H1888" s="6" t="s">
        <v>153</v>
      </c>
      <c r="I1888" s="6" t="s">
        <v>20</v>
      </c>
      <c r="J1888" s="6">
        <v>2025.0</v>
      </c>
      <c r="K1888" s="10">
        <v>46116.0</v>
      </c>
      <c r="L1888" s="6">
        <v>1.0</v>
      </c>
      <c r="M1888" s="8">
        <f t="shared" si="2"/>
        <v>0.15</v>
      </c>
      <c r="P1888" s="9"/>
    </row>
    <row r="1889">
      <c r="A1889" s="6" t="s">
        <v>4667</v>
      </c>
      <c r="B1889" s="6" t="s">
        <v>4255</v>
      </c>
      <c r="C1889" s="6" t="s">
        <v>23</v>
      </c>
      <c r="D1889" s="6" t="s">
        <v>4668</v>
      </c>
      <c r="E1889" s="6" t="s">
        <v>125</v>
      </c>
      <c r="F1889" s="6" t="s">
        <v>40</v>
      </c>
      <c r="G1889" s="7">
        <v>0.05</v>
      </c>
      <c r="H1889" s="6" t="s">
        <v>153</v>
      </c>
      <c r="I1889" s="6" t="s">
        <v>20</v>
      </c>
      <c r="J1889" s="6">
        <v>2025.0</v>
      </c>
      <c r="K1889" s="10">
        <v>46023.0</v>
      </c>
      <c r="L1889" s="6">
        <v>9.0</v>
      </c>
      <c r="M1889" s="8">
        <f t="shared" si="2"/>
        <v>0.45</v>
      </c>
      <c r="P1889" s="9"/>
    </row>
    <row r="1890">
      <c r="A1890" s="6" t="s">
        <v>4667</v>
      </c>
      <c r="B1890" s="6" t="s">
        <v>4255</v>
      </c>
      <c r="C1890" s="6" t="s">
        <v>23</v>
      </c>
      <c r="D1890" s="6" t="s">
        <v>4668</v>
      </c>
      <c r="E1890" s="6" t="s">
        <v>125</v>
      </c>
      <c r="F1890" s="6" t="s">
        <v>40</v>
      </c>
      <c r="G1890" s="7">
        <v>0.4</v>
      </c>
      <c r="H1890" s="6" t="s">
        <v>153</v>
      </c>
      <c r="I1890" s="6" t="s">
        <v>45</v>
      </c>
      <c r="J1890" s="6">
        <v>2025.0</v>
      </c>
      <c r="K1890" s="10">
        <v>46023.0</v>
      </c>
      <c r="L1890" s="6">
        <v>1.0</v>
      </c>
      <c r="M1890" s="8">
        <f t="shared" si="2"/>
        <v>0.4</v>
      </c>
      <c r="P1890" s="9"/>
    </row>
    <row r="1891">
      <c r="A1891" s="6" t="s">
        <v>4669</v>
      </c>
      <c r="B1891" s="6" t="s">
        <v>138</v>
      </c>
      <c r="C1891" s="6" t="s">
        <v>377</v>
      </c>
      <c r="D1891" s="6" t="s">
        <v>4670</v>
      </c>
      <c r="E1891" s="6" t="s">
        <v>86</v>
      </c>
      <c r="F1891" s="6" t="s">
        <v>2822</v>
      </c>
      <c r="G1891" s="7">
        <v>0.15</v>
      </c>
      <c r="H1891" s="6" t="s">
        <v>4671</v>
      </c>
      <c r="I1891" s="6" t="s">
        <v>20</v>
      </c>
      <c r="J1891" s="6">
        <v>2014.0</v>
      </c>
      <c r="L1891" s="6">
        <v>4.0</v>
      </c>
      <c r="M1891" s="8">
        <f t="shared" si="2"/>
        <v>0.6</v>
      </c>
      <c r="P1891" s="9"/>
    </row>
    <row r="1892">
      <c r="A1892" s="6" t="s">
        <v>4672</v>
      </c>
      <c r="B1892" s="6" t="s">
        <v>219</v>
      </c>
      <c r="C1892" s="6" t="s">
        <v>30</v>
      </c>
      <c r="D1892" s="6" t="s">
        <v>4673</v>
      </c>
      <c r="E1892" s="6" t="s">
        <v>215</v>
      </c>
      <c r="F1892" s="6" t="s">
        <v>26</v>
      </c>
      <c r="G1892" s="7">
        <v>0.13</v>
      </c>
      <c r="H1892" s="6" t="s">
        <v>3063</v>
      </c>
      <c r="I1892" s="6" t="s">
        <v>20</v>
      </c>
      <c r="J1892" s="6">
        <v>1997.0</v>
      </c>
      <c r="L1892" s="6">
        <v>1.0</v>
      </c>
      <c r="M1892" s="8">
        <f t="shared" si="2"/>
        <v>0.13</v>
      </c>
      <c r="P1892" s="9"/>
    </row>
    <row r="1893">
      <c r="A1893" s="6" t="s">
        <v>4674</v>
      </c>
      <c r="B1893" s="6" t="s">
        <v>74</v>
      </c>
      <c r="C1893" s="6" t="s">
        <v>43</v>
      </c>
      <c r="D1893" s="6" t="s">
        <v>4675</v>
      </c>
      <c r="E1893" s="6" t="s">
        <v>140</v>
      </c>
      <c r="F1893" s="6" t="s">
        <v>87</v>
      </c>
      <c r="G1893" s="7">
        <v>0.06</v>
      </c>
      <c r="H1893" s="6" t="s">
        <v>531</v>
      </c>
      <c r="I1893" s="6" t="s">
        <v>20</v>
      </c>
      <c r="J1893" s="6">
        <v>2017.0</v>
      </c>
      <c r="L1893" s="6">
        <v>1.0</v>
      </c>
      <c r="M1893" s="8">
        <f t="shared" si="2"/>
        <v>0.06</v>
      </c>
      <c r="N1893" s="6" t="s">
        <v>374</v>
      </c>
      <c r="P1893" s="9"/>
    </row>
    <row r="1894">
      <c r="A1894" s="6" t="s">
        <v>4676</v>
      </c>
      <c r="B1894" s="6" t="s">
        <v>1590</v>
      </c>
      <c r="C1894" s="6" t="s">
        <v>37</v>
      </c>
      <c r="D1894" s="6" t="s">
        <v>4677</v>
      </c>
      <c r="E1894" s="6" t="s">
        <v>256</v>
      </c>
      <c r="F1894" s="6" t="s">
        <v>87</v>
      </c>
      <c r="G1894" s="7">
        <v>0.04</v>
      </c>
      <c r="H1894" s="6" t="s">
        <v>787</v>
      </c>
      <c r="I1894" s="6" t="s">
        <v>20</v>
      </c>
      <c r="J1894" s="6">
        <v>2023.0</v>
      </c>
      <c r="K1894" s="10">
        <v>46056.0</v>
      </c>
      <c r="L1894" s="6">
        <v>1.0</v>
      </c>
      <c r="M1894" s="8">
        <f t="shared" si="2"/>
        <v>0.04</v>
      </c>
      <c r="P1894" s="9"/>
    </row>
    <row r="1895">
      <c r="A1895" s="6" t="s">
        <v>4678</v>
      </c>
      <c r="B1895" s="6" t="s">
        <v>440</v>
      </c>
      <c r="C1895" s="6" t="s">
        <v>37</v>
      </c>
      <c r="D1895" s="6" t="s">
        <v>4679</v>
      </c>
      <c r="E1895" s="6" t="s">
        <v>753</v>
      </c>
      <c r="F1895" s="6" t="s">
        <v>87</v>
      </c>
      <c r="G1895" s="7">
        <v>0.7</v>
      </c>
      <c r="H1895" s="6" t="s">
        <v>83</v>
      </c>
      <c r="I1895" s="6" t="s">
        <v>20</v>
      </c>
      <c r="J1895" s="6">
        <v>1995.0</v>
      </c>
      <c r="L1895" s="6">
        <v>1.0</v>
      </c>
      <c r="M1895" s="8">
        <f t="shared" si="2"/>
        <v>0.7</v>
      </c>
      <c r="P1895" s="9"/>
    </row>
    <row r="1896">
      <c r="A1896" s="6" t="s">
        <v>4678</v>
      </c>
      <c r="B1896" s="6" t="s">
        <v>440</v>
      </c>
      <c r="C1896" s="6" t="s">
        <v>37</v>
      </c>
      <c r="D1896" s="6" t="s">
        <v>4679</v>
      </c>
      <c r="E1896" s="6" t="s">
        <v>753</v>
      </c>
      <c r="F1896" s="6" t="s">
        <v>87</v>
      </c>
      <c r="G1896" s="7">
        <v>1.85</v>
      </c>
      <c r="H1896" s="6" t="s">
        <v>1064</v>
      </c>
      <c r="I1896" s="6" t="s">
        <v>20</v>
      </c>
      <c r="J1896" s="6">
        <v>1995.0</v>
      </c>
      <c r="L1896" s="6">
        <v>1.0</v>
      </c>
      <c r="M1896" s="8">
        <f t="shared" si="2"/>
        <v>1.85</v>
      </c>
      <c r="P1896" s="9"/>
    </row>
    <row r="1897">
      <c r="A1897" s="6" t="s">
        <v>4680</v>
      </c>
      <c r="B1897" s="6" t="s">
        <v>4681</v>
      </c>
      <c r="C1897" s="6" t="s">
        <v>37</v>
      </c>
      <c r="D1897" s="6" t="s">
        <v>4682</v>
      </c>
      <c r="E1897" s="6" t="s">
        <v>86</v>
      </c>
      <c r="F1897" s="6" t="s">
        <v>87</v>
      </c>
      <c r="G1897" s="7">
        <v>0.15</v>
      </c>
      <c r="H1897" s="6" t="s">
        <v>34</v>
      </c>
      <c r="I1897" s="6" t="s">
        <v>20</v>
      </c>
      <c r="J1897" s="6">
        <v>2025.0</v>
      </c>
      <c r="K1897" s="10">
        <v>46082.0</v>
      </c>
      <c r="L1897" s="6">
        <v>1.0</v>
      </c>
      <c r="M1897" s="8">
        <f t="shared" si="2"/>
        <v>0.15</v>
      </c>
      <c r="P1897" s="9"/>
    </row>
    <row r="1898">
      <c r="A1898" s="6" t="s">
        <v>4683</v>
      </c>
      <c r="B1898" s="6" t="s">
        <v>74</v>
      </c>
      <c r="C1898" s="6" t="s">
        <v>43</v>
      </c>
      <c r="D1898" s="6" t="s">
        <v>4684</v>
      </c>
      <c r="E1898" s="6" t="s">
        <v>107</v>
      </c>
      <c r="F1898" s="6" t="s">
        <v>18</v>
      </c>
      <c r="G1898" s="7">
        <v>0.4</v>
      </c>
      <c r="H1898" s="6" t="s">
        <v>734</v>
      </c>
      <c r="I1898" s="6" t="s">
        <v>45</v>
      </c>
      <c r="J1898" s="6">
        <v>2022.0</v>
      </c>
      <c r="L1898" s="6">
        <v>4.0</v>
      </c>
      <c r="M1898" s="8">
        <f t="shared" si="2"/>
        <v>1.6</v>
      </c>
      <c r="P1898" s="9"/>
    </row>
    <row r="1899">
      <c r="A1899" s="6" t="s">
        <v>4685</v>
      </c>
      <c r="B1899" s="6" t="s">
        <v>74</v>
      </c>
      <c r="C1899" s="6" t="s">
        <v>43</v>
      </c>
      <c r="D1899" s="6" t="s">
        <v>4686</v>
      </c>
      <c r="E1899" s="6" t="s">
        <v>57</v>
      </c>
      <c r="F1899" s="6" t="s">
        <v>40</v>
      </c>
      <c r="G1899" s="7">
        <v>0.05</v>
      </c>
      <c r="H1899" s="6" t="s">
        <v>136</v>
      </c>
      <c r="I1899" s="6" t="s">
        <v>20</v>
      </c>
      <c r="J1899" s="6">
        <v>2026.0</v>
      </c>
      <c r="L1899" s="6">
        <v>6.0</v>
      </c>
      <c r="M1899" s="8">
        <f t="shared" si="2"/>
        <v>0.3</v>
      </c>
      <c r="P1899" s="9"/>
    </row>
    <row r="1900">
      <c r="A1900" s="6" t="s">
        <v>4685</v>
      </c>
      <c r="B1900" s="6" t="s">
        <v>74</v>
      </c>
      <c r="C1900" s="6" t="s">
        <v>43</v>
      </c>
      <c r="D1900" s="6" t="s">
        <v>4686</v>
      </c>
      <c r="E1900" s="6" t="s">
        <v>57</v>
      </c>
      <c r="F1900" s="6" t="s">
        <v>40</v>
      </c>
      <c r="G1900" s="7">
        <v>0.05</v>
      </c>
      <c r="H1900" s="6" t="s">
        <v>136</v>
      </c>
      <c r="I1900" s="6" t="s">
        <v>20</v>
      </c>
      <c r="J1900" s="6">
        <v>2026.0</v>
      </c>
      <c r="L1900" s="6">
        <v>2.0</v>
      </c>
      <c r="M1900" s="8">
        <f t="shared" si="2"/>
        <v>0.1</v>
      </c>
      <c r="P1900" s="9"/>
    </row>
    <row r="1901">
      <c r="A1901" s="6" t="s">
        <v>4687</v>
      </c>
      <c r="B1901" s="6" t="s">
        <v>371</v>
      </c>
      <c r="C1901" s="6" t="s">
        <v>43</v>
      </c>
      <c r="D1901" s="6" t="s">
        <v>4688</v>
      </c>
      <c r="E1901" s="6" t="s">
        <v>57</v>
      </c>
      <c r="F1901" s="6" t="s">
        <v>40</v>
      </c>
      <c r="G1901" s="7">
        <v>0.02</v>
      </c>
      <c r="H1901" s="6" t="s">
        <v>290</v>
      </c>
      <c r="I1901" s="6" t="s">
        <v>20</v>
      </c>
      <c r="J1901" s="6">
        <v>2019.0</v>
      </c>
      <c r="K1901" s="10">
        <v>46056.0</v>
      </c>
      <c r="L1901" s="6">
        <v>1.0</v>
      </c>
      <c r="M1901" s="8">
        <f t="shared" si="2"/>
        <v>0.02</v>
      </c>
      <c r="P1901" s="9"/>
    </row>
    <row r="1902">
      <c r="A1902" s="6" t="s">
        <v>4689</v>
      </c>
      <c r="B1902" s="6" t="s">
        <v>146</v>
      </c>
      <c r="C1902" s="6" t="s">
        <v>43</v>
      </c>
      <c r="D1902" s="6" t="s">
        <v>4690</v>
      </c>
      <c r="E1902" s="6" t="s">
        <v>86</v>
      </c>
      <c r="F1902" s="6" t="s">
        <v>87</v>
      </c>
      <c r="G1902" s="7">
        <v>0.9</v>
      </c>
      <c r="H1902" s="6" t="s">
        <v>113</v>
      </c>
      <c r="I1902" s="6" t="s">
        <v>20</v>
      </c>
      <c r="J1902" s="6">
        <v>2023.0</v>
      </c>
      <c r="L1902" s="6">
        <v>1.0</v>
      </c>
      <c r="M1902" s="8">
        <f t="shared" si="2"/>
        <v>0.9</v>
      </c>
      <c r="P1902" s="9"/>
    </row>
    <row r="1903">
      <c r="A1903" s="6" t="s">
        <v>4691</v>
      </c>
      <c r="B1903" s="6" t="s">
        <v>292</v>
      </c>
      <c r="C1903" s="6" t="s">
        <v>204</v>
      </c>
      <c r="D1903" s="6" t="s">
        <v>4692</v>
      </c>
      <c r="E1903" s="6" t="s">
        <v>117</v>
      </c>
      <c r="F1903" s="6" t="s">
        <v>77</v>
      </c>
      <c r="G1903" s="7">
        <v>0.55</v>
      </c>
      <c r="H1903" s="6" t="s">
        <v>1148</v>
      </c>
      <c r="I1903" s="6" t="s">
        <v>20</v>
      </c>
      <c r="J1903" s="6">
        <v>2012.0</v>
      </c>
      <c r="L1903" s="6">
        <v>3.0</v>
      </c>
      <c r="M1903" s="8">
        <f t="shared" si="2"/>
        <v>1.65</v>
      </c>
      <c r="P1903" s="9"/>
    </row>
    <row r="1904">
      <c r="A1904" s="6" t="s">
        <v>4693</v>
      </c>
      <c r="B1904" s="6" t="s">
        <v>4694</v>
      </c>
      <c r="C1904" s="6" t="s">
        <v>23</v>
      </c>
      <c r="D1904" s="6" t="s">
        <v>4695</v>
      </c>
      <c r="E1904" s="6" t="s">
        <v>2835</v>
      </c>
      <c r="F1904" s="6" t="s">
        <v>77</v>
      </c>
      <c r="G1904" s="7">
        <v>0.1</v>
      </c>
      <c r="H1904" s="6" t="s">
        <v>153</v>
      </c>
      <c r="I1904" s="6" t="s">
        <v>20</v>
      </c>
      <c r="J1904" s="6">
        <v>2025.0</v>
      </c>
      <c r="K1904" s="10">
        <v>46116.0</v>
      </c>
      <c r="L1904" s="6">
        <v>13.0</v>
      </c>
      <c r="M1904" s="8">
        <f t="shared" si="2"/>
        <v>1.3</v>
      </c>
      <c r="P1904" s="9"/>
    </row>
    <row r="1905">
      <c r="A1905" s="6" t="s">
        <v>4696</v>
      </c>
      <c r="B1905" s="6" t="s">
        <v>4697</v>
      </c>
      <c r="C1905" s="6" t="s">
        <v>183</v>
      </c>
      <c r="D1905" s="6" t="s">
        <v>4698</v>
      </c>
      <c r="E1905" s="6" t="s">
        <v>891</v>
      </c>
      <c r="F1905" s="6" t="s">
        <v>77</v>
      </c>
      <c r="G1905" s="7">
        <v>0.1</v>
      </c>
      <c r="H1905" s="6" t="s">
        <v>1148</v>
      </c>
      <c r="I1905" s="6" t="s">
        <v>20</v>
      </c>
      <c r="J1905" s="6">
        <v>2012.0</v>
      </c>
      <c r="L1905" s="6">
        <v>1.0</v>
      </c>
      <c r="M1905" s="8">
        <f t="shared" si="2"/>
        <v>0.1</v>
      </c>
      <c r="P1905" s="9"/>
    </row>
    <row r="1906">
      <c r="A1906" s="6" t="s">
        <v>4699</v>
      </c>
      <c r="B1906" s="6" t="s">
        <v>1206</v>
      </c>
      <c r="C1906" s="6" t="s">
        <v>43</v>
      </c>
      <c r="D1906" s="6" t="s">
        <v>4700</v>
      </c>
      <c r="E1906" s="6" t="s">
        <v>526</v>
      </c>
      <c r="F1906" s="6" t="s">
        <v>26</v>
      </c>
      <c r="G1906" s="7">
        <v>0.03</v>
      </c>
      <c r="H1906" s="6" t="s">
        <v>475</v>
      </c>
      <c r="I1906" s="6" t="s">
        <v>20</v>
      </c>
      <c r="J1906" s="6">
        <v>2024.0</v>
      </c>
      <c r="K1906" s="10">
        <v>46116.0</v>
      </c>
      <c r="L1906" s="6">
        <v>1.0</v>
      </c>
      <c r="M1906" s="8">
        <f t="shared" si="2"/>
        <v>0.03</v>
      </c>
      <c r="P1906" s="9"/>
    </row>
    <row r="1907">
      <c r="A1907" s="6" t="s">
        <v>4701</v>
      </c>
      <c r="B1907" s="6" t="s">
        <v>162</v>
      </c>
      <c r="C1907" s="6" t="s">
        <v>37</v>
      </c>
      <c r="D1907" s="6" t="s">
        <v>4702</v>
      </c>
      <c r="E1907" s="6" t="s">
        <v>1027</v>
      </c>
      <c r="F1907" s="6" t="s">
        <v>77</v>
      </c>
      <c r="G1907" s="7">
        <v>0.09</v>
      </c>
      <c r="H1907" s="6" t="s">
        <v>297</v>
      </c>
      <c r="I1907" s="6" t="s">
        <v>20</v>
      </c>
      <c r="J1907" s="6">
        <v>2022.0</v>
      </c>
      <c r="L1907" s="6">
        <v>1.0</v>
      </c>
      <c r="M1907" s="8">
        <f t="shared" si="2"/>
        <v>0.09</v>
      </c>
      <c r="P1907" s="9"/>
    </row>
    <row r="1908">
      <c r="A1908" s="6" t="s">
        <v>4703</v>
      </c>
      <c r="B1908" s="6" t="s">
        <v>74</v>
      </c>
      <c r="C1908" s="6" t="s">
        <v>43</v>
      </c>
      <c r="D1908" s="6" t="s">
        <v>4704</v>
      </c>
      <c r="E1908" s="6" t="s">
        <v>329</v>
      </c>
      <c r="F1908" s="6" t="s">
        <v>112</v>
      </c>
      <c r="G1908" s="7">
        <v>0.06</v>
      </c>
      <c r="H1908" s="6" t="s">
        <v>674</v>
      </c>
      <c r="I1908" s="6" t="s">
        <v>20</v>
      </c>
      <c r="J1908" s="6">
        <v>2021.0</v>
      </c>
      <c r="L1908" s="6">
        <v>1.0</v>
      </c>
      <c r="M1908" s="8">
        <f t="shared" si="2"/>
        <v>0.06</v>
      </c>
      <c r="P1908" s="9"/>
    </row>
    <row r="1909">
      <c r="A1909" s="6" t="s">
        <v>4705</v>
      </c>
      <c r="B1909" s="6" t="s">
        <v>4706</v>
      </c>
      <c r="C1909" s="6" t="s">
        <v>43</v>
      </c>
      <c r="D1909" s="6" t="s">
        <v>4707</v>
      </c>
      <c r="E1909" s="6" t="s">
        <v>448</v>
      </c>
      <c r="F1909" s="6" t="s">
        <v>112</v>
      </c>
      <c r="G1909" s="7">
        <v>0.03</v>
      </c>
      <c r="H1909" s="6" t="s">
        <v>398</v>
      </c>
      <c r="I1909" s="6" t="s">
        <v>20</v>
      </c>
      <c r="J1909" s="6">
        <v>2019.0</v>
      </c>
      <c r="K1909" s="10">
        <v>46145.0</v>
      </c>
      <c r="L1909" s="6">
        <v>1.0</v>
      </c>
      <c r="M1909" s="8">
        <f t="shared" si="2"/>
        <v>0.03</v>
      </c>
      <c r="P1909" s="9"/>
    </row>
    <row r="1910">
      <c r="A1910" s="6" t="s">
        <v>4708</v>
      </c>
      <c r="B1910" s="6" t="s">
        <v>606</v>
      </c>
      <c r="C1910" s="6" t="s">
        <v>23</v>
      </c>
      <c r="D1910" s="6" t="s">
        <v>4709</v>
      </c>
      <c r="E1910" s="6" t="s">
        <v>852</v>
      </c>
      <c r="F1910" s="6" t="s">
        <v>18</v>
      </c>
      <c r="G1910" s="7">
        <v>1.05</v>
      </c>
      <c r="H1910" s="6" t="s">
        <v>130</v>
      </c>
      <c r="I1910" s="6" t="s">
        <v>20</v>
      </c>
      <c r="J1910" s="6">
        <v>2014.0</v>
      </c>
      <c r="L1910" s="6">
        <v>1.0</v>
      </c>
      <c r="M1910" s="8">
        <f t="shared" si="2"/>
        <v>1.05</v>
      </c>
      <c r="P1910" s="9"/>
    </row>
    <row r="1911">
      <c r="A1911" s="6" t="s">
        <v>4708</v>
      </c>
      <c r="B1911" s="6" t="s">
        <v>74</v>
      </c>
      <c r="C1911" s="6" t="s">
        <v>43</v>
      </c>
      <c r="D1911" s="6" t="s">
        <v>4710</v>
      </c>
      <c r="E1911" s="6" t="s">
        <v>107</v>
      </c>
      <c r="F1911" s="6" t="s">
        <v>18</v>
      </c>
      <c r="G1911" s="7">
        <v>0.5</v>
      </c>
      <c r="H1911" s="6" t="s">
        <v>1090</v>
      </c>
      <c r="I1911" s="6" t="s">
        <v>20</v>
      </c>
      <c r="J1911" s="6">
        <v>2011.0</v>
      </c>
      <c r="L1911" s="6">
        <v>4.0</v>
      </c>
      <c r="M1911" s="8">
        <f t="shared" si="2"/>
        <v>2</v>
      </c>
      <c r="P1911" s="9"/>
    </row>
    <row r="1912">
      <c r="A1912" s="6" t="s">
        <v>4711</v>
      </c>
      <c r="B1912" s="6" t="s">
        <v>494</v>
      </c>
      <c r="C1912" s="6" t="s">
        <v>37</v>
      </c>
      <c r="D1912" s="6" t="s">
        <v>4712</v>
      </c>
      <c r="E1912" s="6" t="s">
        <v>135</v>
      </c>
      <c r="F1912" s="6" t="s">
        <v>40</v>
      </c>
      <c r="G1912" s="7">
        <v>0.05</v>
      </c>
      <c r="H1912" s="6" t="s">
        <v>1687</v>
      </c>
      <c r="I1912" s="6" t="s">
        <v>20</v>
      </c>
      <c r="J1912" s="6">
        <v>2001.0</v>
      </c>
      <c r="L1912" s="6">
        <v>1.0</v>
      </c>
      <c r="M1912" s="8">
        <f t="shared" si="2"/>
        <v>0.05</v>
      </c>
      <c r="P1912" s="9"/>
    </row>
    <row r="1913">
      <c r="A1913" s="6" t="s">
        <v>4713</v>
      </c>
      <c r="B1913" s="6" t="s">
        <v>396</v>
      </c>
      <c r="C1913" s="6" t="s">
        <v>43</v>
      </c>
      <c r="D1913" s="6" t="s">
        <v>4714</v>
      </c>
      <c r="E1913" s="6" t="s">
        <v>125</v>
      </c>
      <c r="F1913" s="6" t="s">
        <v>40</v>
      </c>
      <c r="G1913" s="7">
        <v>0.05</v>
      </c>
      <c r="H1913" s="6" t="s">
        <v>363</v>
      </c>
      <c r="I1913" s="6" t="s">
        <v>20</v>
      </c>
      <c r="J1913" s="6">
        <v>2024.0</v>
      </c>
      <c r="L1913" s="6">
        <v>2.0</v>
      </c>
      <c r="M1913" s="8">
        <f t="shared" si="2"/>
        <v>0.1</v>
      </c>
      <c r="P1913" s="9"/>
    </row>
    <row r="1914">
      <c r="A1914" s="6" t="s">
        <v>4715</v>
      </c>
      <c r="B1914" s="6" t="s">
        <v>213</v>
      </c>
      <c r="C1914" s="6" t="s">
        <v>15</v>
      </c>
      <c r="D1914" s="6" t="s">
        <v>4716</v>
      </c>
      <c r="E1914" s="6" t="s">
        <v>25</v>
      </c>
      <c r="F1914" s="6" t="s">
        <v>26</v>
      </c>
      <c r="G1914" s="7">
        <v>0.9</v>
      </c>
      <c r="H1914" s="6" t="s">
        <v>1784</v>
      </c>
      <c r="I1914" s="6" t="s">
        <v>20</v>
      </c>
      <c r="J1914" s="6">
        <v>2026.0</v>
      </c>
      <c r="L1914" s="6">
        <v>1.0</v>
      </c>
      <c r="M1914" s="8">
        <f t="shared" si="2"/>
        <v>0.9</v>
      </c>
      <c r="P1914" s="9"/>
    </row>
    <row r="1915">
      <c r="A1915" s="6" t="s">
        <v>4717</v>
      </c>
      <c r="B1915" s="6" t="s">
        <v>138</v>
      </c>
      <c r="C1915" s="6" t="s">
        <v>43</v>
      </c>
      <c r="D1915" s="6" t="s">
        <v>4718</v>
      </c>
      <c r="E1915" s="6" t="s">
        <v>86</v>
      </c>
      <c r="F1915" s="6" t="s">
        <v>87</v>
      </c>
      <c r="G1915" s="7">
        <v>0.1</v>
      </c>
      <c r="H1915" s="6" t="s">
        <v>136</v>
      </c>
      <c r="I1915" s="6" t="s">
        <v>20</v>
      </c>
      <c r="J1915" s="6">
        <v>2026.0</v>
      </c>
      <c r="L1915" s="6">
        <v>7.0</v>
      </c>
      <c r="M1915" s="8">
        <f t="shared" si="2"/>
        <v>0.7</v>
      </c>
      <c r="P1915" s="9"/>
    </row>
    <row r="1916">
      <c r="A1916" s="6" t="s">
        <v>4719</v>
      </c>
      <c r="B1916" s="6" t="s">
        <v>462</v>
      </c>
      <c r="C1916" s="6" t="s">
        <v>43</v>
      </c>
      <c r="D1916" s="6" t="s">
        <v>4720</v>
      </c>
      <c r="E1916" s="6" t="s">
        <v>164</v>
      </c>
      <c r="F1916" s="6" t="s">
        <v>112</v>
      </c>
      <c r="G1916" s="7">
        <v>0.05</v>
      </c>
      <c r="H1916" s="6" t="s">
        <v>475</v>
      </c>
      <c r="I1916" s="6" t="s">
        <v>20</v>
      </c>
      <c r="J1916" s="6">
        <v>2024.0</v>
      </c>
      <c r="L1916" s="6">
        <v>1.0</v>
      </c>
      <c r="M1916" s="8">
        <f t="shared" si="2"/>
        <v>0.05</v>
      </c>
      <c r="P1916" s="9"/>
    </row>
    <row r="1917">
      <c r="A1917" s="6" t="s">
        <v>4721</v>
      </c>
      <c r="B1917" s="6" t="s">
        <v>219</v>
      </c>
      <c r="C1917" s="6" t="s">
        <v>43</v>
      </c>
      <c r="D1917" s="6" t="s">
        <v>4722</v>
      </c>
      <c r="E1917" s="6" t="s">
        <v>25</v>
      </c>
      <c r="F1917" s="6" t="s">
        <v>26</v>
      </c>
      <c r="G1917" s="7">
        <v>0.06</v>
      </c>
      <c r="H1917" s="6" t="s">
        <v>1392</v>
      </c>
      <c r="I1917" s="6" t="s">
        <v>20</v>
      </c>
      <c r="J1917" s="6">
        <v>2014.0</v>
      </c>
      <c r="L1917" s="6">
        <v>1.0</v>
      </c>
      <c r="M1917" s="8">
        <f t="shared" si="2"/>
        <v>0.06</v>
      </c>
      <c r="P1917" s="9"/>
    </row>
    <row r="1918">
      <c r="A1918" s="6" t="s">
        <v>4723</v>
      </c>
      <c r="B1918" s="6" t="s">
        <v>396</v>
      </c>
      <c r="C1918" s="6" t="s">
        <v>43</v>
      </c>
      <c r="D1918" s="6" t="s">
        <v>4724</v>
      </c>
      <c r="E1918" s="6" t="s">
        <v>25</v>
      </c>
      <c r="F1918" s="6" t="s">
        <v>26</v>
      </c>
      <c r="G1918" s="7">
        <v>0.03</v>
      </c>
      <c r="H1918" s="6" t="s">
        <v>78</v>
      </c>
      <c r="I1918" s="6" t="s">
        <v>20</v>
      </c>
      <c r="J1918" s="6">
        <v>2018.0</v>
      </c>
      <c r="L1918" s="6">
        <v>1.0</v>
      </c>
      <c r="M1918" s="8">
        <f t="shared" si="2"/>
        <v>0.03</v>
      </c>
      <c r="N1918" s="6" t="s">
        <v>374</v>
      </c>
      <c r="P1918" s="9"/>
    </row>
    <row r="1919">
      <c r="A1919" s="6" t="s">
        <v>4725</v>
      </c>
      <c r="B1919" s="6" t="s">
        <v>219</v>
      </c>
      <c r="C1919" s="6" t="s">
        <v>43</v>
      </c>
      <c r="D1919" s="6" t="s">
        <v>4726</v>
      </c>
      <c r="E1919" s="6" t="s">
        <v>185</v>
      </c>
      <c r="F1919" s="6" t="s">
        <v>4727</v>
      </c>
      <c r="G1919" s="7">
        <v>0.08</v>
      </c>
      <c r="H1919" s="6" t="s">
        <v>922</v>
      </c>
      <c r="I1919" s="6" t="s">
        <v>20</v>
      </c>
      <c r="J1919" s="6">
        <v>2014.0</v>
      </c>
      <c r="L1919" s="6">
        <v>1.0</v>
      </c>
      <c r="M1919" s="8">
        <f t="shared" si="2"/>
        <v>0.08</v>
      </c>
      <c r="N1919" s="6" t="s">
        <v>374</v>
      </c>
      <c r="P1919" s="9"/>
    </row>
    <row r="1920">
      <c r="A1920" s="6" t="s">
        <v>4728</v>
      </c>
      <c r="B1920" s="6" t="s">
        <v>916</v>
      </c>
      <c r="C1920" s="6" t="s">
        <v>37</v>
      </c>
      <c r="D1920" s="6" t="s">
        <v>4729</v>
      </c>
      <c r="E1920" s="6" t="s">
        <v>256</v>
      </c>
      <c r="F1920" s="6" t="s">
        <v>87</v>
      </c>
      <c r="G1920" s="7">
        <v>0.06</v>
      </c>
      <c r="H1920" s="6" t="s">
        <v>922</v>
      </c>
      <c r="I1920" s="6" t="s">
        <v>20</v>
      </c>
      <c r="J1920" s="6">
        <v>2023.0</v>
      </c>
      <c r="K1920" s="10">
        <v>46116.0</v>
      </c>
      <c r="L1920" s="6">
        <v>1.0</v>
      </c>
      <c r="M1920" s="8">
        <f t="shared" si="2"/>
        <v>0.06</v>
      </c>
      <c r="P1920" s="9"/>
    </row>
    <row r="1921">
      <c r="A1921" s="6" t="s">
        <v>4730</v>
      </c>
      <c r="B1921" s="6" t="s">
        <v>4731</v>
      </c>
      <c r="C1921" s="6" t="s">
        <v>15</v>
      </c>
      <c r="D1921" s="6" t="s">
        <v>4732</v>
      </c>
      <c r="E1921" s="6" t="s">
        <v>814</v>
      </c>
      <c r="F1921" s="6" t="s">
        <v>87</v>
      </c>
      <c r="G1921" s="7">
        <v>0.06</v>
      </c>
      <c r="H1921" s="6" t="s">
        <v>130</v>
      </c>
      <c r="I1921" s="6" t="s">
        <v>20</v>
      </c>
      <c r="J1921" s="6">
        <v>2014.0</v>
      </c>
      <c r="K1921" s="10">
        <v>46083.0</v>
      </c>
      <c r="L1921" s="6">
        <v>1.0</v>
      </c>
      <c r="M1921" s="8">
        <f t="shared" si="2"/>
        <v>0.06</v>
      </c>
      <c r="P1921" s="9"/>
    </row>
    <row r="1922">
      <c r="A1922" s="6" t="s">
        <v>4733</v>
      </c>
      <c r="B1922" s="6" t="s">
        <v>2356</v>
      </c>
      <c r="C1922" s="6" t="s">
        <v>43</v>
      </c>
      <c r="D1922" s="6" t="s">
        <v>4734</v>
      </c>
      <c r="E1922" s="6" t="s">
        <v>76</v>
      </c>
      <c r="F1922" s="6" t="s">
        <v>77</v>
      </c>
      <c r="G1922" s="7">
        <v>0.05</v>
      </c>
      <c r="H1922" s="6" t="s">
        <v>922</v>
      </c>
      <c r="I1922" s="6" t="s">
        <v>20</v>
      </c>
      <c r="J1922" s="6">
        <v>2014.0</v>
      </c>
      <c r="K1922" s="10">
        <v>46024.0</v>
      </c>
      <c r="L1922" s="6">
        <v>1.0</v>
      </c>
      <c r="M1922" s="8">
        <f t="shared" si="2"/>
        <v>0.05</v>
      </c>
      <c r="P1922" s="9"/>
    </row>
    <row r="1923">
      <c r="A1923" s="6" t="s">
        <v>4735</v>
      </c>
      <c r="B1923" s="6" t="s">
        <v>4736</v>
      </c>
      <c r="C1923" s="6" t="s">
        <v>43</v>
      </c>
      <c r="D1923" s="6" t="s">
        <v>4737</v>
      </c>
      <c r="E1923" s="6" t="s">
        <v>389</v>
      </c>
      <c r="F1923" s="6" t="s">
        <v>87</v>
      </c>
      <c r="G1923" s="7">
        <v>0.03</v>
      </c>
      <c r="H1923" s="6" t="s">
        <v>922</v>
      </c>
      <c r="I1923" s="6" t="s">
        <v>20</v>
      </c>
      <c r="J1923" s="6">
        <v>2014.0</v>
      </c>
      <c r="K1923" s="10">
        <v>46084.0</v>
      </c>
      <c r="L1923" s="6">
        <v>3.0</v>
      </c>
      <c r="M1923" s="8">
        <f t="shared" si="2"/>
        <v>0.09</v>
      </c>
      <c r="P1923" s="9"/>
    </row>
    <row r="1924">
      <c r="A1924" s="6" t="s">
        <v>4738</v>
      </c>
      <c r="B1924" s="6" t="s">
        <v>254</v>
      </c>
      <c r="C1924" s="6" t="s">
        <v>377</v>
      </c>
      <c r="D1924" s="6" t="s">
        <v>4739</v>
      </c>
      <c r="E1924" s="6" t="s">
        <v>248</v>
      </c>
      <c r="F1924" s="6" t="s">
        <v>2232</v>
      </c>
      <c r="G1924" s="7">
        <v>0.03</v>
      </c>
      <c r="H1924" s="6" t="s">
        <v>895</v>
      </c>
      <c r="I1924" s="6" t="s">
        <v>20</v>
      </c>
      <c r="J1924" s="6">
        <v>2018.0</v>
      </c>
      <c r="L1924" s="6">
        <v>4.0</v>
      </c>
      <c r="M1924" s="8">
        <f t="shared" si="2"/>
        <v>0.12</v>
      </c>
      <c r="P1924" s="9"/>
    </row>
    <row r="1925">
      <c r="A1925" s="6" t="s">
        <v>4740</v>
      </c>
      <c r="B1925" s="6" t="s">
        <v>1548</v>
      </c>
      <c r="C1925" s="6" t="s">
        <v>23</v>
      </c>
      <c r="D1925" s="6" t="s">
        <v>4741</v>
      </c>
      <c r="E1925" s="6" t="s">
        <v>3261</v>
      </c>
      <c r="F1925" s="6" t="s">
        <v>112</v>
      </c>
      <c r="G1925" s="7">
        <v>0.03</v>
      </c>
      <c r="H1925" s="6" t="s">
        <v>342</v>
      </c>
      <c r="I1925" s="6" t="s">
        <v>20</v>
      </c>
      <c r="J1925" s="6">
        <v>2014.0</v>
      </c>
      <c r="L1925" s="6">
        <v>4.0</v>
      </c>
      <c r="M1925" s="8">
        <f t="shared" si="2"/>
        <v>0.12</v>
      </c>
      <c r="P1925" s="9"/>
    </row>
    <row r="1926">
      <c r="A1926" s="6" t="s">
        <v>4742</v>
      </c>
      <c r="B1926" s="6" t="s">
        <v>138</v>
      </c>
      <c r="C1926" s="6" t="s">
        <v>43</v>
      </c>
      <c r="D1926" s="6" t="s">
        <v>4743</v>
      </c>
      <c r="E1926" s="6" t="s">
        <v>117</v>
      </c>
      <c r="F1926" s="6" t="s">
        <v>77</v>
      </c>
      <c r="G1926" s="7">
        <v>0.08</v>
      </c>
      <c r="H1926" s="6" t="s">
        <v>83</v>
      </c>
      <c r="I1926" s="6" t="s">
        <v>20</v>
      </c>
      <c r="J1926" s="6">
        <v>1995.0</v>
      </c>
      <c r="L1926" s="6">
        <v>4.0</v>
      </c>
      <c r="M1926" s="8">
        <f t="shared" si="2"/>
        <v>0.32</v>
      </c>
      <c r="P1926" s="9"/>
    </row>
    <row r="1927">
      <c r="A1927" s="6" t="s">
        <v>4742</v>
      </c>
      <c r="B1927" s="6" t="s">
        <v>138</v>
      </c>
      <c r="C1927" s="6" t="s">
        <v>43</v>
      </c>
      <c r="D1927" s="6" t="s">
        <v>4743</v>
      </c>
      <c r="E1927" s="6" t="s">
        <v>117</v>
      </c>
      <c r="F1927" s="6" t="s">
        <v>77</v>
      </c>
      <c r="G1927" s="7">
        <v>0.15</v>
      </c>
      <c r="H1927" s="6" t="s">
        <v>1064</v>
      </c>
      <c r="I1927" s="6" t="s">
        <v>20</v>
      </c>
      <c r="J1927" s="6">
        <v>1995.0</v>
      </c>
      <c r="L1927" s="6">
        <v>5.0</v>
      </c>
      <c r="M1927" s="8">
        <f t="shared" si="2"/>
        <v>0.75</v>
      </c>
      <c r="P1927" s="9"/>
    </row>
    <row r="1928">
      <c r="A1928" s="6" t="s">
        <v>4744</v>
      </c>
      <c r="B1928" s="6" t="s">
        <v>4745</v>
      </c>
      <c r="C1928" s="6" t="s">
        <v>43</v>
      </c>
      <c r="D1928" s="6" t="s">
        <v>4746</v>
      </c>
      <c r="E1928" s="6" t="s">
        <v>135</v>
      </c>
      <c r="F1928" s="6" t="s">
        <v>40</v>
      </c>
      <c r="G1928" s="7">
        <v>0.06</v>
      </c>
      <c r="H1928" s="6" t="s">
        <v>232</v>
      </c>
      <c r="I1928" s="6" t="s">
        <v>20</v>
      </c>
      <c r="J1928" s="6">
        <v>2010.0</v>
      </c>
      <c r="K1928" s="10">
        <v>46024.0</v>
      </c>
      <c r="L1928" s="6">
        <v>1.0</v>
      </c>
      <c r="M1928" s="8">
        <f t="shared" si="2"/>
        <v>0.06</v>
      </c>
      <c r="P1928" s="9"/>
    </row>
    <row r="1929">
      <c r="A1929" s="6" t="s">
        <v>4747</v>
      </c>
      <c r="B1929" s="6" t="s">
        <v>102</v>
      </c>
      <c r="C1929" s="6" t="s">
        <v>37</v>
      </c>
      <c r="D1929" s="6" t="s">
        <v>4748</v>
      </c>
      <c r="E1929" s="6" t="s">
        <v>3445</v>
      </c>
      <c r="F1929" s="6" t="s">
        <v>519</v>
      </c>
      <c r="G1929" s="7">
        <v>0.15</v>
      </c>
      <c r="H1929" s="6" t="s">
        <v>655</v>
      </c>
      <c r="I1929" s="6" t="s">
        <v>20</v>
      </c>
      <c r="J1929" s="6">
        <v>2023.0</v>
      </c>
      <c r="K1929" s="10">
        <v>46055.0</v>
      </c>
      <c r="L1929" s="6">
        <v>1.0</v>
      </c>
      <c r="M1929" s="8">
        <f t="shared" si="2"/>
        <v>0.15</v>
      </c>
      <c r="P1929" s="9"/>
    </row>
    <row r="1930">
      <c r="A1930" s="6" t="s">
        <v>4749</v>
      </c>
      <c r="B1930" s="6" t="s">
        <v>1677</v>
      </c>
      <c r="C1930" s="6" t="s">
        <v>37</v>
      </c>
      <c r="D1930" s="6" t="s">
        <v>4750</v>
      </c>
      <c r="E1930" s="6" t="s">
        <v>185</v>
      </c>
      <c r="F1930" s="6" t="s">
        <v>2657</v>
      </c>
      <c r="G1930" s="7">
        <v>0.15</v>
      </c>
      <c r="H1930" s="6" t="s">
        <v>228</v>
      </c>
      <c r="I1930" s="6" t="s">
        <v>20</v>
      </c>
      <c r="J1930" s="6">
        <v>2025.0</v>
      </c>
      <c r="K1930" s="10">
        <v>46148.0</v>
      </c>
      <c r="L1930" s="6">
        <v>2.0</v>
      </c>
      <c r="M1930" s="8">
        <f t="shared" si="2"/>
        <v>0.3</v>
      </c>
      <c r="P1930" s="9"/>
    </row>
    <row r="1931">
      <c r="A1931" s="6" t="s">
        <v>4751</v>
      </c>
      <c r="B1931" s="6" t="s">
        <v>371</v>
      </c>
      <c r="C1931" s="6" t="s">
        <v>43</v>
      </c>
      <c r="D1931" s="6" t="s">
        <v>4752</v>
      </c>
      <c r="E1931" s="6" t="s">
        <v>135</v>
      </c>
      <c r="F1931" s="6" t="s">
        <v>40</v>
      </c>
      <c r="G1931" s="7">
        <v>0.02</v>
      </c>
      <c r="H1931" s="6" t="s">
        <v>290</v>
      </c>
      <c r="I1931" s="6" t="s">
        <v>20</v>
      </c>
      <c r="J1931" s="6">
        <v>2019.0</v>
      </c>
      <c r="K1931" s="10">
        <v>46055.0</v>
      </c>
      <c r="L1931" s="6">
        <v>1.0</v>
      </c>
      <c r="M1931" s="8">
        <f t="shared" si="2"/>
        <v>0.02</v>
      </c>
      <c r="P1931" s="9"/>
    </row>
    <row r="1932">
      <c r="A1932" s="6" t="s">
        <v>4753</v>
      </c>
      <c r="B1932" s="6" t="s">
        <v>162</v>
      </c>
      <c r="C1932" s="6" t="s">
        <v>30</v>
      </c>
      <c r="D1932" s="6" t="s">
        <v>4754</v>
      </c>
      <c r="E1932" s="6" t="s">
        <v>526</v>
      </c>
      <c r="F1932" s="6" t="s">
        <v>26</v>
      </c>
      <c r="G1932" s="7">
        <v>0.14</v>
      </c>
      <c r="H1932" s="6" t="s">
        <v>460</v>
      </c>
      <c r="I1932" s="6" t="s">
        <v>20</v>
      </c>
      <c r="J1932" s="6">
        <v>2015.0</v>
      </c>
      <c r="L1932" s="6">
        <v>1.0</v>
      </c>
      <c r="M1932" s="8">
        <f t="shared" si="2"/>
        <v>0.14</v>
      </c>
      <c r="P1932" s="9"/>
    </row>
    <row r="1933">
      <c r="A1933" s="6" t="s">
        <v>4753</v>
      </c>
      <c r="B1933" s="6" t="s">
        <v>162</v>
      </c>
      <c r="C1933" s="6" t="s">
        <v>30</v>
      </c>
      <c r="D1933" s="6" t="s">
        <v>4755</v>
      </c>
      <c r="E1933" s="6" t="s">
        <v>526</v>
      </c>
      <c r="F1933" s="6" t="s">
        <v>26</v>
      </c>
      <c r="G1933" s="7">
        <v>0.14</v>
      </c>
      <c r="H1933" s="6" t="s">
        <v>460</v>
      </c>
      <c r="I1933" s="6" t="s">
        <v>20</v>
      </c>
      <c r="J1933" s="6">
        <v>2015.0</v>
      </c>
      <c r="L1933" s="6">
        <v>1.0</v>
      </c>
      <c r="M1933" s="8">
        <f t="shared" si="2"/>
        <v>0.14</v>
      </c>
      <c r="P1933" s="9"/>
    </row>
    <row r="1934">
      <c r="A1934" s="6" t="s">
        <v>4756</v>
      </c>
      <c r="B1934" s="6" t="s">
        <v>74</v>
      </c>
      <c r="C1934" s="6" t="s">
        <v>43</v>
      </c>
      <c r="D1934" s="6" t="s">
        <v>4757</v>
      </c>
      <c r="E1934" s="6" t="s">
        <v>179</v>
      </c>
      <c r="F1934" s="6" t="s">
        <v>112</v>
      </c>
      <c r="G1934" s="7">
        <v>0.13</v>
      </c>
      <c r="H1934" s="6" t="s">
        <v>89</v>
      </c>
      <c r="I1934" s="6" t="s">
        <v>20</v>
      </c>
      <c r="J1934" s="6">
        <v>2021.0</v>
      </c>
      <c r="L1934" s="6">
        <v>1.0</v>
      </c>
      <c r="M1934" s="8">
        <f t="shared" si="2"/>
        <v>0.13</v>
      </c>
      <c r="P1934" s="9"/>
    </row>
    <row r="1935">
      <c r="A1935" s="6" t="s">
        <v>4758</v>
      </c>
      <c r="B1935" s="6" t="s">
        <v>2969</v>
      </c>
      <c r="C1935" s="6" t="s">
        <v>23</v>
      </c>
      <c r="D1935" s="6" t="s">
        <v>4759</v>
      </c>
      <c r="E1935" s="6" t="s">
        <v>2390</v>
      </c>
      <c r="F1935" s="6" t="s">
        <v>40</v>
      </c>
      <c r="G1935" s="7">
        <v>0.06</v>
      </c>
      <c r="H1935" s="6" t="s">
        <v>130</v>
      </c>
      <c r="I1935" s="6" t="s">
        <v>20</v>
      </c>
      <c r="J1935" s="6">
        <v>2014.0</v>
      </c>
      <c r="K1935" s="10">
        <v>46054.0</v>
      </c>
      <c r="L1935" s="6">
        <v>1.0</v>
      </c>
      <c r="M1935" s="8">
        <f t="shared" si="2"/>
        <v>0.06</v>
      </c>
      <c r="P1935" s="9"/>
    </row>
    <row r="1936">
      <c r="A1936" s="6" t="s">
        <v>4760</v>
      </c>
      <c r="B1936" s="6" t="s">
        <v>4761</v>
      </c>
      <c r="C1936" s="6" t="s">
        <v>30</v>
      </c>
      <c r="D1936" s="6" t="s">
        <v>4762</v>
      </c>
      <c r="E1936" s="6" t="s">
        <v>1027</v>
      </c>
      <c r="F1936" s="6" t="s">
        <v>77</v>
      </c>
      <c r="G1936" s="7">
        <v>4.11</v>
      </c>
      <c r="H1936" s="6" t="s">
        <v>249</v>
      </c>
      <c r="I1936" s="6" t="s">
        <v>20</v>
      </c>
      <c r="J1936" s="6">
        <v>2014.0</v>
      </c>
      <c r="K1936" s="10">
        <v>46147.0</v>
      </c>
      <c r="L1936" s="6">
        <v>1.0</v>
      </c>
      <c r="M1936" s="8">
        <f t="shared" si="2"/>
        <v>4.11</v>
      </c>
      <c r="P1936" s="9"/>
    </row>
    <row r="1937">
      <c r="A1937" s="6" t="s">
        <v>4763</v>
      </c>
      <c r="B1937" s="6" t="s">
        <v>4764</v>
      </c>
      <c r="C1937" s="6" t="s">
        <v>37</v>
      </c>
      <c r="D1937" s="6" t="s">
        <v>4765</v>
      </c>
      <c r="E1937" s="6" t="s">
        <v>107</v>
      </c>
      <c r="F1937" s="6" t="s">
        <v>18</v>
      </c>
      <c r="G1937" s="7">
        <v>0.15</v>
      </c>
      <c r="H1937" s="6" t="s">
        <v>34</v>
      </c>
      <c r="I1937" s="6" t="s">
        <v>20</v>
      </c>
      <c r="J1937" s="6">
        <v>2025.0</v>
      </c>
      <c r="K1937" s="10">
        <v>46082.0</v>
      </c>
      <c r="L1937" s="6">
        <v>1.0</v>
      </c>
      <c r="M1937" s="8">
        <f t="shared" si="2"/>
        <v>0.15</v>
      </c>
      <c r="P1937" s="9"/>
    </row>
    <row r="1938">
      <c r="A1938" s="6" t="s">
        <v>4766</v>
      </c>
      <c r="B1938" s="6" t="s">
        <v>4249</v>
      </c>
      <c r="C1938" s="6" t="s">
        <v>37</v>
      </c>
      <c r="D1938" s="6" t="s">
        <v>4767</v>
      </c>
      <c r="E1938" s="6" t="s">
        <v>420</v>
      </c>
      <c r="F1938" s="6" t="s">
        <v>40</v>
      </c>
      <c r="G1938" s="7">
        <v>0.15</v>
      </c>
      <c r="H1938" s="6" t="s">
        <v>34</v>
      </c>
      <c r="I1938" s="6" t="s">
        <v>20</v>
      </c>
      <c r="J1938" s="6">
        <v>2025.0</v>
      </c>
      <c r="K1938" s="10">
        <v>46116.0</v>
      </c>
      <c r="L1938" s="6">
        <v>1.0</v>
      </c>
      <c r="M1938" s="8">
        <f t="shared" si="2"/>
        <v>0.15</v>
      </c>
      <c r="P1938" s="9"/>
    </row>
    <row r="1939">
      <c r="A1939" s="6" t="s">
        <v>4768</v>
      </c>
      <c r="B1939" s="6" t="s">
        <v>4769</v>
      </c>
      <c r="C1939" s="6" t="s">
        <v>37</v>
      </c>
      <c r="D1939" s="6" t="s">
        <v>4770</v>
      </c>
      <c r="E1939" s="6" t="s">
        <v>4771</v>
      </c>
      <c r="F1939" s="6" t="s">
        <v>519</v>
      </c>
      <c r="G1939" s="7">
        <v>0.1</v>
      </c>
      <c r="H1939" s="6" t="s">
        <v>582</v>
      </c>
      <c r="I1939" s="6" t="s">
        <v>20</v>
      </c>
      <c r="J1939" s="6">
        <v>2023.0</v>
      </c>
      <c r="L1939" s="6">
        <v>1.0</v>
      </c>
      <c r="M1939" s="8">
        <f t="shared" si="2"/>
        <v>0.1</v>
      </c>
      <c r="P1939" s="9"/>
    </row>
    <row r="1940">
      <c r="A1940" s="6" t="s">
        <v>4772</v>
      </c>
      <c r="B1940" s="6" t="s">
        <v>74</v>
      </c>
      <c r="C1940" s="6" t="s">
        <v>43</v>
      </c>
      <c r="D1940" s="6" t="s">
        <v>991</v>
      </c>
      <c r="E1940" s="6" t="s">
        <v>164</v>
      </c>
      <c r="F1940" s="6" t="s">
        <v>112</v>
      </c>
      <c r="G1940" s="7">
        <v>0.16</v>
      </c>
      <c r="H1940" s="6" t="s">
        <v>297</v>
      </c>
      <c r="I1940" s="6" t="s">
        <v>20</v>
      </c>
      <c r="J1940" s="6">
        <v>2022.0</v>
      </c>
      <c r="L1940" s="6">
        <v>1.0</v>
      </c>
      <c r="M1940" s="8">
        <f t="shared" si="2"/>
        <v>0.16</v>
      </c>
      <c r="P1940" s="9"/>
    </row>
    <row r="1941">
      <c r="A1941" s="6" t="s">
        <v>4773</v>
      </c>
      <c r="B1941" s="6" t="s">
        <v>1520</v>
      </c>
      <c r="C1941" s="6" t="s">
        <v>43</v>
      </c>
      <c r="D1941" s="6" t="s">
        <v>4774</v>
      </c>
      <c r="E1941" s="6" t="s">
        <v>117</v>
      </c>
      <c r="F1941" s="6" t="s">
        <v>77</v>
      </c>
      <c r="G1941" s="7">
        <v>0.09</v>
      </c>
      <c r="H1941" s="6" t="s">
        <v>148</v>
      </c>
      <c r="I1941" s="6" t="s">
        <v>20</v>
      </c>
      <c r="J1941" s="6">
        <v>2026.0</v>
      </c>
      <c r="L1941" s="6">
        <v>1.0</v>
      </c>
      <c r="M1941" s="8">
        <f t="shared" si="2"/>
        <v>0.09</v>
      </c>
      <c r="P1941" s="9"/>
    </row>
    <row r="1942">
      <c r="A1942" s="6" t="s">
        <v>4775</v>
      </c>
      <c r="B1942" s="6" t="s">
        <v>208</v>
      </c>
      <c r="C1942" s="6" t="s">
        <v>37</v>
      </c>
      <c r="D1942" s="6" t="s">
        <v>4776</v>
      </c>
      <c r="E1942" s="6" t="s">
        <v>98</v>
      </c>
      <c r="F1942" s="6" t="s">
        <v>18</v>
      </c>
      <c r="G1942" s="7">
        <v>0.21</v>
      </c>
      <c r="H1942" s="6" t="s">
        <v>148</v>
      </c>
      <c r="I1942" s="6" t="s">
        <v>20</v>
      </c>
      <c r="J1942" s="6">
        <v>2026.0</v>
      </c>
      <c r="K1942" s="10">
        <v>46055.0</v>
      </c>
      <c r="L1942" s="6">
        <v>1.0</v>
      </c>
      <c r="M1942" s="8">
        <f t="shared" si="2"/>
        <v>0.21</v>
      </c>
      <c r="P1942" s="9"/>
    </row>
    <row r="1943">
      <c r="A1943" s="6" t="s">
        <v>4777</v>
      </c>
      <c r="B1943" s="6" t="s">
        <v>3480</v>
      </c>
      <c r="C1943" s="6" t="s">
        <v>15</v>
      </c>
      <c r="D1943" s="6" t="s">
        <v>4778</v>
      </c>
      <c r="E1943" s="6" t="s">
        <v>1117</v>
      </c>
      <c r="F1943" s="6" t="s">
        <v>2640</v>
      </c>
      <c r="G1943" s="7">
        <v>0.25</v>
      </c>
      <c r="H1943" s="6" t="s">
        <v>19</v>
      </c>
      <c r="I1943" s="6" t="s">
        <v>20</v>
      </c>
      <c r="J1943" s="6">
        <v>2023.0</v>
      </c>
      <c r="K1943" s="10">
        <v>46055.0</v>
      </c>
      <c r="L1943" s="6">
        <v>1.0</v>
      </c>
      <c r="M1943" s="8">
        <f t="shared" si="2"/>
        <v>0.25</v>
      </c>
      <c r="P1943" s="9"/>
    </row>
    <row r="1944">
      <c r="A1944" s="6" t="s">
        <v>4779</v>
      </c>
      <c r="B1944" s="6" t="s">
        <v>988</v>
      </c>
      <c r="C1944" s="6" t="s">
        <v>43</v>
      </c>
      <c r="D1944" s="6" t="s">
        <v>4780</v>
      </c>
      <c r="E1944" s="6" t="s">
        <v>389</v>
      </c>
      <c r="F1944" s="6" t="s">
        <v>87</v>
      </c>
      <c r="G1944" s="7">
        <v>0.06</v>
      </c>
      <c r="H1944" s="6" t="s">
        <v>407</v>
      </c>
      <c r="I1944" s="6" t="s">
        <v>20</v>
      </c>
      <c r="J1944" s="6">
        <v>2016.0</v>
      </c>
      <c r="K1944" s="10">
        <v>46144.0</v>
      </c>
      <c r="L1944" s="6">
        <v>12.0</v>
      </c>
      <c r="M1944" s="8">
        <f t="shared" si="2"/>
        <v>0.72</v>
      </c>
      <c r="P1944" s="9"/>
    </row>
    <row r="1945">
      <c r="A1945" s="6" t="s">
        <v>4781</v>
      </c>
      <c r="B1945" s="6" t="s">
        <v>138</v>
      </c>
      <c r="C1945" s="6" t="s">
        <v>43</v>
      </c>
      <c r="D1945" s="6" t="s">
        <v>4782</v>
      </c>
      <c r="E1945" s="6" t="s">
        <v>76</v>
      </c>
      <c r="F1945" s="6" t="s">
        <v>77</v>
      </c>
      <c r="G1945" s="7">
        <v>0.15</v>
      </c>
      <c r="H1945" s="6" t="s">
        <v>228</v>
      </c>
      <c r="I1945" s="6" t="s">
        <v>20</v>
      </c>
      <c r="J1945" s="6">
        <v>2025.0</v>
      </c>
      <c r="L1945" s="6">
        <v>1.0</v>
      </c>
      <c r="M1945" s="8">
        <f t="shared" si="2"/>
        <v>0.15</v>
      </c>
      <c r="P1945" s="9"/>
    </row>
    <row r="1946">
      <c r="A1946" s="6" t="s">
        <v>4783</v>
      </c>
      <c r="B1946" s="6" t="s">
        <v>1002</v>
      </c>
      <c r="C1946" s="6" t="s">
        <v>43</v>
      </c>
      <c r="D1946" s="6" t="s">
        <v>4784</v>
      </c>
      <c r="E1946" s="6" t="s">
        <v>2366</v>
      </c>
      <c r="F1946" s="6" t="s">
        <v>18</v>
      </c>
      <c r="G1946" s="7">
        <v>0.04</v>
      </c>
      <c r="H1946" s="6" t="s">
        <v>4785</v>
      </c>
      <c r="I1946" s="6" t="s">
        <v>20</v>
      </c>
      <c r="J1946" s="6">
        <v>2013.0</v>
      </c>
      <c r="K1946" s="10">
        <v>46145.0</v>
      </c>
      <c r="L1946" s="6">
        <v>2.0</v>
      </c>
      <c r="M1946" s="8">
        <f t="shared" si="2"/>
        <v>0.08</v>
      </c>
      <c r="P1946" s="9"/>
    </row>
    <row r="1947">
      <c r="A1947" s="6" t="s">
        <v>4786</v>
      </c>
      <c r="B1947" s="6" t="s">
        <v>1174</v>
      </c>
      <c r="C1947" s="6" t="s">
        <v>43</v>
      </c>
      <c r="D1947" s="6" t="s">
        <v>4787</v>
      </c>
      <c r="E1947" s="6" t="s">
        <v>4788</v>
      </c>
      <c r="F1947" s="6" t="s">
        <v>18</v>
      </c>
      <c r="G1947" s="7">
        <v>0.05</v>
      </c>
      <c r="H1947" s="6" t="s">
        <v>475</v>
      </c>
      <c r="I1947" s="6" t="s">
        <v>20</v>
      </c>
      <c r="J1947" s="6">
        <v>2024.0</v>
      </c>
      <c r="L1947" s="6">
        <v>1.0</v>
      </c>
      <c r="M1947" s="8">
        <f t="shared" si="2"/>
        <v>0.05</v>
      </c>
      <c r="P1947" s="9"/>
    </row>
    <row r="1948">
      <c r="A1948" s="6" t="s">
        <v>4789</v>
      </c>
      <c r="B1948" s="6" t="s">
        <v>4790</v>
      </c>
      <c r="C1948" s="6" t="s">
        <v>15</v>
      </c>
      <c r="D1948" s="6" t="s">
        <v>4791</v>
      </c>
      <c r="E1948" s="6" t="s">
        <v>2721</v>
      </c>
      <c r="F1948" s="6" t="s">
        <v>18</v>
      </c>
      <c r="G1948" s="7">
        <v>0.1</v>
      </c>
      <c r="H1948" s="6" t="s">
        <v>780</v>
      </c>
      <c r="I1948" s="6" t="s">
        <v>20</v>
      </c>
      <c r="J1948" s="6">
        <v>2025.0</v>
      </c>
      <c r="K1948" s="10">
        <v>46116.0</v>
      </c>
      <c r="L1948" s="6">
        <v>1.0</v>
      </c>
      <c r="M1948" s="8">
        <f t="shared" si="2"/>
        <v>0.1</v>
      </c>
      <c r="P1948" s="9"/>
    </row>
    <row r="1949">
      <c r="A1949" s="6" t="s">
        <v>4792</v>
      </c>
      <c r="B1949" s="6" t="s">
        <v>4793</v>
      </c>
      <c r="C1949" s="6" t="s">
        <v>23</v>
      </c>
      <c r="D1949" s="6" t="s">
        <v>4794</v>
      </c>
      <c r="E1949" s="6" t="s">
        <v>185</v>
      </c>
      <c r="F1949" s="6" t="s">
        <v>26</v>
      </c>
      <c r="G1949" s="7">
        <v>0.05</v>
      </c>
      <c r="H1949" s="6" t="s">
        <v>27</v>
      </c>
      <c r="I1949" s="6" t="s">
        <v>20</v>
      </c>
      <c r="J1949" s="6">
        <v>2025.0</v>
      </c>
      <c r="K1949" s="10">
        <v>46024.0</v>
      </c>
      <c r="L1949" s="6">
        <v>1.0</v>
      </c>
      <c r="M1949" s="8">
        <f t="shared" si="2"/>
        <v>0.05</v>
      </c>
      <c r="P1949" s="9"/>
    </row>
    <row r="1950">
      <c r="A1950" s="6" t="s">
        <v>4795</v>
      </c>
      <c r="B1950" s="6" t="s">
        <v>4796</v>
      </c>
      <c r="C1950" s="6" t="s">
        <v>43</v>
      </c>
      <c r="D1950" s="6" t="s">
        <v>4797</v>
      </c>
      <c r="E1950" s="6" t="s">
        <v>2290</v>
      </c>
      <c r="F1950" s="6" t="s">
        <v>1000</v>
      </c>
      <c r="G1950" s="7">
        <v>0.1</v>
      </c>
      <c r="H1950" s="6" t="s">
        <v>136</v>
      </c>
      <c r="I1950" s="6" t="s">
        <v>20</v>
      </c>
      <c r="J1950" s="6">
        <v>2026.0</v>
      </c>
      <c r="K1950" s="10">
        <v>46023.0</v>
      </c>
      <c r="L1950" s="6">
        <v>10.0</v>
      </c>
      <c r="M1950" s="8">
        <f t="shared" si="2"/>
        <v>1</v>
      </c>
      <c r="P1950" s="9"/>
    </row>
    <row r="1951">
      <c r="A1951" s="6" t="s">
        <v>4798</v>
      </c>
      <c r="B1951" s="6" t="s">
        <v>4799</v>
      </c>
      <c r="C1951" s="6" t="s">
        <v>23</v>
      </c>
      <c r="D1951" s="6" t="s">
        <v>4800</v>
      </c>
      <c r="E1951" s="6" t="s">
        <v>2461</v>
      </c>
      <c r="F1951" s="6" t="s">
        <v>18</v>
      </c>
      <c r="G1951" s="7">
        <v>0.05</v>
      </c>
      <c r="H1951" s="6" t="s">
        <v>780</v>
      </c>
      <c r="I1951" s="6" t="s">
        <v>20</v>
      </c>
      <c r="J1951" s="6">
        <v>2025.0</v>
      </c>
      <c r="K1951" s="10">
        <v>46147.0</v>
      </c>
      <c r="L1951" s="6">
        <v>1.0</v>
      </c>
      <c r="M1951" s="8">
        <f t="shared" si="2"/>
        <v>0.05</v>
      </c>
      <c r="P1951" s="9"/>
    </row>
    <row r="1952">
      <c r="A1952" s="6" t="s">
        <v>4798</v>
      </c>
      <c r="B1952" s="6" t="s">
        <v>4799</v>
      </c>
      <c r="C1952" s="6" t="s">
        <v>23</v>
      </c>
      <c r="D1952" s="6" t="s">
        <v>4800</v>
      </c>
      <c r="E1952" s="6" t="s">
        <v>2461</v>
      </c>
      <c r="F1952" s="6" t="s">
        <v>18</v>
      </c>
      <c r="G1952" s="7">
        <v>0.05</v>
      </c>
      <c r="H1952" s="6" t="s">
        <v>780</v>
      </c>
      <c r="I1952" s="6" t="s">
        <v>45</v>
      </c>
      <c r="J1952" s="6">
        <v>2025.0</v>
      </c>
      <c r="K1952" s="10">
        <v>46147.0</v>
      </c>
      <c r="L1952" s="6">
        <v>1.0</v>
      </c>
      <c r="M1952" s="7">
        <v>0.2</v>
      </c>
      <c r="P1952" s="9"/>
    </row>
    <row r="1953">
      <c r="A1953" s="6" t="s">
        <v>4801</v>
      </c>
      <c r="B1953" s="6" t="s">
        <v>213</v>
      </c>
      <c r="C1953" s="6" t="s">
        <v>23</v>
      </c>
      <c r="D1953" s="6" t="s">
        <v>4802</v>
      </c>
      <c r="E1953" s="6" t="s">
        <v>185</v>
      </c>
      <c r="F1953" s="6" t="s">
        <v>26</v>
      </c>
      <c r="G1953" s="7">
        <v>0.06</v>
      </c>
      <c r="H1953" s="6" t="s">
        <v>431</v>
      </c>
      <c r="I1953" s="6" t="s">
        <v>20</v>
      </c>
      <c r="J1953" s="6">
        <v>2019.0</v>
      </c>
      <c r="L1953" s="6">
        <v>2.0</v>
      </c>
      <c r="M1953" s="8">
        <f t="shared" ref="M1953:M2870" si="3">L1953*G1953</f>
        <v>0.12</v>
      </c>
      <c r="P1953" s="9"/>
    </row>
    <row r="1954">
      <c r="A1954" s="6" t="s">
        <v>4803</v>
      </c>
      <c r="B1954" s="6" t="s">
        <v>213</v>
      </c>
      <c r="C1954" s="6" t="s">
        <v>23</v>
      </c>
      <c r="D1954" s="6" t="s">
        <v>4804</v>
      </c>
      <c r="E1954" s="6" t="s">
        <v>185</v>
      </c>
      <c r="F1954" s="6" t="s">
        <v>26</v>
      </c>
      <c r="G1954" s="7">
        <v>0.06</v>
      </c>
      <c r="H1954" s="6" t="s">
        <v>431</v>
      </c>
      <c r="I1954" s="6" t="s">
        <v>20</v>
      </c>
      <c r="J1954" s="6">
        <v>2019.0</v>
      </c>
      <c r="L1954" s="6">
        <v>2.0</v>
      </c>
      <c r="M1954" s="8">
        <f t="shared" si="3"/>
        <v>0.12</v>
      </c>
      <c r="P1954" s="9"/>
    </row>
    <row r="1955">
      <c r="A1955" s="6" t="s">
        <v>4805</v>
      </c>
      <c r="B1955" s="6" t="s">
        <v>213</v>
      </c>
      <c r="C1955" s="6" t="s">
        <v>23</v>
      </c>
      <c r="D1955" s="6" t="s">
        <v>4806</v>
      </c>
      <c r="E1955" s="6" t="s">
        <v>185</v>
      </c>
      <c r="F1955" s="6" t="s">
        <v>26</v>
      </c>
      <c r="G1955" s="7">
        <v>0.06</v>
      </c>
      <c r="H1955" s="6" t="s">
        <v>431</v>
      </c>
      <c r="I1955" s="6" t="s">
        <v>20</v>
      </c>
      <c r="J1955" s="6">
        <v>2019.0</v>
      </c>
      <c r="L1955" s="6">
        <v>3.0</v>
      </c>
      <c r="M1955" s="8">
        <f t="shared" si="3"/>
        <v>0.18</v>
      </c>
      <c r="P1955" s="9"/>
    </row>
    <row r="1956">
      <c r="A1956" s="6" t="s">
        <v>4807</v>
      </c>
      <c r="B1956" s="6" t="s">
        <v>213</v>
      </c>
      <c r="C1956" s="6" t="s">
        <v>23</v>
      </c>
      <c r="D1956" s="6" t="s">
        <v>4808</v>
      </c>
      <c r="E1956" s="6" t="s">
        <v>185</v>
      </c>
      <c r="F1956" s="6" t="s">
        <v>26</v>
      </c>
      <c r="G1956" s="7">
        <v>0.08</v>
      </c>
      <c r="H1956" s="6" t="s">
        <v>431</v>
      </c>
      <c r="I1956" s="6" t="s">
        <v>20</v>
      </c>
      <c r="J1956" s="6">
        <v>2019.0</v>
      </c>
      <c r="L1956" s="6">
        <v>2.0</v>
      </c>
      <c r="M1956" s="8">
        <f t="shared" si="3"/>
        <v>0.16</v>
      </c>
      <c r="P1956" s="9"/>
    </row>
    <row r="1957">
      <c r="A1957" s="6" t="s">
        <v>4809</v>
      </c>
      <c r="B1957" s="6" t="s">
        <v>213</v>
      </c>
      <c r="C1957" s="6" t="s">
        <v>23</v>
      </c>
      <c r="D1957" s="6" t="s">
        <v>4810</v>
      </c>
      <c r="E1957" s="6" t="s">
        <v>185</v>
      </c>
      <c r="F1957" s="6" t="s">
        <v>26</v>
      </c>
      <c r="G1957" s="7">
        <v>0.06</v>
      </c>
      <c r="H1957" s="6" t="s">
        <v>431</v>
      </c>
      <c r="I1957" s="6" t="s">
        <v>20</v>
      </c>
      <c r="J1957" s="6">
        <v>2019.0</v>
      </c>
      <c r="L1957" s="6">
        <v>4.0</v>
      </c>
      <c r="M1957" s="8">
        <f t="shared" si="3"/>
        <v>0.24</v>
      </c>
      <c r="P1957" s="9"/>
    </row>
    <row r="1958">
      <c r="A1958" s="6" t="s">
        <v>4811</v>
      </c>
      <c r="B1958" s="6" t="s">
        <v>4812</v>
      </c>
      <c r="C1958" s="6" t="s">
        <v>43</v>
      </c>
      <c r="D1958" s="6" t="s">
        <v>4813</v>
      </c>
      <c r="E1958" s="6" t="s">
        <v>76</v>
      </c>
      <c r="F1958" s="6" t="s">
        <v>77</v>
      </c>
      <c r="G1958" s="7">
        <v>0.08</v>
      </c>
      <c r="H1958" s="6" t="s">
        <v>72</v>
      </c>
      <c r="I1958" s="6" t="s">
        <v>20</v>
      </c>
      <c r="J1958" s="6">
        <v>2026.0</v>
      </c>
      <c r="K1958" s="10">
        <v>46055.0</v>
      </c>
      <c r="L1958" s="6">
        <v>1.0</v>
      </c>
      <c r="M1958" s="8">
        <f t="shared" si="3"/>
        <v>0.08</v>
      </c>
      <c r="P1958" s="9"/>
    </row>
    <row r="1959">
      <c r="A1959" s="6" t="s">
        <v>4814</v>
      </c>
      <c r="B1959" s="6" t="s">
        <v>4815</v>
      </c>
      <c r="C1959" s="6" t="s">
        <v>37</v>
      </c>
      <c r="D1959" s="6" t="s">
        <v>4816</v>
      </c>
      <c r="E1959" s="6" t="s">
        <v>1247</v>
      </c>
      <c r="F1959" s="6" t="s">
        <v>50</v>
      </c>
      <c r="G1959" s="7">
        <v>0.25</v>
      </c>
      <c r="H1959" s="6" t="s">
        <v>113</v>
      </c>
      <c r="I1959" s="6" t="s">
        <v>20</v>
      </c>
      <c r="J1959" s="6">
        <v>2023.0</v>
      </c>
      <c r="K1959" s="10">
        <v>46114.0</v>
      </c>
      <c r="L1959" s="6">
        <v>1.0</v>
      </c>
      <c r="M1959" s="8">
        <f t="shared" si="3"/>
        <v>0.25</v>
      </c>
      <c r="P1959" s="9"/>
    </row>
    <row r="1960">
      <c r="A1960" s="6" t="s">
        <v>4817</v>
      </c>
      <c r="B1960" s="6" t="s">
        <v>208</v>
      </c>
      <c r="C1960" s="6" t="s">
        <v>30</v>
      </c>
      <c r="D1960" s="6" t="s">
        <v>4818</v>
      </c>
      <c r="E1960" s="6" t="s">
        <v>98</v>
      </c>
      <c r="F1960" s="6" t="s">
        <v>18</v>
      </c>
      <c r="G1960" s="7">
        <v>0.22</v>
      </c>
      <c r="H1960" s="6" t="s">
        <v>496</v>
      </c>
      <c r="I1960" s="6" t="s">
        <v>20</v>
      </c>
      <c r="J1960" s="6">
        <v>2013.0</v>
      </c>
      <c r="K1960" s="10">
        <v>46083.0</v>
      </c>
      <c r="L1960" s="6">
        <v>1.0</v>
      </c>
      <c r="M1960" s="8">
        <f t="shared" si="3"/>
        <v>0.22</v>
      </c>
      <c r="P1960" s="9"/>
    </row>
    <row r="1961">
      <c r="A1961" s="6" t="s">
        <v>4819</v>
      </c>
      <c r="B1961" s="6" t="s">
        <v>440</v>
      </c>
      <c r="C1961" s="6" t="s">
        <v>37</v>
      </c>
      <c r="D1961" s="6" t="s">
        <v>4820</v>
      </c>
      <c r="E1961" s="6" t="s">
        <v>389</v>
      </c>
      <c r="F1961" s="6" t="s">
        <v>87</v>
      </c>
      <c r="G1961" s="7">
        <v>0.1</v>
      </c>
      <c r="H1961" s="6" t="s">
        <v>187</v>
      </c>
      <c r="I1961" s="6" t="s">
        <v>20</v>
      </c>
      <c r="J1961" s="6">
        <v>1995.0</v>
      </c>
      <c r="L1961" s="6">
        <v>1.0</v>
      </c>
      <c r="M1961" s="8">
        <f t="shared" si="3"/>
        <v>0.1</v>
      </c>
      <c r="P1961" s="9"/>
    </row>
    <row r="1962">
      <c r="A1962" s="6" t="s">
        <v>4821</v>
      </c>
      <c r="B1962" s="6" t="s">
        <v>657</v>
      </c>
      <c r="C1962" s="6" t="s">
        <v>23</v>
      </c>
      <c r="D1962" s="6" t="s">
        <v>4822</v>
      </c>
      <c r="E1962" s="6" t="s">
        <v>179</v>
      </c>
      <c r="F1962" s="6" t="s">
        <v>112</v>
      </c>
      <c r="G1962" s="7">
        <v>0.05</v>
      </c>
      <c r="H1962" s="6" t="s">
        <v>780</v>
      </c>
      <c r="I1962" s="6" t="s">
        <v>20</v>
      </c>
      <c r="J1962" s="6">
        <v>2025.0</v>
      </c>
      <c r="L1962" s="6">
        <v>1.0</v>
      </c>
      <c r="M1962" s="8">
        <f t="shared" si="3"/>
        <v>0.05</v>
      </c>
      <c r="P1962" s="9"/>
    </row>
    <row r="1963">
      <c r="A1963" s="6" t="s">
        <v>4823</v>
      </c>
      <c r="B1963" s="6" t="s">
        <v>119</v>
      </c>
      <c r="C1963" s="6" t="s">
        <v>61</v>
      </c>
      <c r="D1963" s="6" t="s">
        <v>4824</v>
      </c>
      <c r="E1963" s="6" t="s">
        <v>248</v>
      </c>
      <c r="F1963" s="6" t="s">
        <v>77</v>
      </c>
      <c r="G1963" s="7">
        <v>0.4</v>
      </c>
      <c r="H1963" s="6" t="s">
        <v>3124</v>
      </c>
      <c r="I1963" s="6" t="s">
        <v>20</v>
      </c>
      <c r="J1963" s="6">
        <v>2010.0</v>
      </c>
      <c r="L1963" s="6">
        <v>1.0</v>
      </c>
      <c r="M1963" s="8">
        <f t="shared" si="3"/>
        <v>0.4</v>
      </c>
      <c r="P1963" s="9"/>
    </row>
    <row r="1964">
      <c r="A1964" s="6" t="s">
        <v>4825</v>
      </c>
      <c r="B1964" s="6" t="s">
        <v>4826</v>
      </c>
      <c r="C1964" s="6" t="s">
        <v>15</v>
      </c>
      <c r="D1964" s="6" t="s">
        <v>4827</v>
      </c>
      <c r="E1964" s="6" t="s">
        <v>17</v>
      </c>
      <c r="F1964" s="6" t="s">
        <v>18</v>
      </c>
      <c r="G1964" s="7">
        <v>0.13</v>
      </c>
      <c r="H1964" s="6" t="s">
        <v>19</v>
      </c>
      <c r="I1964" s="6" t="s">
        <v>20</v>
      </c>
      <c r="J1964" s="6">
        <v>2023.0</v>
      </c>
      <c r="K1964" s="10">
        <v>46084.0</v>
      </c>
      <c r="L1964" s="6">
        <v>1.0</v>
      </c>
      <c r="M1964" s="8">
        <f t="shared" si="3"/>
        <v>0.13</v>
      </c>
      <c r="P1964" s="9"/>
    </row>
    <row r="1965">
      <c r="A1965" s="6" t="s">
        <v>4828</v>
      </c>
      <c r="B1965" s="6" t="s">
        <v>606</v>
      </c>
      <c r="C1965" s="6" t="s">
        <v>23</v>
      </c>
      <c r="D1965" s="6" t="s">
        <v>4829</v>
      </c>
      <c r="E1965" s="6" t="s">
        <v>659</v>
      </c>
      <c r="F1965" s="6" t="s">
        <v>18</v>
      </c>
      <c r="G1965" s="7">
        <v>0.05</v>
      </c>
      <c r="H1965" s="6" t="s">
        <v>780</v>
      </c>
      <c r="I1965" s="6" t="s">
        <v>20</v>
      </c>
      <c r="J1965" s="6">
        <v>2025.0</v>
      </c>
      <c r="L1965" s="6">
        <v>2.0</v>
      </c>
      <c r="M1965" s="8">
        <f t="shared" si="3"/>
        <v>0.1</v>
      </c>
      <c r="P1965" s="9"/>
    </row>
    <row r="1966">
      <c r="A1966" s="6" t="s">
        <v>4828</v>
      </c>
      <c r="B1966" s="6" t="s">
        <v>606</v>
      </c>
      <c r="C1966" s="6" t="s">
        <v>23</v>
      </c>
      <c r="D1966" s="6" t="s">
        <v>4829</v>
      </c>
      <c r="E1966" s="6" t="s">
        <v>659</v>
      </c>
      <c r="F1966" s="6" t="s">
        <v>18</v>
      </c>
      <c r="G1966" s="7">
        <v>0.17</v>
      </c>
      <c r="H1966" s="6" t="s">
        <v>780</v>
      </c>
      <c r="I1966" s="6" t="s">
        <v>45</v>
      </c>
      <c r="J1966" s="6">
        <v>2025.0</v>
      </c>
      <c r="L1966" s="6">
        <v>2.0</v>
      </c>
      <c r="M1966" s="8">
        <f t="shared" si="3"/>
        <v>0.34</v>
      </c>
      <c r="P1966" s="9"/>
    </row>
    <row r="1967">
      <c r="A1967" s="6" t="s">
        <v>4830</v>
      </c>
      <c r="B1967" s="6" t="s">
        <v>4831</v>
      </c>
      <c r="C1967" s="6" t="s">
        <v>37</v>
      </c>
      <c r="D1967" s="6" t="s">
        <v>4832</v>
      </c>
      <c r="E1967" s="6" t="s">
        <v>57</v>
      </c>
      <c r="F1967" s="6" t="s">
        <v>40</v>
      </c>
      <c r="G1967" s="7">
        <v>0.24</v>
      </c>
      <c r="H1967" s="6" t="s">
        <v>434</v>
      </c>
      <c r="I1967" s="6" t="s">
        <v>20</v>
      </c>
      <c r="J1967" s="6">
        <v>2000.0</v>
      </c>
      <c r="K1967" s="10">
        <v>46024.0</v>
      </c>
      <c r="L1967" s="6">
        <v>1.0</v>
      </c>
      <c r="M1967" s="8">
        <f t="shared" si="3"/>
        <v>0.24</v>
      </c>
      <c r="P1967" s="9"/>
    </row>
    <row r="1968">
      <c r="A1968" s="6" t="s">
        <v>4833</v>
      </c>
      <c r="B1968" s="6" t="s">
        <v>692</v>
      </c>
      <c r="C1968" s="6" t="s">
        <v>43</v>
      </c>
      <c r="D1968" s="6" t="s">
        <v>4834</v>
      </c>
      <c r="E1968" s="6" t="s">
        <v>76</v>
      </c>
      <c r="F1968" s="6" t="s">
        <v>77</v>
      </c>
      <c r="G1968" s="7">
        <v>0.05</v>
      </c>
      <c r="H1968" s="6" t="s">
        <v>34</v>
      </c>
      <c r="I1968" s="6" t="s">
        <v>20</v>
      </c>
      <c r="J1968" s="6">
        <v>2025.0</v>
      </c>
      <c r="K1968" s="10">
        <v>46055.0</v>
      </c>
      <c r="L1968" s="6">
        <v>2.0</v>
      </c>
      <c r="M1968" s="8">
        <f t="shared" si="3"/>
        <v>0.1</v>
      </c>
      <c r="P1968" s="9"/>
    </row>
    <row r="1969">
      <c r="A1969" s="6" t="s">
        <v>4835</v>
      </c>
      <c r="B1969" s="6" t="s">
        <v>4836</v>
      </c>
      <c r="C1969" s="6" t="s">
        <v>15</v>
      </c>
      <c r="D1969" s="6" t="s">
        <v>4837</v>
      </c>
      <c r="E1969" s="6" t="s">
        <v>980</v>
      </c>
      <c r="F1969" s="6" t="s">
        <v>112</v>
      </c>
      <c r="G1969" s="7">
        <v>0.09</v>
      </c>
      <c r="H1969" s="6" t="s">
        <v>19</v>
      </c>
      <c r="I1969" s="6" t="s">
        <v>20</v>
      </c>
      <c r="J1969" s="6">
        <v>2023.0</v>
      </c>
      <c r="K1969" s="10">
        <v>46055.0</v>
      </c>
      <c r="L1969" s="6">
        <v>1.0</v>
      </c>
      <c r="M1969" s="8">
        <f t="shared" si="3"/>
        <v>0.09</v>
      </c>
      <c r="P1969" s="9"/>
    </row>
    <row r="1970">
      <c r="A1970" s="6" t="s">
        <v>4838</v>
      </c>
      <c r="B1970" s="6" t="s">
        <v>2537</v>
      </c>
      <c r="C1970" s="6" t="s">
        <v>43</v>
      </c>
      <c r="D1970" s="6" t="s">
        <v>4839</v>
      </c>
      <c r="E1970" s="6" t="s">
        <v>4840</v>
      </c>
      <c r="F1970" s="6" t="s">
        <v>519</v>
      </c>
      <c r="G1970" s="7">
        <v>0.05</v>
      </c>
      <c r="H1970" s="6" t="s">
        <v>471</v>
      </c>
      <c r="I1970" s="6" t="s">
        <v>20</v>
      </c>
      <c r="J1970" s="6">
        <v>2026.0</v>
      </c>
      <c r="K1970" s="10">
        <v>46055.0</v>
      </c>
      <c r="L1970" s="6">
        <v>3.0</v>
      </c>
      <c r="M1970" s="8">
        <f t="shared" si="3"/>
        <v>0.15</v>
      </c>
      <c r="P1970" s="9"/>
    </row>
    <row r="1971">
      <c r="A1971" s="6" t="s">
        <v>4841</v>
      </c>
      <c r="B1971" s="6" t="s">
        <v>3516</v>
      </c>
      <c r="C1971" s="6" t="s">
        <v>43</v>
      </c>
      <c r="D1971" s="6" t="s">
        <v>4842</v>
      </c>
      <c r="E1971" s="6" t="s">
        <v>654</v>
      </c>
      <c r="F1971" s="6" t="s">
        <v>18</v>
      </c>
      <c r="G1971" s="7">
        <v>0.05</v>
      </c>
      <c r="H1971" s="6" t="s">
        <v>1048</v>
      </c>
      <c r="I1971" s="6" t="s">
        <v>20</v>
      </c>
      <c r="J1971" s="6">
        <v>2008.0</v>
      </c>
      <c r="K1971" s="10">
        <v>46084.0</v>
      </c>
      <c r="L1971" s="6">
        <v>1.0</v>
      </c>
      <c r="M1971" s="8">
        <f t="shared" si="3"/>
        <v>0.05</v>
      </c>
      <c r="P1971" s="9"/>
    </row>
    <row r="1972">
      <c r="A1972" s="6" t="s">
        <v>4843</v>
      </c>
      <c r="B1972" s="6" t="s">
        <v>4844</v>
      </c>
      <c r="C1972" s="6" t="s">
        <v>377</v>
      </c>
      <c r="D1972" s="6" t="s">
        <v>4845</v>
      </c>
      <c r="E1972" s="6" t="s">
        <v>1448</v>
      </c>
      <c r="F1972" s="6" t="s">
        <v>697</v>
      </c>
      <c r="G1972" s="7">
        <v>0.25</v>
      </c>
      <c r="H1972" s="6" t="s">
        <v>2041</v>
      </c>
      <c r="I1972" s="6" t="s">
        <v>20</v>
      </c>
      <c r="J1972" s="6">
        <v>1998.0</v>
      </c>
      <c r="K1972" s="10">
        <v>46055.0</v>
      </c>
      <c r="L1972" s="6">
        <v>2.0</v>
      </c>
      <c r="M1972" s="8">
        <f t="shared" si="3"/>
        <v>0.5</v>
      </c>
      <c r="P1972" s="9"/>
    </row>
    <row r="1973">
      <c r="A1973" s="6" t="s">
        <v>4846</v>
      </c>
      <c r="B1973" s="6" t="s">
        <v>1517</v>
      </c>
      <c r="C1973" s="6" t="s">
        <v>43</v>
      </c>
      <c r="D1973" s="6" t="s">
        <v>4847</v>
      </c>
      <c r="E1973" s="6" t="s">
        <v>135</v>
      </c>
      <c r="F1973" s="6" t="s">
        <v>40</v>
      </c>
      <c r="G1973" s="7">
        <v>0.05</v>
      </c>
      <c r="H1973" s="6" t="s">
        <v>165</v>
      </c>
      <c r="I1973" s="6" t="s">
        <v>20</v>
      </c>
      <c r="J1973" s="6">
        <v>2020.0</v>
      </c>
      <c r="K1973" s="10">
        <v>46024.0</v>
      </c>
      <c r="L1973" s="6">
        <v>2.0</v>
      </c>
      <c r="M1973" s="8">
        <f t="shared" si="3"/>
        <v>0.1</v>
      </c>
      <c r="P1973" s="9"/>
    </row>
    <row r="1974">
      <c r="A1974" s="6" t="s">
        <v>4848</v>
      </c>
      <c r="B1974" s="6" t="s">
        <v>4849</v>
      </c>
      <c r="C1974" s="6" t="s">
        <v>43</v>
      </c>
      <c r="D1974" s="6" t="s">
        <v>4850</v>
      </c>
      <c r="E1974" s="6" t="s">
        <v>135</v>
      </c>
      <c r="F1974" s="6" t="s">
        <v>40</v>
      </c>
      <c r="G1974" s="7">
        <v>0.07</v>
      </c>
      <c r="H1974" s="6" t="s">
        <v>631</v>
      </c>
      <c r="I1974" s="6" t="s">
        <v>20</v>
      </c>
      <c r="J1974" s="6">
        <v>1995.0</v>
      </c>
      <c r="K1974" s="10">
        <v>46023.0</v>
      </c>
      <c r="L1974" s="6">
        <v>1.0</v>
      </c>
      <c r="M1974" s="8">
        <f t="shared" si="3"/>
        <v>0.07</v>
      </c>
      <c r="P1974" s="9"/>
    </row>
    <row r="1975">
      <c r="A1975" s="6" t="s">
        <v>4851</v>
      </c>
      <c r="B1975" s="6" t="s">
        <v>4852</v>
      </c>
      <c r="C1975" s="6" t="s">
        <v>1488</v>
      </c>
      <c r="D1975" s="6" t="s">
        <v>4853</v>
      </c>
      <c r="E1975" s="6" t="s">
        <v>1840</v>
      </c>
      <c r="F1975" s="6" t="s">
        <v>18</v>
      </c>
      <c r="G1975" s="7">
        <v>0.5</v>
      </c>
      <c r="H1975" s="6" t="s">
        <v>431</v>
      </c>
      <c r="I1975" s="6" t="s">
        <v>20</v>
      </c>
      <c r="J1975" s="6">
        <v>2019.0</v>
      </c>
      <c r="K1975" s="10">
        <v>46146.0</v>
      </c>
      <c r="L1975" s="6">
        <v>1.0</v>
      </c>
      <c r="M1975" s="8">
        <f t="shared" si="3"/>
        <v>0.5</v>
      </c>
      <c r="P1975" s="9"/>
    </row>
    <row r="1976">
      <c r="A1976" s="6" t="s">
        <v>4854</v>
      </c>
      <c r="B1976" s="6" t="s">
        <v>4855</v>
      </c>
      <c r="C1976" s="6" t="s">
        <v>43</v>
      </c>
      <c r="D1976" s="6" t="s">
        <v>4856</v>
      </c>
      <c r="E1976" s="6" t="s">
        <v>4857</v>
      </c>
      <c r="F1976" s="6" t="s">
        <v>536</v>
      </c>
      <c r="G1976" s="7">
        <v>0.04</v>
      </c>
      <c r="H1976" s="6" t="s">
        <v>34</v>
      </c>
      <c r="I1976" s="6" t="s">
        <v>20</v>
      </c>
      <c r="J1976" s="6">
        <v>2025.0</v>
      </c>
      <c r="K1976" s="10">
        <v>46054.0</v>
      </c>
      <c r="L1976" s="6">
        <v>3.0</v>
      </c>
      <c r="M1976" s="8">
        <f t="shared" si="3"/>
        <v>0.12</v>
      </c>
      <c r="P1976" s="9"/>
    </row>
    <row r="1977">
      <c r="A1977" s="6" t="s">
        <v>4858</v>
      </c>
      <c r="B1977" s="6" t="s">
        <v>74</v>
      </c>
      <c r="C1977" s="6" t="s">
        <v>43</v>
      </c>
      <c r="D1977" s="6" t="s">
        <v>4859</v>
      </c>
      <c r="E1977" s="6" t="s">
        <v>57</v>
      </c>
      <c r="F1977" s="6" t="s">
        <v>40</v>
      </c>
      <c r="G1977" s="7">
        <v>0.07</v>
      </c>
      <c r="H1977" s="6" t="s">
        <v>1867</v>
      </c>
      <c r="I1977" s="6" t="s">
        <v>20</v>
      </c>
      <c r="J1977" s="6">
        <v>2004.0</v>
      </c>
      <c r="L1977" s="6">
        <v>1.0</v>
      </c>
      <c r="M1977" s="8">
        <f t="shared" si="3"/>
        <v>0.07</v>
      </c>
      <c r="P1977" s="9"/>
    </row>
    <row r="1978">
      <c r="A1978" s="6" t="s">
        <v>4860</v>
      </c>
      <c r="B1978" s="6" t="s">
        <v>4861</v>
      </c>
      <c r="C1978" s="6" t="s">
        <v>37</v>
      </c>
      <c r="D1978" s="6" t="s">
        <v>4862</v>
      </c>
      <c r="E1978" s="6" t="s">
        <v>654</v>
      </c>
      <c r="F1978" s="6" t="s">
        <v>18</v>
      </c>
      <c r="G1978" s="7">
        <v>0.14</v>
      </c>
      <c r="H1978" s="6" t="s">
        <v>136</v>
      </c>
      <c r="I1978" s="6" t="s">
        <v>20</v>
      </c>
      <c r="J1978" s="6">
        <v>2026.0</v>
      </c>
      <c r="K1978" s="10">
        <v>46116.0</v>
      </c>
      <c r="L1978" s="6">
        <v>1.0</v>
      </c>
      <c r="M1978" s="8">
        <f t="shared" si="3"/>
        <v>0.14</v>
      </c>
      <c r="P1978" s="9"/>
    </row>
    <row r="1979">
      <c r="A1979" s="6" t="s">
        <v>4863</v>
      </c>
      <c r="B1979" s="6" t="s">
        <v>219</v>
      </c>
      <c r="C1979" s="6" t="s">
        <v>43</v>
      </c>
      <c r="D1979" s="6" t="s">
        <v>4864</v>
      </c>
      <c r="E1979" s="6" t="s">
        <v>25</v>
      </c>
      <c r="F1979" s="6" t="s">
        <v>77</v>
      </c>
      <c r="G1979" s="7">
        <v>0.06</v>
      </c>
      <c r="H1979" s="6" t="s">
        <v>506</v>
      </c>
      <c r="I1979" s="6" t="s">
        <v>20</v>
      </c>
      <c r="J1979" s="6">
        <v>2016.0</v>
      </c>
      <c r="L1979" s="6">
        <v>1.0</v>
      </c>
      <c r="M1979" s="8">
        <f t="shared" si="3"/>
        <v>0.06</v>
      </c>
      <c r="P1979" s="9"/>
    </row>
    <row r="1980">
      <c r="A1980" s="6" t="s">
        <v>4865</v>
      </c>
      <c r="B1980" s="6" t="s">
        <v>4866</v>
      </c>
      <c r="C1980" s="6" t="s">
        <v>30</v>
      </c>
      <c r="D1980" s="6" t="s">
        <v>4867</v>
      </c>
      <c r="E1980" s="6" t="s">
        <v>526</v>
      </c>
      <c r="F1980" s="6" t="s">
        <v>26</v>
      </c>
      <c r="G1980" s="7">
        <v>0.43</v>
      </c>
      <c r="H1980" s="6" t="s">
        <v>631</v>
      </c>
      <c r="I1980" s="6" t="s">
        <v>20</v>
      </c>
      <c r="J1980" s="6">
        <v>1995.0</v>
      </c>
      <c r="K1980" s="6" t="s">
        <v>4868</v>
      </c>
      <c r="L1980" s="6">
        <v>1.0</v>
      </c>
      <c r="M1980" s="8">
        <f t="shared" si="3"/>
        <v>0.43</v>
      </c>
      <c r="P1980" s="9"/>
    </row>
    <row r="1981">
      <c r="A1981" s="6" t="s">
        <v>4865</v>
      </c>
      <c r="B1981" s="6" t="s">
        <v>203</v>
      </c>
      <c r="C1981" s="6" t="s">
        <v>61</v>
      </c>
      <c r="D1981" s="6" t="s">
        <v>4869</v>
      </c>
      <c r="E1981" s="6" t="s">
        <v>526</v>
      </c>
      <c r="F1981" s="6" t="s">
        <v>26</v>
      </c>
      <c r="G1981" s="7">
        <v>0.43</v>
      </c>
      <c r="H1981" s="6" t="s">
        <v>324</v>
      </c>
      <c r="I1981" s="6" t="s">
        <v>20</v>
      </c>
      <c r="J1981" s="6">
        <v>1995.0</v>
      </c>
      <c r="K1981" s="6" t="s">
        <v>4868</v>
      </c>
      <c r="L1981" s="6">
        <v>1.0</v>
      </c>
      <c r="M1981" s="8">
        <f t="shared" si="3"/>
        <v>0.43</v>
      </c>
      <c r="P1981" s="9"/>
    </row>
    <row r="1982">
      <c r="A1982" s="6" t="s">
        <v>4870</v>
      </c>
      <c r="B1982" s="6" t="s">
        <v>74</v>
      </c>
      <c r="C1982" s="6" t="s">
        <v>37</v>
      </c>
      <c r="D1982" s="6" t="s">
        <v>4871</v>
      </c>
      <c r="E1982" s="6" t="s">
        <v>190</v>
      </c>
      <c r="F1982" s="6" t="s">
        <v>18</v>
      </c>
      <c r="G1982" s="7">
        <v>0.09</v>
      </c>
      <c r="H1982" s="6" t="s">
        <v>160</v>
      </c>
      <c r="I1982" s="6" t="s">
        <v>20</v>
      </c>
      <c r="J1982" s="6">
        <v>2024.0</v>
      </c>
      <c r="L1982" s="6">
        <v>1.0</v>
      </c>
      <c r="M1982" s="8">
        <f t="shared" si="3"/>
        <v>0.09</v>
      </c>
      <c r="P1982" s="9"/>
    </row>
    <row r="1983">
      <c r="A1983" s="6" t="s">
        <v>4872</v>
      </c>
      <c r="B1983" s="6" t="s">
        <v>524</v>
      </c>
      <c r="C1983" s="6" t="s">
        <v>37</v>
      </c>
      <c r="D1983" s="6" t="s">
        <v>4873</v>
      </c>
      <c r="E1983" s="6" t="s">
        <v>1713</v>
      </c>
      <c r="F1983" s="6" t="s">
        <v>26</v>
      </c>
      <c r="G1983" s="7">
        <v>0.14</v>
      </c>
      <c r="H1983" s="6" t="s">
        <v>113</v>
      </c>
      <c r="I1983" s="6" t="s">
        <v>20</v>
      </c>
      <c r="J1983" s="6">
        <v>2023.0</v>
      </c>
      <c r="K1983" s="10">
        <v>46084.0</v>
      </c>
      <c r="L1983" s="6">
        <v>1.0</v>
      </c>
      <c r="M1983" s="8">
        <f t="shared" si="3"/>
        <v>0.14</v>
      </c>
      <c r="P1983" s="9"/>
    </row>
    <row r="1984">
      <c r="A1984" s="6" t="s">
        <v>4874</v>
      </c>
      <c r="B1984" s="6" t="s">
        <v>396</v>
      </c>
      <c r="C1984" s="6" t="s">
        <v>37</v>
      </c>
      <c r="D1984" s="6" t="s">
        <v>4875</v>
      </c>
      <c r="E1984" s="6" t="s">
        <v>2792</v>
      </c>
      <c r="F1984" s="6" t="s">
        <v>87</v>
      </c>
      <c r="G1984" s="7">
        <v>0.38</v>
      </c>
      <c r="H1984" s="6" t="s">
        <v>404</v>
      </c>
      <c r="I1984" s="6" t="s">
        <v>45</v>
      </c>
      <c r="J1984" s="6">
        <v>2020.0</v>
      </c>
      <c r="L1984" s="6">
        <v>1.0</v>
      </c>
      <c r="M1984" s="8">
        <f t="shared" si="3"/>
        <v>0.38</v>
      </c>
      <c r="P1984" s="9"/>
    </row>
    <row r="1985">
      <c r="A1985" s="6" t="s">
        <v>4876</v>
      </c>
      <c r="B1985" s="6" t="s">
        <v>789</v>
      </c>
      <c r="C1985" s="6" t="s">
        <v>37</v>
      </c>
      <c r="D1985" s="6" t="s">
        <v>4877</v>
      </c>
      <c r="E1985" s="6" t="s">
        <v>1713</v>
      </c>
      <c r="F1985" s="6" t="s">
        <v>26</v>
      </c>
      <c r="G1985" s="7">
        <v>0.1</v>
      </c>
      <c r="H1985" s="6" t="s">
        <v>34</v>
      </c>
      <c r="I1985" s="6" t="s">
        <v>20</v>
      </c>
      <c r="J1985" s="6">
        <v>2025.0</v>
      </c>
      <c r="L1985" s="6">
        <v>1.0</v>
      </c>
      <c r="M1985" s="8">
        <f t="shared" si="3"/>
        <v>0.1</v>
      </c>
      <c r="P1985" s="9"/>
    </row>
    <row r="1986">
      <c r="A1986" s="6" t="s">
        <v>4878</v>
      </c>
      <c r="B1986" s="6" t="s">
        <v>4879</v>
      </c>
      <c r="C1986" s="6" t="s">
        <v>43</v>
      </c>
      <c r="D1986" s="6" t="s">
        <v>4880</v>
      </c>
      <c r="E1986" s="6" t="s">
        <v>76</v>
      </c>
      <c r="F1986" s="6" t="s">
        <v>77</v>
      </c>
      <c r="G1986" s="7">
        <v>0.03</v>
      </c>
      <c r="H1986" s="6" t="s">
        <v>531</v>
      </c>
      <c r="I1986" s="6" t="s">
        <v>20</v>
      </c>
      <c r="J1986" s="6">
        <v>2017.0</v>
      </c>
      <c r="K1986" s="10">
        <v>46055.0</v>
      </c>
      <c r="L1986" s="6">
        <v>1.0</v>
      </c>
      <c r="M1986" s="8">
        <f t="shared" si="3"/>
        <v>0.03</v>
      </c>
      <c r="P1986" s="9"/>
    </row>
    <row r="1987">
      <c r="A1987" s="6" t="s">
        <v>4881</v>
      </c>
      <c r="B1987" s="6" t="s">
        <v>2270</v>
      </c>
      <c r="C1987" s="6" t="s">
        <v>43</v>
      </c>
      <c r="D1987" s="6" t="s">
        <v>4882</v>
      </c>
      <c r="E1987" s="6" t="s">
        <v>329</v>
      </c>
      <c r="F1987" s="6" t="s">
        <v>112</v>
      </c>
      <c r="G1987" s="7">
        <v>0.05</v>
      </c>
      <c r="H1987" s="6" t="s">
        <v>136</v>
      </c>
      <c r="I1987" s="6" t="s">
        <v>20</v>
      </c>
      <c r="J1987" s="6">
        <v>2026.0</v>
      </c>
      <c r="K1987" s="10">
        <v>46084.0</v>
      </c>
      <c r="L1987" s="6">
        <v>2.0</v>
      </c>
      <c r="M1987" s="8">
        <f t="shared" si="3"/>
        <v>0.1</v>
      </c>
      <c r="P1987" s="9"/>
    </row>
    <row r="1988">
      <c r="A1988" s="6" t="s">
        <v>4883</v>
      </c>
      <c r="B1988" s="6" t="s">
        <v>2270</v>
      </c>
      <c r="C1988" s="6" t="s">
        <v>37</v>
      </c>
      <c r="D1988" s="6" t="s">
        <v>4884</v>
      </c>
      <c r="E1988" s="6" t="s">
        <v>708</v>
      </c>
      <c r="F1988" s="6" t="s">
        <v>112</v>
      </c>
      <c r="G1988" s="7">
        <v>0.23</v>
      </c>
      <c r="H1988" s="6" t="s">
        <v>136</v>
      </c>
      <c r="I1988" s="6" t="s">
        <v>20</v>
      </c>
      <c r="J1988" s="6">
        <v>2026.0</v>
      </c>
      <c r="K1988" s="10">
        <v>46116.0</v>
      </c>
      <c r="L1988" s="6">
        <v>1.0</v>
      </c>
      <c r="M1988" s="8">
        <f t="shared" si="3"/>
        <v>0.23</v>
      </c>
      <c r="P1988" s="9"/>
    </row>
    <row r="1989">
      <c r="A1989" s="6" t="s">
        <v>4885</v>
      </c>
      <c r="B1989" s="6" t="s">
        <v>208</v>
      </c>
      <c r="C1989" s="6" t="s">
        <v>37</v>
      </c>
      <c r="D1989" s="6" t="s">
        <v>4886</v>
      </c>
      <c r="E1989" s="6" t="s">
        <v>224</v>
      </c>
      <c r="F1989" s="6" t="s">
        <v>18</v>
      </c>
      <c r="G1989" s="7">
        <v>0.4</v>
      </c>
      <c r="H1989" s="6" t="s">
        <v>88</v>
      </c>
      <c r="I1989" s="6" t="s">
        <v>45</v>
      </c>
      <c r="J1989" s="6">
        <v>2024.0</v>
      </c>
      <c r="K1989" s="10">
        <v>46084.0</v>
      </c>
      <c r="L1989" s="6">
        <v>1.0</v>
      </c>
      <c r="M1989" s="8">
        <f t="shared" si="3"/>
        <v>0.4</v>
      </c>
      <c r="P1989" s="9"/>
    </row>
    <row r="1990">
      <c r="A1990" s="6" t="s">
        <v>4887</v>
      </c>
      <c r="B1990" s="6" t="s">
        <v>1677</v>
      </c>
      <c r="C1990" s="6" t="s">
        <v>43</v>
      </c>
      <c r="D1990" s="6" t="s">
        <v>4888</v>
      </c>
      <c r="E1990" s="6" t="s">
        <v>107</v>
      </c>
      <c r="F1990" s="6" t="s">
        <v>18</v>
      </c>
      <c r="G1990" s="7">
        <v>0.1</v>
      </c>
      <c r="H1990" s="6" t="s">
        <v>228</v>
      </c>
      <c r="I1990" s="6" t="s">
        <v>20</v>
      </c>
      <c r="J1990" s="6">
        <v>2025.0</v>
      </c>
      <c r="K1990" s="10">
        <v>46084.0</v>
      </c>
      <c r="L1990" s="6">
        <v>1.0</v>
      </c>
      <c r="M1990" s="8">
        <f t="shared" si="3"/>
        <v>0.1</v>
      </c>
      <c r="P1990" s="9"/>
    </row>
    <row r="1991">
      <c r="A1991" s="6" t="s">
        <v>4889</v>
      </c>
      <c r="B1991" s="6" t="s">
        <v>462</v>
      </c>
      <c r="C1991" s="6" t="s">
        <v>37</v>
      </c>
      <c r="D1991" s="6" t="s">
        <v>4890</v>
      </c>
      <c r="E1991" s="6" t="s">
        <v>1679</v>
      </c>
      <c r="F1991" s="6" t="s">
        <v>1000</v>
      </c>
      <c r="G1991" s="7">
        <v>0.25</v>
      </c>
      <c r="H1991" s="6" t="s">
        <v>475</v>
      </c>
      <c r="I1991" s="6" t="s">
        <v>45</v>
      </c>
      <c r="J1991" s="6">
        <v>2024.0</v>
      </c>
      <c r="L1991" s="6">
        <v>1.0</v>
      </c>
      <c r="M1991" s="8">
        <f t="shared" si="3"/>
        <v>0.25</v>
      </c>
      <c r="P1991" s="9"/>
    </row>
    <row r="1992">
      <c r="A1992" s="6" t="s">
        <v>4891</v>
      </c>
      <c r="B1992" s="6" t="s">
        <v>322</v>
      </c>
      <c r="C1992" s="6" t="s">
        <v>43</v>
      </c>
      <c r="D1992" s="6" t="s">
        <v>4892</v>
      </c>
      <c r="E1992" s="6" t="s">
        <v>891</v>
      </c>
      <c r="F1992" s="6" t="s">
        <v>77</v>
      </c>
      <c r="G1992" s="7">
        <v>0.05</v>
      </c>
      <c r="H1992" s="6" t="s">
        <v>266</v>
      </c>
      <c r="I1992" s="6" t="s">
        <v>20</v>
      </c>
      <c r="J1992" s="6">
        <v>2025.0</v>
      </c>
      <c r="K1992" s="10">
        <v>46084.0</v>
      </c>
      <c r="L1992" s="6">
        <v>1.0</v>
      </c>
      <c r="M1992" s="8">
        <f t="shared" si="3"/>
        <v>0.05</v>
      </c>
      <c r="P1992" s="9"/>
    </row>
    <row r="1993">
      <c r="A1993" s="6" t="s">
        <v>4893</v>
      </c>
      <c r="B1993" s="6" t="s">
        <v>74</v>
      </c>
      <c r="C1993" s="6" t="s">
        <v>37</v>
      </c>
      <c r="D1993" s="6" t="s">
        <v>4894</v>
      </c>
      <c r="E1993" s="6" t="s">
        <v>179</v>
      </c>
      <c r="F1993" s="6" t="s">
        <v>112</v>
      </c>
      <c r="G1993" s="7">
        <v>0.25</v>
      </c>
      <c r="H1993" s="6" t="s">
        <v>3249</v>
      </c>
      <c r="I1993" s="6" t="s">
        <v>20</v>
      </c>
      <c r="J1993" s="6">
        <v>2017.0</v>
      </c>
      <c r="L1993" s="6">
        <v>1.0</v>
      </c>
      <c r="M1993" s="8">
        <f t="shared" si="3"/>
        <v>0.25</v>
      </c>
      <c r="P1993" s="9"/>
    </row>
    <row r="1994">
      <c r="A1994" s="6" t="s">
        <v>4895</v>
      </c>
      <c r="B1994" s="6" t="s">
        <v>138</v>
      </c>
      <c r="C1994" s="6" t="s">
        <v>43</v>
      </c>
      <c r="D1994" s="6" t="s">
        <v>4896</v>
      </c>
      <c r="E1994" s="6" t="s">
        <v>140</v>
      </c>
      <c r="F1994" s="6" t="s">
        <v>87</v>
      </c>
      <c r="G1994" s="7">
        <v>0.1</v>
      </c>
      <c r="H1994" s="6" t="s">
        <v>746</v>
      </c>
      <c r="I1994" s="6" t="s">
        <v>20</v>
      </c>
      <c r="J1994" s="6">
        <v>2024.0</v>
      </c>
      <c r="L1994" s="6">
        <v>1.0</v>
      </c>
      <c r="M1994" s="8">
        <f t="shared" si="3"/>
        <v>0.1</v>
      </c>
      <c r="P1994" s="9"/>
    </row>
    <row r="1995">
      <c r="A1995" s="6" t="s">
        <v>4897</v>
      </c>
      <c r="B1995" s="6" t="s">
        <v>4898</v>
      </c>
      <c r="C1995" s="6" t="s">
        <v>37</v>
      </c>
      <c r="D1995" s="6" t="s">
        <v>4899</v>
      </c>
      <c r="E1995" s="6" t="s">
        <v>282</v>
      </c>
      <c r="F1995" s="6" t="s">
        <v>40</v>
      </c>
      <c r="G1995" s="7">
        <v>0.15</v>
      </c>
      <c r="H1995" s="6" t="s">
        <v>136</v>
      </c>
      <c r="I1995" s="6" t="s">
        <v>20</v>
      </c>
      <c r="J1995" s="6">
        <v>2026.0</v>
      </c>
      <c r="K1995" s="10">
        <v>46024.0</v>
      </c>
      <c r="L1995" s="6">
        <v>2.0</v>
      </c>
      <c r="M1995" s="8">
        <f t="shared" si="3"/>
        <v>0.3</v>
      </c>
      <c r="P1995" s="9"/>
    </row>
    <row r="1996">
      <c r="A1996" s="6" t="s">
        <v>4900</v>
      </c>
      <c r="B1996" s="6" t="s">
        <v>574</v>
      </c>
      <c r="C1996" s="6" t="s">
        <v>43</v>
      </c>
      <c r="D1996" s="6" t="s">
        <v>4901</v>
      </c>
      <c r="E1996" s="6" t="s">
        <v>1702</v>
      </c>
      <c r="F1996" s="6" t="s">
        <v>112</v>
      </c>
      <c r="G1996" s="7">
        <v>0.1</v>
      </c>
      <c r="H1996" s="6" t="s">
        <v>228</v>
      </c>
      <c r="I1996" s="6" t="s">
        <v>20</v>
      </c>
      <c r="J1996" s="6">
        <v>2025.0</v>
      </c>
      <c r="K1996" s="10">
        <v>46179.0</v>
      </c>
      <c r="L1996" s="6">
        <v>2.0</v>
      </c>
      <c r="M1996" s="8">
        <f t="shared" si="3"/>
        <v>0.2</v>
      </c>
      <c r="P1996" s="9"/>
    </row>
    <row r="1997">
      <c r="A1997" s="6" t="s">
        <v>4902</v>
      </c>
      <c r="B1997" s="6" t="s">
        <v>2270</v>
      </c>
      <c r="C1997" s="6" t="s">
        <v>30</v>
      </c>
      <c r="D1997" s="6" t="s">
        <v>4903</v>
      </c>
      <c r="E1997" s="6" t="s">
        <v>4904</v>
      </c>
      <c r="F1997" s="6" t="s">
        <v>977</v>
      </c>
      <c r="G1997" s="7">
        <v>6.39</v>
      </c>
      <c r="H1997" s="6" t="s">
        <v>136</v>
      </c>
      <c r="I1997" s="6" t="s">
        <v>20</v>
      </c>
      <c r="J1997" s="6">
        <v>2026.0</v>
      </c>
      <c r="K1997" s="10">
        <v>46084.0</v>
      </c>
      <c r="L1997" s="6">
        <v>1.0</v>
      </c>
      <c r="M1997" s="8">
        <f t="shared" si="3"/>
        <v>6.39</v>
      </c>
      <c r="P1997" s="9"/>
    </row>
    <row r="1998">
      <c r="A1998" s="6" t="s">
        <v>4905</v>
      </c>
      <c r="B1998" s="6" t="s">
        <v>371</v>
      </c>
      <c r="C1998" s="6" t="s">
        <v>43</v>
      </c>
      <c r="D1998" s="6" t="s">
        <v>4906</v>
      </c>
      <c r="E1998" s="6" t="s">
        <v>57</v>
      </c>
      <c r="F1998" s="6" t="s">
        <v>40</v>
      </c>
      <c r="G1998" s="7">
        <v>0.75</v>
      </c>
      <c r="H1998" s="6" t="s">
        <v>270</v>
      </c>
      <c r="I1998" s="6" t="s">
        <v>45</v>
      </c>
      <c r="J1998" s="6">
        <v>2022.0</v>
      </c>
      <c r="K1998" s="10">
        <v>46083.0</v>
      </c>
      <c r="L1998" s="6">
        <v>1.0</v>
      </c>
      <c r="M1998" s="8">
        <f t="shared" si="3"/>
        <v>0.75</v>
      </c>
      <c r="P1998" s="9"/>
    </row>
    <row r="1999">
      <c r="A1999" s="6" t="s">
        <v>4907</v>
      </c>
      <c r="B1999" s="6" t="s">
        <v>4908</v>
      </c>
      <c r="C1999" s="6" t="s">
        <v>183</v>
      </c>
      <c r="D1999" s="6" t="s">
        <v>4909</v>
      </c>
      <c r="E1999" s="6" t="s">
        <v>4910</v>
      </c>
      <c r="F1999" s="6" t="s">
        <v>2113</v>
      </c>
      <c r="G1999" s="7">
        <v>0.18</v>
      </c>
      <c r="H1999" s="6" t="s">
        <v>2291</v>
      </c>
      <c r="I1999" s="6" t="s">
        <v>20</v>
      </c>
      <c r="J1999" s="6">
        <v>2008.0</v>
      </c>
      <c r="K1999" s="10">
        <v>46024.0</v>
      </c>
      <c r="L1999" s="6">
        <v>4.0</v>
      </c>
      <c r="M1999" s="8">
        <f t="shared" si="3"/>
        <v>0.72</v>
      </c>
      <c r="P1999" s="9"/>
    </row>
    <row r="2000">
      <c r="A2000" s="6" t="s">
        <v>4911</v>
      </c>
      <c r="B2000" s="6" t="s">
        <v>462</v>
      </c>
      <c r="C2000" s="6" t="s">
        <v>43</v>
      </c>
      <c r="D2000" s="6" t="s">
        <v>4912</v>
      </c>
      <c r="E2000" s="6" t="s">
        <v>176</v>
      </c>
      <c r="F2000" s="6" t="s">
        <v>77</v>
      </c>
      <c r="G2000" s="7">
        <v>0.05</v>
      </c>
      <c r="H2000" s="6" t="s">
        <v>187</v>
      </c>
      <c r="I2000" s="6" t="s">
        <v>20</v>
      </c>
      <c r="J2000" s="6">
        <v>1995.0</v>
      </c>
      <c r="L2000" s="6">
        <v>2.0</v>
      </c>
      <c r="M2000" s="8">
        <f t="shared" si="3"/>
        <v>0.1</v>
      </c>
      <c r="P2000" s="9"/>
    </row>
    <row r="2001">
      <c r="A2001" s="6" t="s">
        <v>4913</v>
      </c>
      <c r="B2001" s="6" t="s">
        <v>162</v>
      </c>
      <c r="C2001" s="6" t="s">
        <v>43</v>
      </c>
      <c r="D2001" s="6" t="s">
        <v>4914</v>
      </c>
      <c r="E2001" s="6" t="s">
        <v>176</v>
      </c>
      <c r="F2001" s="6" t="s">
        <v>77</v>
      </c>
      <c r="G2001" s="7">
        <v>0.03</v>
      </c>
      <c r="H2001" s="6" t="s">
        <v>506</v>
      </c>
      <c r="I2001" s="6" t="s">
        <v>20</v>
      </c>
      <c r="J2001" s="6">
        <v>2016.0</v>
      </c>
      <c r="L2001" s="6">
        <v>1.0</v>
      </c>
      <c r="M2001" s="8">
        <f t="shared" si="3"/>
        <v>0.03</v>
      </c>
      <c r="P2001" s="9"/>
    </row>
    <row r="2002">
      <c r="A2002" s="6" t="s">
        <v>4915</v>
      </c>
      <c r="B2002" s="6" t="s">
        <v>138</v>
      </c>
      <c r="C2002" s="6" t="s">
        <v>43</v>
      </c>
      <c r="D2002" s="6" t="s">
        <v>4916</v>
      </c>
      <c r="E2002" s="6" t="s">
        <v>98</v>
      </c>
      <c r="F2002" s="6" t="s">
        <v>18</v>
      </c>
      <c r="G2002" s="7">
        <v>0.05</v>
      </c>
      <c r="H2002" s="6" t="s">
        <v>136</v>
      </c>
      <c r="I2002" s="6" t="s">
        <v>20</v>
      </c>
      <c r="J2002" s="6">
        <v>2026.0</v>
      </c>
      <c r="L2002" s="6">
        <v>5.0</v>
      </c>
      <c r="M2002" s="8">
        <f t="shared" si="3"/>
        <v>0.25</v>
      </c>
      <c r="P2002" s="9"/>
    </row>
    <row r="2003">
      <c r="A2003" s="6" t="s">
        <v>4917</v>
      </c>
      <c r="B2003" s="6" t="s">
        <v>462</v>
      </c>
      <c r="C2003" s="6" t="s">
        <v>37</v>
      </c>
      <c r="D2003" s="6" t="s">
        <v>4918</v>
      </c>
      <c r="E2003" s="6" t="s">
        <v>4919</v>
      </c>
      <c r="F2003" s="6" t="s">
        <v>77</v>
      </c>
      <c r="G2003" s="7">
        <v>0.2</v>
      </c>
      <c r="H2003" s="6" t="s">
        <v>187</v>
      </c>
      <c r="I2003" s="6" t="s">
        <v>20</v>
      </c>
      <c r="J2003" s="6">
        <v>1995.0</v>
      </c>
      <c r="L2003" s="6">
        <v>1.0</v>
      </c>
      <c r="M2003" s="8">
        <f t="shared" si="3"/>
        <v>0.2</v>
      </c>
      <c r="P2003" s="9"/>
    </row>
    <row r="2004">
      <c r="A2004" s="6" t="s">
        <v>4920</v>
      </c>
      <c r="B2004" s="6" t="s">
        <v>988</v>
      </c>
      <c r="C2004" s="6" t="s">
        <v>37</v>
      </c>
      <c r="D2004" s="6" t="s">
        <v>4921</v>
      </c>
      <c r="E2004" s="6" t="s">
        <v>2624</v>
      </c>
      <c r="F2004" s="6" t="s">
        <v>536</v>
      </c>
      <c r="G2004" s="7">
        <v>0.08</v>
      </c>
      <c r="H2004" s="6" t="s">
        <v>407</v>
      </c>
      <c r="I2004" s="6" t="s">
        <v>20</v>
      </c>
      <c r="J2004" s="6">
        <v>2016.0</v>
      </c>
      <c r="K2004" s="10">
        <v>46055.0</v>
      </c>
      <c r="L2004" s="6">
        <v>1.0</v>
      </c>
      <c r="M2004" s="8">
        <f t="shared" si="3"/>
        <v>0.08</v>
      </c>
      <c r="N2004" s="6" t="s">
        <v>374</v>
      </c>
      <c r="P2004" s="9"/>
    </row>
    <row r="2005">
      <c r="A2005" s="6" t="s">
        <v>4922</v>
      </c>
      <c r="B2005" s="6" t="s">
        <v>162</v>
      </c>
      <c r="C2005" s="6" t="s">
        <v>43</v>
      </c>
      <c r="D2005" s="6" t="s">
        <v>4923</v>
      </c>
      <c r="E2005" s="6" t="s">
        <v>1917</v>
      </c>
      <c r="F2005" s="6" t="s">
        <v>77</v>
      </c>
      <c r="G2005" s="7">
        <v>0.09</v>
      </c>
      <c r="H2005" s="6" t="s">
        <v>410</v>
      </c>
      <c r="I2005" s="6" t="s">
        <v>20</v>
      </c>
      <c r="J2005" s="6">
        <v>2021.0</v>
      </c>
      <c r="L2005" s="6">
        <v>1.0</v>
      </c>
      <c r="M2005" s="8">
        <f t="shared" si="3"/>
        <v>0.09</v>
      </c>
      <c r="N2005" s="6" t="s">
        <v>374</v>
      </c>
      <c r="P2005" s="9"/>
    </row>
    <row r="2006">
      <c r="A2006" s="6" t="s">
        <v>4924</v>
      </c>
      <c r="B2006" s="6" t="s">
        <v>820</v>
      </c>
      <c r="C2006" s="6" t="s">
        <v>43</v>
      </c>
      <c r="D2006" s="6" t="s">
        <v>4925</v>
      </c>
      <c r="E2006" s="6" t="s">
        <v>1027</v>
      </c>
      <c r="F2006" s="6" t="s">
        <v>77</v>
      </c>
      <c r="G2006" s="7">
        <v>0.24</v>
      </c>
      <c r="H2006" s="6" t="s">
        <v>194</v>
      </c>
      <c r="I2006" s="6" t="s">
        <v>20</v>
      </c>
      <c r="J2006" s="6">
        <v>1994.0</v>
      </c>
      <c r="K2006" s="10">
        <v>46055.0</v>
      </c>
      <c r="L2006" s="6">
        <v>1.0</v>
      </c>
      <c r="M2006" s="8">
        <f t="shared" si="3"/>
        <v>0.24</v>
      </c>
      <c r="P2006" s="9"/>
    </row>
    <row r="2007">
      <c r="A2007" s="6" t="s">
        <v>4926</v>
      </c>
      <c r="B2007" s="6" t="s">
        <v>4927</v>
      </c>
      <c r="C2007" s="6" t="s">
        <v>37</v>
      </c>
      <c r="D2007" s="6" t="s">
        <v>4928</v>
      </c>
      <c r="E2007" s="6" t="s">
        <v>98</v>
      </c>
      <c r="F2007" s="6" t="s">
        <v>18</v>
      </c>
      <c r="G2007" s="7">
        <v>0.14</v>
      </c>
      <c r="H2007" s="6" t="s">
        <v>746</v>
      </c>
      <c r="I2007" s="6" t="s">
        <v>20</v>
      </c>
      <c r="J2007" s="6">
        <v>2024.0</v>
      </c>
      <c r="K2007" s="10">
        <v>46056.0</v>
      </c>
      <c r="L2007" s="6">
        <v>1.0</v>
      </c>
      <c r="M2007" s="8">
        <f t="shared" si="3"/>
        <v>0.14</v>
      </c>
      <c r="P2007" s="9"/>
    </row>
    <row r="2008">
      <c r="A2008" s="6" t="s">
        <v>4929</v>
      </c>
      <c r="B2008" s="6" t="s">
        <v>4930</v>
      </c>
      <c r="C2008" s="6" t="s">
        <v>418</v>
      </c>
      <c r="D2008" s="6" t="s">
        <v>4931</v>
      </c>
      <c r="E2008" s="6" t="s">
        <v>57</v>
      </c>
      <c r="F2008" s="6" t="s">
        <v>697</v>
      </c>
      <c r="G2008" s="7">
        <v>0.09</v>
      </c>
      <c r="H2008" s="6" t="s">
        <v>434</v>
      </c>
      <c r="I2008" s="6" t="s">
        <v>20</v>
      </c>
      <c r="J2008" s="6">
        <v>2000.0</v>
      </c>
      <c r="K2008" s="10">
        <v>46023.0</v>
      </c>
      <c r="L2008" s="6">
        <v>2.0</v>
      </c>
      <c r="M2008" s="8">
        <f t="shared" si="3"/>
        <v>0.18</v>
      </c>
      <c r="P2008" s="9"/>
    </row>
    <row r="2009">
      <c r="A2009" s="6" t="s">
        <v>4932</v>
      </c>
      <c r="B2009" s="6" t="s">
        <v>4933</v>
      </c>
      <c r="C2009" s="6" t="s">
        <v>30</v>
      </c>
      <c r="D2009" s="6" t="s">
        <v>4934</v>
      </c>
      <c r="E2009" s="6" t="s">
        <v>4594</v>
      </c>
      <c r="F2009" s="6" t="s">
        <v>77</v>
      </c>
      <c r="G2009" s="7">
        <v>3.5</v>
      </c>
      <c r="H2009" s="6" t="s">
        <v>187</v>
      </c>
      <c r="I2009" s="6" t="s">
        <v>20</v>
      </c>
      <c r="J2009" s="6">
        <v>1995.0</v>
      </c>
      <c r="K2009" s="10">
        <v>46116.0</v>
      </c>
      <c r="L2009" s="6">
        <v>1.0</v>
      </c>
      <c r="M2009" s="8">
        <f t="shared" si="3"/>
        <v>3.5</v>
      </c>
      <c r="P2009" s="9"/>
    </row>
    <row r="2010">
      <c r="A2010" s="6" t="s">
        <v>4935</v>
      </c>
      <c r="B2010" s="6" t="s">
        <v>685</v>
      </c>
      <c r="C2010" s="6" t="s">
        <v>37</v>
      </c>
      <c r="D2010" s="6" t="s">
        <v>4936</v>
      </c>
      <c r="E2010" s="6" t="s">
        <v>57</v>
      </c>
      <c r="F2010" s="6" t="s">
        <v>40</v>
      </c>
      <c r="G2010" s="7">
        <v>0.06</v>
      </c>
      <c r="H2010" s="6" t="s">
        <v>431</v>
      </c>
      <c r="I2010" s="6" t="s">
        <v>20</v>
      </c>
      <c r="J2010" s="6">
        <v>2019.0</v>
      </c>
      <c r="K2010" s="10">
        <v>46024.0</v>
      </c>
      <c r="L2010" s="6">
        <v>1.0</v>
      </c>
      <c r="M2010" s="8">
        <f t="shared" si="3"/>
        <v>0.06</v>
      </c>
      <c r="P2010" s="9"/>
    </row>
    <row r="2011">
      <c r="A2011" s="6" t="s">
        <v>4937</v>
      </c>
      <c r="B2011" s="6" t="s">
        <v>4938</v>
      </c>
      <c r="C2011" s="6" t="s">
        <v>23</v>
      </c>
      <c r="D2011" s="6" t="s">
        <v>4939</v>
      </c>
      <c r="E2011" s="6" t="s">
        <v>129</v>
      </c>
      <c r="F2011" s="6" t="s">
        <v>1335</v>
      </c>
      <c r="G2011" s="7">
        <v>0.03</v>
      </c>
      <c r="H2011" s="6" t="s">
        <v>342</v>
      </c>
      <c r="I2011" s="6" t="s">
        <v>20</v>
      </c>
      <c r="J2011" s="6">
        <v>2014.0</v>
      </c>
      <c r="K2011" s="10">
        <v>46083.0</v>
      </c>
      <c r="L2011" s="6">
        <v>4.0</v>
      </c>
      <c r="M2011" s="8">
        <f t="shared" si="3"/>
        <v>0.12</v>
      </c>
      <c r="P2011" s="9"/>
    </row>
    <row r="2012">
      <c r="A2012" s="6" t="s">
        <v>4940</v>
      </c>
      <c r="B2012" s="6" t="s">
        <v>4073</v>
      </c>
      <c r="C2012" s="6" t="s">
        <v>156</v>
      </c>
      <c r="D2012" s="6" t="s">
        <v>4941</v>
      </c>
      <c r="E2012" s="6" t="s">
        <v>1668</v>
      </c>
      <c r="F2012" s="6" t="s">
        <v>40</v>
      </c>
      <c r="G2012" s="7">
        <v>0.66</v>
      </c>
      <c r="H2012" s="6" t="s">
        <v>153</v>
      </c>
      <c r="I2012" s="6" t="s">
        <v>20</v>
      </c>
      <c r="J2012" s="6">
        <v>2025.0</v>
      </c>
      <c r="K2012" s="10">
        <v>46084.0</v>
      </c>
      <c r="L2012" s="6">
        <v>3.0</v>
      </c>
      <c r="M2012" s="8">
        <f t="shared" si="3"/>
        <v>1.98</v>
      </c>
      <c r="P2012" s="9"/>
    </row>
    <row r="2013">
      <c r="A2013" s="6" t="s">
        <v>4940</v>
      </c>
      <c r="B2013" s="6" t="s">
        <v>4073</v>
      </c>
      <c r="C2013" s="6" t="s">
        <v>156</v>
      </c>
      <c r="D2013" s="6" t="s">
        <v>4941</v>
      </c>
      <c r="E2013" s="6" t="s">
        <v>1668</v>
      </c>
      <c r="F2013" s="6" t="s">
        <v>40</v>
      </c>
      <c r="G2013" s="7">
        <v>1.09</v>
      </c>
      <c r="H2013" s="6" t="s">
        <v>153</v>
      </c>
      <c r="I2013" s="6" t="s">
        <v>45</v>
      </c>
      <c r="J2013" s="6">
        <v>2025.0</v>
      </c>
      <c r="K2013" s="10">
        <v>46084.0</v>
      </c>
      <c r="L2013" s="6">
        <v>1.0</v>
      </c>
      <c r="M2013" s="8">
        <f t="shared" si="3"/>
        <v>1.09</v>
      </c>
      <c r="P2013" s="9"/>
    </row>
    <row r="2014">
      <c r="A2014" s="6" t="s">
        <v>4942</v>
      </c>
      <c r="B2014" s="6" t="s">
        <v>4943</v>
      </c>
      <c r="C2014" s="6" t="s">
        <v>43</v>
      </c>
      <c r="D2014" s="6" t="s">
        <v>4944</v>
      </c>
      <c r="E2014" s="6" t="s">
        <v>76</v>
      </c>
      <c r="F2014" s="6" t="s">
        <v>77</v>
      </c>
      <c r="G2014" s="7">
        <v>0.24</v>
      </c>
      <c r="H2014" s="6" t="s">
        <v>113</v>
      </c>
      <c r="I2014" s="6" t="s">
        <v>20</v>
      </c>
      <c r="J2014" s="6">
        <v>2023.0</v>
      </c>
      <c r="K2014" s="10">
        <v>46024.0</v>
      </c>
      <c r="L2014" s="6">
        <v>1.0</v>
      </c>
      <c r="M2014" s="8">
        <f t="shared" si="3"/>
        <v>0.24</v>
      </c>
      <c r="P2014" s="9"/>
    </row>
    <row r="2015">
      <c r="A2015" s="6" t="s">
        <v>4945</v>
      </c>
      <c r="B2015" s="6" t="s">
        <v>4946</v>
      </c>
      <c r="C2015" s="6" t="s">
        <v>37</v>
      </c>
      <c r="D2015" s="6" t="s">
        <v>4947</v>
      </c>
      <c r="E2015" s="6" t="s">
        <v>3084</v>
      </c>
      <c r="F2015" s="6" t="s">
        <v>1244</v>
      </c>
      <c r="G2015" s="7">
        <v>0.08</v>
      </c>
      <c r="H2015" s="6" t="s">
        <v>160</v>
      </c>
      <c r="I2015" s="6" t="s">
        <v>20</v>
      </c>
      <c r="J2015" s="6">
        <v>2024.0</v>
      </c>
      <c r="K2015" s="10">
        <v>46056.0</v>
      </c>
      <c r="L2015" s="6">
        <v>1.0</v>
      </c>
      <c r="M2015" s="8">
        <f t="shared" si="3"/>
        <v>0.08</v>
      </c>
      <c r="P2015" s="9"/>
    </row>
    <row r="2016">
      <c r="A2016" s="6" t="s">
        <v>4948</v>
      </c>
      <c r="B2016" s="6" t="s">
        <v>4949</v>
      </c>
      <c r="C2016" s="6" t="s">
        <v>37</v>
      </c>
      <c r="D2016" s="6" t="s">
        <v>4950</v>
      </c>
      <c r="E2016" s="6" t="s">
        <v>25</v>
      </c>
      <c r="F2016" s="6" t="s">
        <v>26</v>
      </c>
      <c r="G2016" s="7">
        <v>0.15</v>
      </c>
      <c r="H2016" s="6" t="s">
        <v>19</v>
      </c>
      <c r="I2016" s="6" t="s">
        <v>20</v>
      </c>
      <c r="J2016" s="6">
        <v>2023.0</v>
      </c>
      <c r="L2016" s="6">
        <v>2.0</v>
      </c>
      <c r="M2016" s="8">
        <f t="shared" si="3"/>
        <v>0.3</v>
      </c>
      <c r="P2016" s="9"/>
    </row>
    <row r="2017">
      <c r="A2017" s="6" t="s">
        <v>4951</v>
      </c>
      <c r="B2017" s="6" t="s">
        <v>4952</v>
      </c>
      <c r="C2017" s="6" t="s">
        <v>30</v>
      </c>
      <c r="D2017" s="6" t="s">
        <v>4953</v>
      </c>
      <c r="E2017" s="6" t="s">
        <v>4598</v>
      </c>
      <c r="F2017" s="6" t="s">
        <v>4599</v>
      </c>
      <c r="G2017" s="7">
        <v>0.5</v>
      </c>
      <c r="H2017" s="6" t="s">
        <v>3038</v>
      </c>
      <c r="I2017" s="6" t="s">
        <v>20</v>
      </c>
      <c r="J2017" s="6">
        <v>2006.0</v>
      </c>
      <c r="K2017" s="10">
        <v>46116.0</v>
      </c>
      <c r="L2017" s="6">
        <v>1.0</v>
      </c>
      <c r="M2017" s="8">
        <f t="shared" si="3"/>
        <v>0.5</v>
      </c>
      <c r="P2017" s="9"/>
    </row>
    <row r="2018">
      <c r="A2018" s="6" t="s">
        <v>4954</v>
      </c>
      <c r="B2018" s="6" t="s">
        <v>219</v>
      </c>
      <c r="C2018" s="6" t="s">
        <v>37</v>
      </c>
      <c r="D2018" s="6" t="s">
        <v>4955</v>
      </c>
      <c r="E2018" s="6" t="s">
        <v>994</v>
      </c>
      <c r="F2018" s="6" t="s">
        <v>26</v>
      </c>
      <c r="G2018" s="7">
        <v>0.1</v>
      </c>
      <c r="H2018" s="6" t="s">
        <v>206</v>
      </c>
      <c r="I2018" s="6" t="s">
        <v>20</v>
      </c>
      <c r="J2018" s="6">
        <v>1996.0</v>
      </c>
      <c r="L2018" s="6">
        <v>1.0</v>
      </c>
      <c r="M2018" s="8">
        <f t="shared" si="3"/>
        <v>0.1</v>
      </c>
      <c r="P2018" s="9"/>
    </row>
    <row r="2019">
      <c r="A2019" s="6" t="s">
        <v>4956</v>
      </c>
      <c r="B2019" s="6" t="s">
        <v>647</v>
      </c>
      <c r="C2019" s="6" t="s">
        <v>30</v>
      </c>
      <c r="D2019" s="6" t="s">
        <v>4957</v>
      </c>
      <c r="E2019" s="6" t="s">
        <v>1713</v>
      </c>
      <c r="F2019" s="6" t="s">
        <v>26</v>
      </c>
      <c r="G2019" s="7">
        <v>0.5</v>
      </c>
      <c r="H2019" s="6" t="s">
        <v>313</v>
      </c>
      <c r="I2019" s="6" t="s">
        <v>20</v>
      </c>
      <c r="J2019" s="6">
        <v>1995.0</v>
      </c>
      <c r="K2019" s="10">
        <v>46147.0</v>
      </c>
      <c r="L2019" s="6">
        <v>2.0</v>
      </c>
      <c r="M2019" s="8">
        <f t="shared" si="3"/>
        <v>1</v>
      </c>
      <c r="P2019" s="9"/>
    </row>
    <row r="2020">
      <c r="A2020" s="6" t="s">
        <v>4958</v>
      </c>
      <c r="B2020" s="6" t="s">
        <v>4959</v>
      </c>
      <c r="C2020" s="6" t="s">
        <v>309</v>
      </c>
      <c r="D2020" s="6" t="s">
        <v>4960</v>
      </c>
      <c r="E2020" s="6" t="s">
        <v>39</v>
      </c>
      <c r="F2020" s="6" t="s">
        <v>697</v>
      </c>
      <c r="G2020" s="7">
        <v>0.25</v>
      </c>
      <c r="H2020" s="6" t="s">
        <v>2041</v>
      </c>
      <c r="I2020" s="6" t="s">
        <v>20</v>
      </c>
      <c r="J2020" s="6">
        <v>1998.0</v>
      </c>
      <c r="K2020" s="10">
        <v>46025.0</v>
      </c>
      <c r="L2020" s="6">
        <v>1.0</v>
      </c>
      <c r="M2020" s="8">
        <f t="shared" si="3"/>
        <v>0.25</v>
      </c>
      <c r="P2020" s="9"/>
    </row>
    <row r="2021">
      <c r="A2021" s="6" t="s">
        <v>4961</v>
      </c>
      <c r="B2021" s="6" t="s">
        <v>800</v>
      </c>
      <c r="C2021" s="6" t="s">
        <v>15</v>
      </c>
      <c r="D2021" s="6" t="s">
        <v>4962</v>
      </c>
      <c r="E2021" s="6" t="s">
        <v>457</v>
      </c>
      <c r="F2021" s="6" t="s">
        <v>112</v>
      </c>
      <c r="G2021" s="7">
        <v>0.8</v>
      </c>
      <c r="H2021" s="6" t="s">
        <v>27</v>
      </c>
      <c r="I2021" s="6" t="s">
        <v>20</v>
      </c>
      <c r="J2021" s="6">
        <v>2026.0</v>
      </c>
      <c r="K2021" s="10">
        <v>46055.0</v>
      </c>
      <c r="L2021" s="6">
        <v>1.0</v>
      </c>
      <c r="M2021" s="8">
        <f t="shared" si="3"/>
        <v>0.8</v>
      </c>
      <c r="P2021" s="9"/>
    </row>
    <row r="2022">
      <c r="A2022" s="6" t="s">
        <v>4963</v>
      </c>
      <c r="B2022" s="6" t="s">
        <v>4964</v>
      </c>
      <c r="C2022" s="6" t="s">
        <v>43</v>
      </c>
      <c r="D2022" s="6" t="s">
        <v>4965</v>
      </c>
      <c r="E2022" s="6" t="s">
        <v>57</v>
      </c>
      <c r="F2022" s="6" t="s">
        <v>40</v>
      </c>
      <c r="G2022" s="7">
        <v>0.07</v>
      </c>
      <c r="H2022" s="6" t="s">
        <v>701</v>
      </c>
      <c r="I2022" s="6" t="s">
        <v>20</v>
      </c>
      <c r="J2022" s="6">
        <v>2015.0</v>
      </c>
      <c r="K2022" s="10">
        <v>46024.0</v>
      </c>
      <c r="L2022" s="6">
        <v>1.0</v>
      </c>
      <c r="M2022" s="8">
        <f t="shared" si="3"/>
        <v>0.07</v>
      </c>
      <c r="P2022" s="9"/>
    </row>
    <row r="2023">
      <c r="A2023" s="6" t="s">
        <v>4966</v>
      </c>
      <c r="B2023" s="6" t="s">
        <v>4967</v>
      </c>
      <c r="C2023" s="6" t="s">
        <v>377</v>
      </c>
      <c r="D2023" s="6" t="s">
        <v>4968</v>
      </c>
      <c r="E2023" s="6" t="s">
        <v>448</v>
      </c>
      <c r="F2023" s="6" t="s">
        <v>112</v>
      </c>
      <c r="G2023" s="7">
        <v>0.1</v>
      </c>
      <c r="H2023" s="6" t="s">
        <v>471</v>
      </c>
      <c r="I2023" s="6" t="s">
        <v>20</v>
      </c>
      <c r="J2023" s="6">
        <v>2026.0</v>
      </c>
      <c r="K2023" s="10">
        <v>46085.0</v>
      </c>
      <c r="L2023" s="6">
        <v>1.0</v>
      </c>
      <c r="M2023" s="8">
        <f t="shared" si="3"/>
        <v>0.1</v>
      </c>
      <c r="P2023" s="9"/>
    </row>
    <row r="2024">
      <c r="A2024" s="6" t="s">
        <v>4969</v>
      </c>
      <c r="B2024" s="6" t="s">
        <v>2155</v>
      </c>
      <c r="C2024" s="6" t="s">
        <v>43</v>
      </c>
      <c r="D2024" s="6" t="s">
        <v>4970</v>
      </c>
      <c r="E2024" s="6" t="s">
        <v>98</v>
      </c>
      <c r="F2024" s="6" t="s">
        <v>18</v>
      </c>
      <c r="G2024" s="7">
        <v>0.26</v>
      </c>
      <c r="H2024" s="6" t="s">
        <v>88</v>
      </c>
      <c r="I2024" s="6" t="s">
        <v>45</v>
      </c>
      <c r="J2024" s="6">
        <v>2026.0</v>
      </c>
      <c r="K2024" s="10">
        <v>46024.0</v>
      </c>
      <c r="L2024" s="6">
        <v>1.0</v>
      </c>
      <c r="M2024" s="8">
        <f t="shared" si="3"/>
        <v>0.26</v>
      </c>
      <c r="P2024" s="9"/>
    </row>
    <row r="2025">
      <c r="A2025" s="6" t="s">
        <v>4971</v>
      </c>
      <c r="B2025" s="6" t="s">
        <v>836</v>
      </c>
      <c r="C2025" s="6" t="s">
        <v>43</v>
      </c>
      <c r="D2025" s="6" t="s">
        <v>4972</v>
      </c>
      <c r="E2025" s="6" t="s">
        <v>86</v>
      </c>
      <c r="F2025" s="6" t="s">
        <v>87</v>
      </c>
      <c r="G2025" s="7">
        <v>0.06</v>
      </c>
      <c r="H2025" s="6" t="s">
        <v>1833</v>
      </c>
      <c r="I2025" s="6" t="s">
        <v>20</v>
      </c>
      <c r="J2025" s="6">
        <v>2018.0</v>
      </c>
      <c r="K2025" s="10">
        <v>46084.0</v>
      </c>
      <c r="L2025" s="6">
        <v>1.0</v>
      </c>
      <c r="M2025" s="8">
        <f t="shared" si="3"/>
        <v>0.06</v>
      </c>
      <c r="N2025" s="6" t="s">
        <v>374</v>
      </c>
      <c r="P2025" s="9"/>
    </row>
    <row r="2026">
      <c r="A2026" s="6" t="s">
        <v>4973</v>
      </c>
      <c r="B2026" s="6" t="s">
        <v>115</v>
      </c>
      <c r="C2026" s="6" t="s">
        <v>23</v>
      </c>
      <c r="D2026" s="6" t="s">
        <v>4974</v>
      </c>
      <c r="E2026" s="6" t="s">
        <v>1007</v>
      </c>
      <c r="F2026" s="6" t="s">
        <v>87</v>
      </c>
      <c r="G2026" s="7">
        <v>0.05</v>
      </c>
      <c r="H2026" s="6" t="s">
        <v>342</v>
      </c>
      <c r="I2026" s="6" t="s">
        <v>20</v>
      </c>
      <c r="J2026" s="6">
        <v>2014.0</v>
      </c>
      <c r="L2026" s="6">
        <v>1.0</v>
      </c>
      <c r="M2026" s="8">
        <f t="shared" si="3"/>
        <v>0.05</v>
      </c>
      <c r="P2026" s="9"/>
    </row>
    <row r="2027">
      <c r="A2027" s="6" t="s">
        <v>4975</v>
      </c>
      <c r="B2027" s="6" t="s">
        <v>146</v>
      </c>
      <c r="C2027" s="6" t="s">
        <v>37</v>
      </c>
      <c r="D2027" s="6" t="s">
        <v>4976</v>
      </c>
      <c r="E2027" s="6" t="s">
        <v>4977</v>
      </c>
      <c r="F2027" s="6" t="s">
        <v>159</v>
      </c>
      <c r="G2027" s="7">
        <v>2.25</v>
      </c>
      <c r="H2027" s="6" t="s">
        <v>4978</v>
      </c>
      <c r="I2027" s="6" t="s">
        <v>20</v>
      </c>
      <c r="J2027" s="6">
        <v>2021.0</v>
      </c>
      <c r="L2027" s="6">
        <v>1.0</v>
      </c>
      <c r="M2027" s="8">
        <f t="shared" si="3"/>
        <v>2.25</v>
      </c>
      <c r="N2027" s="6" t="s">
        <v>122</v>
      </c>
      <c r="P2027" s="9"/>
    </row>
    <row r="2028">
      <c r="A2028" s="6" t="s">
        <v>4979</v>
      </c>
      <c r="B2028" s="6" t="s">
        <v>4980</v>
      </c>
      <c r="C2028" s="6" t="s">
        <v>43</v>
      </c>
      <c r="D2028" s="6" t="s">
        <v>4981</v>
      </c>
      <c r="E2028" s="6" t="s">
        <v>448</v>
      </c>
      <c r="F2028" s="6" t="s">
        <v>112</v>
      </c>
      <c r="G2028" s="7">
        <v>0.09</v>
      </c>
      <c r="H2028" s="6" t="s">
        <v>89</v>
      </c>
      <c r="I2028" s="6" t="s">
        <v>20</v>
      </c>
      <c r="J2028" s="6">
        <v>2021.0</v>
      </c>
      <c r="K2028" s="10">
        <v>46055.0</v>
      </c>
      <c r="L2028" s="6">
        <v>1.0</v>
      </c>
      <c r="M2028" s="8">
        <f t="shared" si="3"/>
        <v>0.09</v>
      </c>
      <c r="P2028" s="9"/>
    </row>
    <row r="2029">
      <c r="A2029" s="6" t="s">
        <v>4982</v>
      </c>
      <c r="B2029" s="6" t="s">
        <v>524</v>
      </c>
      <c r="C2029" s="6" t="s">
        <v>43</v>
      </c>
      <c r="D2029" s="6" t="s">
        <v>4983</v>
      </c>
      <c r="E2029" s="6" t="s">
        <v>256</v>
      </c>
      <c r="F2029" s="6" t="s">
        <v>87</v>
      </c>
      <c r="G2029" s="7">
        <v>0.75</v>
      </c>
      <c r="H2029" s="6" t="s">
        <v>363</v>
      </c>
      <c r="I2029" s="6" t="s">
        <v>45</v>
      </c>
      <c r="J2029" s="6">
        <v>2024.0</v>
      </c>
      <c r="K2029" s="10">
        <v>46083.0</v>
      </c>
      <c r="L2029" s="6">
        <v>1.0</v>
      </c>
      <c r="M2029" s="8">
        <f t="shared" si="3"/>
        <v>0.75</v>
      </c>
      <c r="P2029" s="9"/>
    </row>
    <row r="2030">
      <c r="A2030" s="6" t="s">
        <v>4984</v>
      </c>
      <c r="B2030" s="6" t="s">
        <v>138</v>
      </c>
      <c r="C2030" s="6" t="s">
        <v>43</v>
      </c>
      <c r="D2030" s="6" t="s">
        <v>4985</v>
      </c>
      <c r="E2030" s="6" t="s">
        <v>125</v>
      </c>
      <c r="F2030" s="6" t="s">
        <v>40</v>
      </c>
      <c r="G2030" s="7">
        <v>0.35</v>
      </c>
      <c r="H2030" s="6" t="s">
        <v>764</v>
      </c>
      <c r="I2030" s="6" t="s">
        <v>20</v>
      </c>
      <c r="J2030" s="6">
        <v>1999.0</v>
      </c>
      <c r="L2030" s="6">
        <v>2.0</v>
      </c>
      <c r="M2030" s="8">
        <f t="shared" si="3"/>
        <v>0.7</v>
      </c>
      <c r="P2030" s="9"/>
    </row>
    <row r="2031">
      <c r="A2031" s="6" t="s">
        <v>4986</v>
      </c>
      <c r="B2031" s="6" t="s">
        <v>74</v>
      </c>
      <c r="C2031" s="6" t="s">
        <v>43</v>
      </c>
      <c r="D2031" s="6" t="s">
        <v>4987</v>
      </c>
      <c r="E2031" s="6" t="s">
        <v>125</v>
      </c>
      <c r="F2031" s="6" t="s">
        <v>40</v>
      </c>
      <c r="G2031" s="7">
        <v>0.14</v>
      </c>
      <c r="H2031" s="6" t="s">
        <v>428</v>
      </c>
      <c r="I2031" s="6" t="s">
        <v>20</v>
      </c>
      <c r="J2031" s="6">
        <v>2022.0</v>
      </c>
      <c r="L2031" s="6">
        <v>1.0</v>
      </c>
      <c r="M2031" s="8">
        <f t="shared" si="3"/>
        <v>0.14</v>
      </c>
      <c r="P2031" s="9"/>
    </row>
    <row r="2032">
      <c r="A2032" s="6" t="s">
        <v>4988</v>
      </c>
      <c r="B2032" s="6" t="s">
        <v>74</v>
      </c>
      <c r="C2032" s="6" t="s">
        <v>43</v>
      </c>
      <c r="D2032" s="6" t="s">
        <v>4989</v>
      </c>
      <c r="E2032" s="6" t="s">
        <v>107</v>
      </c>
      <c r="F2032" s="6" t="s">
        <v>18</v>
      </c>
      <c r="G2032" s="7">
        <v>0.2</v>
      </c>
      <c r="H2032" s="6" t="s">
        <v>655</v>
      </c>
      <c r="I2032" s="6" t="s">
        <v>20</v>
      </c>
      <c r="J2032" s="6">
        <v>2023.0</v>
      </c>
      <c r="L2032" s="6">
        <v>1.0</v>
      </c>
      <c r="M2032" s="8">
        <f t="shared" si="3"/>
        <v>0.2</v>
      </c>
      <c r="P2032" s="9"/>
    </row>
    <row r="2033">
      <c r="A2033" s="6" t="s">
        <v>4990</v>
      </c>
      <c r="B2033" s="6" t="s">
        <v>4991</v>
      </c>
      <c r="C2033" s="6" t="s">
        <v>30</v>
      </c>
      <c r="D2033" s="6" t="s">
        <v>4992</v>
      </c>
      <c r="E2033" s="6" t="s">
        <v>125</v>
      </c>
      <c r="F2033" s="6" t="s">
        <v>40</v>
      </c>
      <c r="G2033" s="7">
        <v>2.0</v>
      </c>
      <c r="H2033" s="6" t="s">
        <v>34</v>
      </c>
      <c r="I2033" s="6" t="s">
        <v>20</v>
      </c>
      <c r="J2033" s="6">
        <v>2025.0</v>
      </c>
      <c r="K2033" s="10">
        <v>46023.0</v>
      </c>
      <c r="L2033" s="6">
        <v>1.0</v>
      </c>
      <c r="M2033" s="8">
        <f t="shared" si="3"/>
        <v>2</v>
      </c>
      <c r="P2033" s="9"/>
    </row>
    <row r="2034">
      <c r="A2034" s="6" t="s">
        <v>4990</v>
      </c>
      <c r="B2034" s="6" t="s">
        <v>4991</v>
      </c>
      <c r="C2034" s="6" t="s">
        <v>30</v>
      </c>
      <c r="D2034" s="6" t="s">
        <v>4992</v>
      </c>
      <c r="E2034" s="6" t="s">
        <v>125</v>
      </c>
      <c r="F2034" s="6" t="s">
        <v>40</v>
      </c>
      <c r="G2034" s="7">
        <v>6.89</v>
      </c>
      <c r="H2034" s="6" t="s">
        <v>4993</v>
      </c>
      <c r="I2034" s="6" t="s">
        <v>45</v>
      </c>
      <c r="J2034" s="6">
        <v>2025.0</v>
      </c>
      <c r="K2034" s="10">
        <v>46023.0</v>
      </c>
      <c r="L2034" s="6">
        <v>1.0</v>
      </c>
      <c r="M2034" s="8">
        <f t="shared" si="3"/>
        <v>6.89</v>
      </c>
      <c r="P2034" s="9"/>
    </row>
    <row r="2035">
      <c r="A2035" s="6" t="s">
        <v>4994</v>
      </c>
      <c r="B2035" s="6" t="s">
        <v>4995</v>
      </c>
      <c r="C2035" s="6" t="s">
        <v>37</v>
      </c>
      <c r="D2035" s="6" t="s">
        <v>4996</v>
      </c>
      <c r="E2035" s="6" t="s">
        <v>329</v>
      </c>
      <c r="F2035" s="6" t="s">
        <v>112</v>
      </c>
      <c r="G2035" s="7">
        <v>0.1</v>
      </c>
      <c r="H2035" s="6" t="s">
        <v>136</v>
      </c>
      <c r="I2035" s="6" t="s">
        <v>20</v>
      </c>
      <c r="J2035" s="6">
        <v>2026.0</v>
      </c>
      <c r="K2035" s="10">
        <v>46082.0</v>
      </c>
      <c r="L2035" s="6">
        <v>1.0</v>
      </c>
      <c r="M2035" s="8">
        <f t="shared" si="3"/>
        <v>0.1</v>
      </c>
      <c r="P2035" s="9"/>
    </row>
    <row r="2036">
      <c r="A2036" s="6" t="s">
        <v>4997</v>
      </c>
      <c r="B2036" s="6" t="s">
        <v>4998</v>
      </c>
      <c r="C2036" s="6" t="s">
        <v>43</v>
      </c>
      <c r="D2036" s="6" t="s">
        <v>4999</v>
      </c>
      <c r="E2036" s="6" t="s">
        <v>2792</v>
      </c>
      <c r="F2036" s="6" t="s">
        <v>87</v>
      </c>
      <c r="G2036" s="7">
        <v>0.05</v>
      </c>
      <c r="H2036" s="6" t="s">
        <v>34</v>
      </c>
      <c r="I2036" s="6" t="s">
        <v>20</v>
      </c>
      <c r="J2036" s="6">
        <v>2025.0</v>
      </c>
      <c r="K2036" s="10">
        <v>46178.0</v>
      </c>
      <c r="L2036" s="6">
        <v>1.0</v>
      </c>
      <c r="M2036" s="8">
        <f t="shared" si="3"/>
        <v>0.05</v>
      </c>
      <c r="P2036" s="9"/>
    </row>
    <row r="2037">
      <c r="A2037" s="6" t="s">
        <v>5000</v>
      </c>
      <c r="B2037" s="6" t="s">
        <v>657</v>
      </c>
      <c r="C2037" s="6" t="s">
        <v>23</v>
      </c>
      <c r="D2037" s="6" t="s">
        <v>5001</v>
      </c>
      <c r="E2037" s="6">
        <v>2.0</v>
      </c>
      <c r="F2037" s="6" t="s">
        <v>26</v>
      </c>
      <c r="G2037" s="7">
        <v>0.04</v>
      </c>
      <c r="H2037" s="6" t="s">
        <v>153</v>
      </c>
      <c r="I2037" s="6" t="s">
        <v>20</v>
      </c>
      <c r="J2037" s="6">
        <v>2025.0</v>
      </c>
      <c r="L2037" s="6">
        <v>7.0</v>
      </c>
      <c r="M2037" s="8">
        <f t="shared" si="3"/>
        <v>0.28</v>
      </c>
      <c r="P2037" s="9"/>
    </row>
    <row r="2038">
      <c r="A2038" s="6" t="s">
        <v>5000</v>
      </c>
      <c r="B2038" s="6" t="s">
        <v>657</v>
      </c>
      <c r="C2038" s="6" t="s">
        <v>23</v>
      </c>
      <c r="D2038" s="6" t="s">
        <v>5001</v>
      </c>
      <c r="E2038" s="6">
        <v>2.0</v>
      </c>
      <c r="F2038" s="6" t="s">
        <v>26</v>
      </c>
      <c r="G2038" s="7">
        <v>0.3</v>
      </c>
      <c r="H2038" s="6" t="s">
        <v>153</v>
      </c>
      <c r="I2038" s="6" t="s">
        <v>45</v>
      </c>
      <c r="J2038" s="6">
        <v>2025.0</v>
      </c>
      <c r="L2038" s="6">
        <v>1.0</v>
      </c>
      <c r="M2038" s="8">
        <f t="shared" si="3"/>
        <v>0.3</v>
      </c>
      <c r="P2038" s="9"/>
    </row>
    <row r="2039">
      <c r="A2039" s="6" t="s">
        <v>5002</v>
      </c>
      <c r="B2039" s="6" t="s">
        <v>2256</v>
      </c>
      <c r="C2039" s="6" t="s">
        <v>15</v>
      </c>
      <c r="D2039" s="6" t="s">
        <v>5003</v>
      </c>
      <c r="E2039" s="6" t="s">
        <v>117</v>
      </c>
      <c r="F2039" s="6" t="s">
        <v>77</v>
      </c>
      <c r="G2039" s="7">
        <v>0.14</v>
      </c>
      <c r="H2039" s="6" t="s">
        <v>780</v>
      </c>
      <c r="I2039" s="6" t="s">
        <v>20</v>
      </c>
      <c r="J2039" s="6">
        <v>2025.0</v>
      </c>
      <c r="K2039" s="10">
        <v>46026.0</v>
      </c>
      <c r="L2039" s="6">
        <v>1.0</v>
      </c>
      <c r="M2039" s="8">
        <f t="shared" si="3"/>
        <v>0.14</v>
      </c>
      <c r="P2039" s="9"/>
    </row>
    <row r="2040">
      <c r="A2040" s="6" t="s">
        <v>5004</v>
      </c>
      <c r="B2040" s="6" t="s">
        <v>647</v>
      </c>
      <c r="C2040" s="6" t="s">
        <v>37</v>
      </c>
      <c r="D2040" s="6" t="s">
        <v>5005</v>
      </c>
      <c r="E2040" s="6" t="s">
        <v>25</v>
      </c>
      <c r="F2040" s="6" t="s">
        <v>26</v>
      </c>
      <c r="G2040" s="7">
        <v>0.04</v>
      </c>
      <c r="H2040" s="6" t="s">
        <v>121</v>
      </c>
      <c r="I2040" s="6" t="s">
        <v>20</v>
      </c>
      <c r="J2040" s="6">
        <v>2021.0</v>
      </c>
      <c r="K2040" s="10">
        <v>46023.0</v>
      </c>
      <c r="L2040" s="6">
        <v>1.0</v>
      </c>
      <c r="M2040" s="8">
        <f t="shared" si="3"/>
        <v>0.04</v>
      </c>
      <c r="P2040" s="9"/>
    </row>
    <row r="2041">
      <c r="A2041" s="6" t="s">
        <v>5004</v>
      </c>
      <c r="B2041" s="6" t="s">
        <v>647</v>
      </c>
      <c r="C2041" s="6" t="s">
        <v>37</v>
      </c>
      <c r="D2041" s="6" t="s">
        <v>5005</v>
      </c>
      <c r="E2041" s="6" t="s">
        <v>25</v>
      </c>
      <c r="F2041" s="6" t="s">
        <v>26</v>
      </c>
      <c r="G2041" s="7">
        <v>0.04</v>
      </c>
      <c r="H2041" s="6" t="s">
        <v>121</v>
      </c>
      <c r="I2041" s="6" t="s">
        <v>20</v>
      </c>
      <c r="J2041" s="6">
        <v>2021.0</v>
      </c>
      <c r="K2041" s="10">
        <v>46023.0</v>
      </c>
      <c r="L2041" s="6">
        <v>1.0</v>
      </c>
      <c r="M2041" s="8">
        <f t="shared" si="3"/>
        <v>0.04</v>
      </c>
      <c r="P2041" s="9"/>
    </row>
    <row r="2042">
      <c r="A2042" s="6" t="s">
        <v>5006</v>
      </c>
      <c r="B2042" s="6" t="s">
        <v>3382</v>
      </c>
      <c r="C2042" s="6" t="s">
        <v>43</v>
      </c>
      <c r="E2042" s="6" t="s">
        <v>140</v>
      </c>
      <c r="F2042" s="6" t="s">
        <v>87</v>
      </c>
      <c r="G2042" s="7">
        <v>0.04</v>
      </c>
      <c r="H2042" s="6" t="s">
        <v>324</v>
      </c>
      <c r="I2042" s="6" t="s">
        <v>20</v>
      </c>
      <c r="J2042" s="6">
        <v>1995.0</v>
      </c>
      <c r="K2042" s="10">
        <v>46023.0</v>
      </c>
      <c r="L2042" s="6">
        <v>2.0</v>
      </c>
      <c r="M2042" s="8">
        <f t="shared" si="3"/>
        <v>0.08</v>
      </c>
      <c r="P2042" s="9"/>
    </row>
    <row r="2043">
      <c r="A2043" s="6" t="s">
        <v>5006</v>
      </c>
      <c r="B2043" s="6" t="s">
        <v>3382</v>
      </c>
      <c r="C2043" s="6" t="s">
        <v>43</v>
      </c>
      <c r="E2043" s="6" t="s">
        <v>140</v>
      </c>
      <c r="F2043" s="6" t="s">
        <v>87</v>
      </c>
      <c r="G2043" s="7">
        <v>0.18</v>
      </c>
      <c r="H2043" s="6" t="s">
        <v>316</v>
      </c>
      <c r="I2043" s="6" t="s">
        <v>20</v>
      </c>
      <c r="J2043" s="6">
        <v>1995.0</v>
      </c>
      <c r="K2043" s="10">
        <v>46023.0</v>
      </c>
      <c r="L2043" s="6">
        <v>4.0</v>
      </c>
      <c r="M2043" s="8">
        <f t="shared" si="3"/>
        <v>0.72</v>
      </c>
      <c r="P2043" s="9"/>
    </row>
    <row r="2044">
      <c r="A2044" s="6" t="s">
        <v>5006</v>
      </c>
      <c r="B2044" s="6" t="s">
        <v>3382</v>
      </c>
      <c r="C2044" s="6" t="s">
        <v>43</v>
      </c>
      <c r="E2044" s="6" t="s">
        <v>140</v>
      </c>
      <c r="F2044" s="6" t="s">
        <v>87</v>
      </c>
      <c r="G2044" s="7">
        <v>0.15</v>
      </c>
      <c r="H2044" s="6" t="s">
        <v>453</v>
      </c>
      <c r="I2044" s="6" t="s">
        <v>20</v>
      </c>
      <c r="J2044" s="6">
        <v>1994.0</v>
      </c>
      <c r="K2044" s="10">
        <v>46023.0</v>
      </c>
      <c r="L2044" s="6">
        <v>1.0</v>
      </c>
      <c r="M2044" s="8">
        <f t="shared" si="3"/>
        <v>0.15</v>
      </c>
      <c r="P2044" s="9"/>
    </row>
    <row r="2045">
      <c r="A2045" s="6" t="s">
        <v>5007</v>
      </c>
      <c r="B2045" s="6" t="s">
        <v>5008</v>
      </c>
      <c r="C2045" s="6" t="s">
        <v>23</v>
      </c>
      <c r="D2045" s="6" t="s">
        <v>5009</v>
      </c>
      <c r="E2045" s="6" t="s">
        <v>1896</v>
      </c>
      <c r="F2045" s="6" t="s">
        <v>87</v>
      </c>
      <c r="G2045" s="7">
        <v>0.2</v>
      </c>
      <c r="H2045" s="6" t="s">
        <v>1784</v>
      </c>
      <c r="I2045" s="6" t="s">
        <v>20</v>
      </c>
      <c r="J2045" s="6">
        <v>2026.0</v>
      </c>
      <c r="K2045" s="10">
        <v>46085.0</v>
      </c>
      <c r="L2045" s="6">
        <v>3.0</v>
      </c>
      <c r="M2045" s="8">
        <f t="shared" si="3"/>
        <v>0.6</v>
      </c>
      <c r="P2045" s="9"/>
    </row>
    <row r="2046">
      <c r="A2046" s="6" t="s">
        <v>5010</v>
      </c>
      <c r="B2046" s="6" t="s">
        <v>462</v>
      </c>
      <c r="C2046" s="6" t="s">
        <v>43</v>
      </c>
      <c r="D2046" s="6" t="s">
        <v>5011</v>
      </c>
      <c r="E2046" s="6" t="s">
        <v>164</v>
      </c>
      <c r="F2046" s="6" t="s">
        <v>112</v>
      </c>
      <c r="G2046" s="7">
        <v>0.15</v>
      </c>
      <c r="H2046" s="6" t="s">
        <v>475</v>
      </c>
      <c r="I2046" s="6" t="s">
        <v>20</v>
      </c>
      <c r="J2046" s="6">
        <v>2024.0</v>
      </c>
      <c r="L2046" s="6">
        <v>1.0</v>
      </c>
      <c r="M2046" s="8">
        <f t="shared" si="3"/>
        <v>0.15</v>
      </c>
      <c r="P2046" s="9"/>
    </row>
    <row r="2047">
      <c r="A2047" s="6" t="s">
        <v>5012</v>
      </c>
      <c r="B2047" s="6" t="s">
        <v>162</v>
      </c>
      <c r="C2047" s="6" t="s">
        <v>37</v>
      </c>
      <c r="D2047" s="6" t="s">
        <v>5013</v>
      </c>
      <c r="E2047" s="6" t="s">
        <v>111</v>
      </c>
      <c r="F2047" s="6" t="s">
        <v>112</v>
      </c>
      <c r="G2047" s="7">
        <v>0.03</v>
      </c>
      <c r="H2047" s="6" t="s">
        <v>1776</v>
      </c>
      <c r="I2047" s="6" t="s">
        <v>20</v>
      </c>
      <c r="J2047" s="6">
        <v>2017.0</v>
      </c>
      <c r="L2047" s="6">
        <v>1.0</v>
      </c>
      <c r="M2047" s="8">
        <f t="shared" si="3"/>
        <v>0.03</v>
      </c>
      <c r="P2047" s="9"/>
    </row>
    <row r="2048">
      <c r="A2048" s="6" t="s">
        <v>5014</v>
      </c>
      <c r="B2048" s="6" t="s">
        <v>2022</v>
      </c>
      <c r="C2048" s="6" t="s">
        <v>377</v>
      </c>
      <c r="D2048" s="6" t="s">
        <v>5015</v>
      </c>
      <c r="E2048" s="6" t="s">
        <v>176</v>
      </c>
      <c r="F2048" s="6" t="s">
        <v>77</v>
      </c>
      <c r="G2048" s="7">
        <v>0.11</v>
      </c>
      <c r="H2048" s="6" t="s">
        <v>471</v>
      </c>
      <c r="I2048" s="6" t="s">
        <v>20</v>
      </c>
      <c r="J2048" s="6">
        <v>2026.0</v>
      </c>
      <c r="K2048" s="10">
        <v>46024.0</v>
      </c>
      <c r="L2048" s="6">
        <v>2.0</v>
      </c>
      <c r="M2048" s="8">
        <f t="shared" si="3"/>
        <v>0.22</v>
      </c>
      <c r="P2048" s="9"/>
    </row>
    <row r="2049">
      <c r="A2049" s="6" t="s">
        <v>5016</v>
      </c>
      <c r="B2049" s="6" t="s">
        <v>5017</v>
      </c>
      <c r="C2049" s="6" t="s">
        <v>37</v>
      </c>
      <c r="D2049" s="6" t="s">
        <v>5018</v>
      </c>
      <c r="E2049" s="6" t="s">
        <v>57</v>
      </c>
      <c r="F2049" s="6" t="s">
        <v>40</v>
      </c>
      <c r="G2049" s="7">
        <v>0.05</v>
      </c>
      <c r="H2049" s="6" t="s">
        <v>471</v>
      </c>
      <c r="I2049" s="6" t="s">
        <v>20</v>
      </c>
      <c r="J2049" s="6">
        <v>2026.0</v>
      </c>
      <c r="K2049" s="10">
        <v>46144.0</v>
      </c>
      <c r="L2049" s="6">
        <v>1.0</v>
      </c>
      <c r="M2049" s="8">
        <f t="shared" si="3"/>
        <v>0.05</v>
      </c>
      <c r="P2049" s="9"/>
    </row>
    <row r="2050">
      <c r="A2050" s="6" t="s">
        <v>5019</v>
      </c>
      <c r="B2050" s="6" t="s">
        <v>5020</v>
      </c>
      <c r="C2050" s="6" t="s">
        <v>43</v>
      </c>
      <c r="D2050" s="6" t="s">
        <v>5021</v>
      </c>
      <c r="E2050" s="6" t="s">
        <v>5022</v>
      </c>
      <c r="F2050" s="6" t="s">
        <v>71</v>
      </c>
      <c r="G2050" s="7">
        <v>0.1</v>
      </c>
      <c r="H2050" s="6" t="s">
        <v>746</v>
      </c>
      <c r="I2050" s="6" t="s">
        <v>20</v>
      </c>
      <c r="J2050" s="6">
        <v>2024.0</v>
      </c>
      <c r="K2050" s="10">
        <v>46083.0</v>
      </c>
      <c r="L2050" s="6">
        <v>1.0</v>
      </c>
      <c r="M2050" s="8">
        <f t="shared" si="3"/>
        <v>0.1</v>
      </c>
      <c r="P2050" s="9"/>
    </row>
    <row r="2051">
      <c r="A2051" s="6" t="s">
        <v>5023</v>
      </c>
      <c r="B2051" s="6" t="s">
        <v>2262</v>
      </c>
      <c r="C2051" s="6" t="s">
        <v>43</v>
      </c>
      <c r="D2051" s="6" t="s">
        <v>5024</v>
      </c>
      <c r="E2051" s="6" t="s">
        <v>224</v>
      </c>
      <c r="F2051" s="6" t="s">
        <v>18</v>
      </c>
      <c r="G2051" s="7">
        <v>0.2</v>
      </c>
      <c r="H2051" s="6" t="s">
        <v>3621</v>
      </c>
      <c r="I2051" s="6" t="s">
        <v>20</v>
      </c>
      <c r="J2051" s="6">
        <v>2022.0</v>
      </c>
      <c r="K2051" s="10">
        <v>46055.0</v>
      </c>
      <c r="L2051" s="6">
        <v>2.0</v>
      </c>
      <c r="M2051" s="8">
        <f t="shared" si="3"/>
        <v>0.4</v>
      </c>
      <c r="P2051" s="9"/>
    </row>
    <row r="2052">
      <c r="A2052" s="6" t="s">
        <v>5025</v>
      </c>
      <c r="B2052" s="6" t="s">
        <v>80</v>
      </c>
      <c r="C2052" s="6" t="s">
        <v>43</v>
      </c>
      <c r="D2052" s="6" t="s">
        <v>4610</v>
      </c>
      <c r="E2052" s="6" t="s">
        <v>248</v>
      </c>
      <c r="F2052" s="6" t="s">
        <v>77</v>
      </c>
      <c r="G2052" s="7">
        <v>0.05</v>
      </c>
      <c r="H2052" s="6" t="s">
        <v>187</v>
      </c>
      <c r="I2052" s="6" t="s">
        <v>20</v>
      </c>
      <c r="J2052" s="6">
        <v>1995.0</v>
      </c>
      <c r="K2052" s="10">
        <v>46084.0</v>
      </c>
      <c r="L2052" s="6">
        <v>1.0</v>
      </c>
      <c r="M2052" s="8">
        <f t="shared" si="3"/>
        <v>0.05</v>
      </c>
      <c r="P2052" s="9"/>
    </row>
    <row r="2053">
      <c r="A2053" s="6" t="s">
        <v>5026</v>
      </c>
      <c r="B2053" s="6" t="s">
        <v>74</v>
      </c>
      <c r="C2053" s="6" t="s">
        <v>43</v>
      </c>
      <c r="D2053" s="6" t="s">
        <v>5027</v>
      </c>
      <c r="E2053" s="6" t="s">
        <v>554</v>
      </c>
      <c r="F2053" s="6" t="s">
        <v>40</v>
      </c>
      <c r="G2053" s="7">
        <v>0.12</v>
      </c>
      <c r="H2053" s="6" t="s">
        <v>187</v>
      </c>
      <c r="I2053" s="6" t="s">
        <v>20</v>
      </c>
      <c r="J2053" s="6">
        <v>1995.0</v>
      </c>
      <c r="L2053" s="6">
        <v>1.0</v>
      </c>
      <c r="M2053" s="8">
        <f t="shared" si="3"/>
        <v>0.12</v>
      </c>
      <c r="P2053" s="9"/>
    </row>
    <row r="2054">
      <c r="A2054" s="6" t="s">
        <v>5028</v>
      </c>
      <c r="B2054" s="6" t="s">
        <v>138</v>
      </c>
      <c r="C2054" s="6" t="s">
        <v>43</v>
      </c>
      <c r="D2054" s="6" t="s">
        <v>5029</v>
      </c>
      <c r="E2054" s="6" t="s">
        <v>554</v>
      </c>
      <c r="F2054" s="6" t="s">
        <v>40</v>
      </c>
      <c r="G2054" s="7">
        <v>0.05</v>
      </c>
      <c r="H2054" s="6" t="s">
        <v>324</v>
      </c>
      <c r="I2054" s="6" t="s">
        <v>20</v>
      </c>
      <c r="J2054" s="6">
        <v>1995.0</v>
      </c>
      <c r="L2054" s="6">
        <v>3.0</v>
      </c>
      <c r="M2054" s="8">
        <f t="shared" si="3"/>
        <v>0.15</v>
      </c>
      <c r="P2054" s="9"/>
    </row>
    <row r="2055">
      <c r="A2055" s="6" t="s">
        <v>5028</v>
      </c>
      <c r="B2055" s="6" t="s">
        <v>138</v>
      </c>
      <c r="C2055" s="6" t="s">
        <v>43</v>
      </c>
      <c r="D2055" s="6" t="s">
        <v>5029</v>
      </c>
      <c r="E2055" s="6" t="s">
        <v>554</v>
      </c>
      <c r="F2055" s="6" t="s">
        <v>40</v>
      </c>
      <c r="G2055" s="7">
        <v>0.12</v>
      </c>
      <c r="H2055" s="6" t="s">
        <v>316</v>
      </c>
      <c r="I2055" s="6" t="s">
        <v>20</v>
      </c>
      <c r="J2055" s="6">
        <v>1995.0</v>
      </c>
      <c r="L2055" s="6">
        <v>3.0</v>
      </c>
      <c r="M2055" s="8">
        <f t="shared" si="3"/>
        <v>0.36</v>
      </c>
      <c r="P2055" s="9"/>
    </row>
    <row r="2056">
      <c r="A2056" s="6" t="s">
        <v>5030</v>
      </c>
      <c r="B2056" s="6" t="s">
        <v>1929</v>
      </c>
      <c r="C2056" s="6" t="s">
        <v>37</v>
      </c>
      <c r="D2056" s="6" t="s">
        <v>5031</v>
      </c>
      <c r="E2056" s="6" t="s">
        <v>5032</v>
      </c>
      <c r="F2056" s="6" t="s">
        <v>159</v>
      </c>
      <c r="G2056" s="7">
        <v>0.25</v>
      </c>
      <c r="H2056" s="6" t="s">
        <v>471</v>
      </c>
      <c r="I2056" s="6" t="s">
        <v>20</v>
      </c>
      <c r="J2056" s="6">
        <v>2026.0</v>
      </c>
      <c r="K2056" s="10">
        <v>46056.0</v>
      </c>
      <c r="L2056" s="6">
        <v>1.0</v>
      </c>
      <c r="M2056" s="8">
        <f t="shared" si="3"/>
        <v>0.25</v>
      </c>
      <c r="P2056" s="9"/>
    </row>
    <row r="2057">
      <c r="A2057" s="6" t="s">
        <v>5033</v>
      </c>
      <c r="B2057" s="6" t="s">
        <v>5034</v>
      </c>
      <c r="C2057" s="6" t="s">
        <v>23</v>
      </c>
      <c r="D2057" s="6" t="s">
        <v>5035</v>
      </c>
      <c r="E2057" s="6" t="s">
        <v>1550</v>
      </c>
      <c r="F2057" s="6" t="s">
        <v>77</v>
      </c>
      <c r="G2057" s="7">
        <v>2.75</v>
      </c>
      <c r="H2057" s="6" t="s">
        <v>19</v>
      </c>
      <c r="I2057" s="6" t="s">
        <v>20</v>
      </c>
      <c r="J2057" s="6">
        <v>2023.0</v>
      </c>
      <c r="K2057" s="10">
        <v>46083.0</v>
      </c>
      <c r="L2057" s="6">
        <v>4.0</v>
      </c>
      <c r="M2057" s="8">
        <f t="shared" si="3"/>
        <v>11</v>
      </c>
      <c r="P2057" s="9"/>
    </row>
    <row r="2058">
      <c r="A2058" s="6" t="s">
        <v>5036</v>
      </c>
      <c r="B2058" s="6" t="s">
        <v>1002</v>
      </c>
      <c r="C2058" s="6" t="s">
        <v>43</v>
      </c>
      <c r="D2058" s="6" t="s">
        <v>5037</v>
      </c>
      <c r="E2058" s="6" t="s">
        <v>5038</v>
      </c>
      <c r="F2058" s="6" t="s">
        <v>636</v>
      </c>
      <c r="G2058" s="7">
        <v>0.1</v>
      </c>
      <c r="H2058" s="6" t="s">
        <v>1048</v>
      </c>
      <c r="I2058" s="6" t="s">
        <v>20</v>
      </c>
      <c r="J2058" s="6">
        <v>2008.0</v>
      </c>
      <c r="K2058" s="10">
        <v>46118.0</v>
      </c>
      <c r="L2058" s="6">
        <v>1.0</v>
      </c>
      <c r="M2058" s="8">
        <f t="shared" si="3"/>
        <v>0.1</v>
      </c>
      <c r="P2058" s="9"/>
    </row>
    <row r="2059">
      <c r="A2059" s="6" t="s">
        <v>5039</v>
      </c>
      <c r="B2059" s="6" t="s">
        <v>494</v>
      </c>
      <c r="C2059" s="6" t="s">
        <v>43</v>
      </c>
      <c r="D2059" s="6" t="s">
        <v>5040</v>
      </c>
      <c r="E2059" s="6" t="s">
        <v>125</v>
      </c>
      <c r="F2059" s="6" t="s">
        <v>40</v>
      </c>
      <c r="G2059" s="7">
        <v>0.03</v>
      </c>
      <c r="H2059" s="6" t="s">
        <v>249</v>
      </c>
      <c r="I2059" s="6" t="s">
        <v>20</v>
      </c>
      <c r="J2059" s="6">
        <v>2014.0</v>
      </c>
      <c r="L2059" s="6">
        <v>3.0</v>
      </c>
      <c r="M2059" s="8">
        <f t="shared" si="3"/>
        <v>0.09</v>
      </c>
      <c r="P2059" s="9"/>
    </row>
    <row r="2060">
      <c r="A2060" s="6" t="s">
        <v>5041</v>
      </c>
      <c r="B2060" s="6" t="s">
        <v>74</v>
      </c>
      <c r="C2060" s="6" t="s">
        <v>37</v>
      </c>
      <c r="D2060" s="6" t="s">
        <v>5042</v>
      </c>
      <c r="E2060" s="6" t="s">
        <v>2060</v>
      </c>
      <c r="F2060" s="6" t="s">
        <v>159</v>
      </c>
      <c r="G2060" s="7">
        <v>0.58</v>
      </c>
      <c r="H2060" s="6" t="s">
        <v>4045</v>
      </c>
      <c r="I2060" s="6" t="s">
        <v>45</v>
      </c>
      <c r="J2060" s="6">
        <v>2021.0</v>
      </c>
      <c r="L2060" s="6">
        <v>1.0</v>
      </c>
      <c r="M2060" s="8">
        <f t="shared" si="3"/>
        <v>0.58</v>
      </c>
      <c r="P2060" s="9"/>
    </row>
    <row r="2061">
      <c r="A2061" s="6" t="s">
        <v>5043</v>
      </c>
      <c r="B2061" s="6" t="s">
        <v>1577</v>
      </c>
      <c r="C2061" s="6" t="s">
        <v>43</v>
      </c>
      <c r="D2061" s="6" t="s">
        <v>5044</v>
      </c>
      <c r="F2061" s="6" t="s">
        <v>26</v>
      </c>
      <c r="G2061" s="7">
        <v>0.49</v>
      </c>
      <c r="H2061" s="6" t="s">
        <v>460</v>
      </c>
      <c r="I2061" s="6" t="s">
        <v>20</v>
      </c>
      <c r="J2061" s="6">
        <v>2015.0</v>
      </c>
      <c r="L2061" s="6">
        <v>1.0</v>
      </c>
      <c r="M2061" s="8">
        <f t="shared" si="3"/>
        <v>0.49</v>
      </c>
      <c r="P2061" s="9"/>
    </row>
    <row r="2062">
      <c r="A2062" s="6" t="s">
        <v>5045</v>
      </c>
      <c r="B2062" s="6" t="s">
        <v>219</v>
      </c>
      <c r="C2062" s="6" t="s">
        <v>37</v>
      </c>
      <c r="D2062" s="6" t="s">
        <v>5046</v>
      </c>
      <c r="E2062" s="6" t="s">
        <v>25</v>
      </c>
      <c r="F2062" s="6" t="s">
        <v>26</v>
      </c>
      <c r="G2062" s="7">
        <v>0.4</v>
      </c>
      <c r="H2062" s="6" t="s">
        <v>259</v>
      </c>
      <c r="I2062" s="6" t="s">
        <v>20</v>
      </c>
      <c r="J2062" s="6">
        <v>1996.0</v>
      </c>
      <c r="L2062" s="6">
        <v>1.0</v>
      </c>
      <c r="M2062" s="8">
        <f t="shared" si="3"/>
        <v>0.4</v>
      </c>
      <c r="P2062" s="9"/>
    </row>
    <row r="2063">
      <c r="A2063" s="6" t="s">
        <v>5047</v>
      </c>
      <c r="B2063" s="6" t="s">
        <v>5048</v>
      </c>
      <c r="C2063" s="6" t="s">
        <v>37</v>
      </c>
      <c r="D2063" s="6" t="s">
        <v>5049</v>
      </c>
      <c r="E2063" s="6" t="s">
        <v>4393</v>
      </c>
      <c r="F2063" s="6" t="s">
        <v>112</v>
      </c>
      <c r="G2063" s="7">
        <v>0.04</v>
      </c>
      <c r="H2063" s="6" t="s">
        <v>99</v>
      </c>
      <c r="I2063" s="6" t="s">
        <v>20</v>
      </c>
      <c r="J2063" s="6">
        <v>2022.0</v>
      </c>
      <c r="K2063" s="10">
        <v>46210.0</v>
      </c>
      <c r="L2063" s="6">
        <v>1.0</v>
      </c>
      <c r="M2063" s="8">
        <f t="shared" si="3"/>
        <v>0.04</v>
      </c>
      <c r="P2063" s="9"/>
    </row>
    <row r="2064">
      <c r="A2064" s="6" t="s">
        <v>5050</v>
      </c>
      <c r="B2064" s="6" t="s">
        <v>5051</v>
      </c>
      <c r="C2064" s="6" t="s">
        <v>43</v>
      </c>
      <c r="D2064" s="6" t="s">
        <v>5052</v>
      </c>
      <c r="E2064" s="6" t="s">
        <v>125</v>
      </c>
      <c r="F2064" s="6" t="s">
        <v>40</v>
      </c>
      <c r="G2064" s="7">
        <v>0.05</v>
      </c>
      <c r="H2064" s="6" t="s">
        <v>297</v>
      </c>
      <c r="I2064" s="6" t="s">
        <v>20</v>
      </c>
      <c r="J2064" s="6">
        <v>2022.0</v>
      </c>
      <c r="K2064" s="10">
        <v>46023.0</v>
      </c>
      <c r="L2064" s="6">
        <v>1.0</v>
      </c>
      <c r="M2064" s="8">
        <f t="shared" si="3"/>
        <v>0.05</v>
      </c>
      <c r="P2064" s="9"/>
    </row>
    <row r="2065">
      <c r="A2065" s="6" t="s">
        <v>5053</v>
      </c>
      <c r="B2065" s="6" t="s">
        <v>5054</v>
      </c>
      <c r="C2065" s="6" t="s">
        <v>43</v>
      </c>
      <c r="D2065" s="6" t="s">
        <v>5055</v>
      </c>
      <c r="E2065" s="6" t="s">
        <v>140</v>
      </c>
      <c r="F2065" s="6" t="s">
        <v>87</v>
      </c>
      <c r="G2065" s="7">
        <v>0.11</v>
      </c>
      <c r="H2065" s="6" t="s">
        <v>187</v>
      </c>
      <c r="I2065" s="6" t="s">
        <v>20</v>
      </c>
      <c r="J2065" s="6">
        <v>1995.0</v>
      </c>
      <c r="K2065" s="10">
        <v>46023.0</v>
      </c>
      <c r="L2065" s="6">
        <v>1.0</v>
      </c>
      <c r="M2065" s="8">
        <f t="shared" si="3"/>
        <v>0.11</v>
      </c>
      <c r="P2065" s="9"/>
    </row>
    <row r="2066">
      <c r="A2066" s="6" t="s">
        <v>5056</v>
      </c>
      <c r="B2066" s="6" t="s">
        <v>5057</v>
      </c>
      <c r="C2066" s="6" t="s">
        <v>43</v>
      </c>
      <c r="D2066" s="6" t="s">
        <v>5058</v>
      </c>
      <c r="E2066" s="6" t="s">
        <v>356</v>
      </c>
      <c r="F2066" s="6" t="s">
        <v>87</v>
      </c>
      <c r="G2066" s="7">
        <v>0.09</v>
      </c>
      <c r="H2066" s="6" t="s">
        <v>1300</v>
      </c>
      <c r="I2066" s="6" t="s">
        <v>20</v>
      </c>
      <c r="J2066" s="6">
        <v>2021.0</v>
      </c>
      <c r="K2066" s="10">
        <v>46117.0</v>
      </c>
      <c r="L2066" s="6">
        <v>3.0</v>
      </c>
      <c r="M2066" s="8">
        <f t="shared" si="3"/>
        <v>0.27</v>
      </c>
      <c r="P2066" s="9"/>
    </row>
    <row r="2067">
      <c r="A2067" s="6" t="s">
        <v>5059</v>
      </c>
      <c r="B2067" s="6" t="s">
        <v>820</v>
      </c>
      <c r="C2067" s="6" t="s">
        <v>377</v>
      </c>
      <c r="D2067" s="6" t="s">
        <v>5060</v>
      </c>
      <c r="E2067" s="6" t="s">
        <v>4910</v>
      </c>
      <c r="F2067" s="6" t="s">
        <v>2113</v>
      </c>
      <c r="G2067" s="7">
        <v>0.09</v>
      </c>
      <c r="H2067" s="6" t="s">
        <v>5061</v>
      </c>
      <c r="I2067" s="6" t="s">
        <v>20</v>
      </c>
      <c r="J2067" s="6">
        <v>2006.0</v>
      </c>
      <c r="K2067" s="10">
        <v>46023.0</v>
      </c>
      <c r="L2067" s="6">
        <v>4.0</v>
      </c>
      <c r="M2067" s="8">
        <f t="shared" si="3"/>
        <v>0.36</v>
      </c>
      <c r="P2067" s="9"/>
    </row>
    <row r="2068">
      <c r="A2068" s="6" t="s">
        <v>5062</v>
      </c>
      <c r="B2068" s="6" t="s">
        <v>138</v>
      </c>
      <c r="C2068" s="6" t="s">
        <v>43</v>
      </c>
      <c r="D2068" s="6" t="s">
        <v>5063</v>
      </c>
      <c r="E2068" s="6" t="s">
        <v>86</v>
      </c>
      <c r="F2068" s="6" t="s">
        <v>87</v>
      </c>
      <c r="G2068" s="7">
        <v>0.1</v>
      </c>
      <c r="H2068" s="6" t="s">
        <v>136</v>
      </c>
      <c r="I2068" s="6" t="s">
        <v>20</v>
      </c>
      <c r="J2068" s="6">
        <v>2026.0</v>
      </c>
      <c r="L2068" s="6">
        <v>7.0</v>
      </c>
      <c r="M2068" s="8">
        <f t="shared" si="3"/>
        <v>0.7</v>
      </c>
      <c r="P2068" s="9"/>
    </row>
    <row r="2069">
      <c r="A2069" s="6" t="s">
        <v>5064</v>
      </c>
      <c r="B2069" s="6" t="s">
        <v>192</v>
      </c>
      <c r="C2069" s="6" t="s">
        <v>43</v>
      </c>
      <c r="D2069" s="6" t="s">
        <v>5065</v>
      </c>
      <c r="E2069" s="6" t="s">
        <v>86</v>
      </c>
      <c r="F2069" s="6" t="s">
        <v>87</v>
      </c>
      <c r="G2069" s="7">
        <v>0.1</v>
      </c>
      <c r="H2069" s="6" t="s">
        <v>136</v>
      </c>
      <c r="I2069" s="6" t="s">
        <v>20</v>
      </c>
      <c r="J2069" s="6">
        <v>2026.0</v>
      </c>
      <c r="L2069" s="6">
        <v>8.0</v>
      </c>
      <c r="M2069" s="8">
        <f t="shared" si="3"/>
        <v>0.8</v>
      </c>
      <c r="P2069" s="9"/>
    </row>
    <row r="2070">
      <c r="A2070" s="6" t="s">
        <v>5066</v>
      </c>
      <c r="B2070" s="6" t="s">
        <v>3744</v>
      </c>
      <c r="C2070" s="6" t="s">
        <v>43</v>
      </c>
      <c r="D2070" s="6" t="s">
        <v>5067</v>
      </c>
      <c r="E2070" s="6" t="s">
        <v>49</v>
      </c>
      <c r="F2070" s="6" t="s">
        <v>50</v>
      </c>
      <c r="G2070" s="7">
        <v>0.1</v>
      </c>
      <c r="H2070" s="6" t="s">
        <v>136</v>
      </c>
      <c r="I2070" s="6" t="s">
        <v>20</v>
      </c>
      <c r="J2070" s="6">
        <v>2026.0</v>
      </c>
      <c r="K2070" s="10">
        <v>46083.0</v>
      </c>
      <c r="L2070" s="6">
        <v>5.0</v>
      </c>
      <c r="M2070" s="8">
        <f t="shared" si="3"/>
        <v>0.5</v>
      </c>
      <c r="P2070" s="9"/>
    </row>
    <row r="2071">
      <c r="A2071" s="6" t="s">
        <v>5068</v>
      </c>
      <c r="B2071" s="6" t="s">
        <v>162</v>
      </c>
      <c r="C2071" s="6" t="s">
        <v>43</v>
      </c>
      <c r="D2071" s="6" t="s">
        <v>5069</v>
      </c>
      <c r="E2071" s="6" t="s">
        <v>140</v>
      </c>
      <c r="F2071" s="6" t="s">
        <v>87</v>
      </c>
      <c r="G2071" s="7">
        <v>0.05</v>
      </c>
      <c r="H2071" s="6" t="s">
        <v>65</v>
      </c>
      <c r="I2071" s="6" t="s">
        <v>20</v>
      </c>
      <c r="J2071" s="6">
        <v>2013.0</v>
      </c>
      <c r="L2071" s="6">
        <v>1.0</v>
      </c>
      <c r="M2071" s="8">
        <f t="shared" si="3"/>
        <v>0.05</v>
      </c>
      <c r="P2071" s="9"/>
    </row>
    <row r="2072">
      <c r="A2072" s="6" t="s">
        <v>5068</v>
      </c>
      <c r="B2072" s="6" t="s">
        <v>162</v>
      </c>
      <c r="C2072" s="6" t="s">
        <v>43</v>
      </c>
      <c r="D2072" s="6" t="s">
        <v>5069</v>
      </c>
      <c r="E2072" s="6" t="s">
        <v>140</v>
      </c>
      <c r="F2072" s="6" t="s">
        <v>87</v>
      </c>
      <c r="G2072" s="7">
        <v>0.13</v>
      </c>
      <c r="H2072" s="6" t="s">
        <v>597</v>
      </c>
      <c r="I2072" s="6" t="s">
        <v>20</v>
      </c>
      <c r="J2072" s="6">
        <v>2024.0</v>
      </c>
      <c r="L2072" s="6">
        <v>1.0</v>
      </c>
      <c r="M2072" s="8">
        <f t="shared" si="3"/>
        <v>0.13</v>
      </c>
      <c r="P2072" s="9"/>
    </row>
    <row r="2073">
      <c r="A2073" s="6" t="s">
        <v>5070</v>
      </c>
      <c r="B2073" s="6" t="s">
        <v>5071</v>
      </c>
      <c r="C2073" s="6" t="s">
        <v>43</v>
      </c>
      <c r="D2073" s="6" t="s">
        <v>5072</v>
      </c>
      <c r="E2073" s="6" t="s">
        <v>389</v>
      </c>
      <c r="F2073" s="6" t="s">
        <v>77</v>
      </c>
      <c r="G2073" s="7">
        <v>1.0</v>
      </c>
      <c r="H2073" s="6" t="s">
        <v>3621</v>
      </c>
      <c r="I2073" s="6" t="s">
        <v>20</v>
      </c>
      <c r="J2073" s="6">
        <v>2022.0</v>
      </c>
      <c r="L2073" s="6">
        <v>1.0</v>
      </c>
      <c r="M2073" s="8">
        <f t="shared" si="3"/>
        <v>1</v>
      </c>
      <c r="P2073" s="9"/>
    </row>
    <row r="2074">
      <c r="A2074" s="6" t="s">
        <v>5073</v>
      </c>
      <c r="B2074" s="6" t="s">
        <v>162</v>
      </c>
      <c r="C2074" s="6" t="s">
        <v>43</v>
      </c>
      <c r="D2074" s="6" t="s">
        <v>5074</v>
      </c>
      <c r="E2074" s="6" t="s">
        <v>164</v>
      </c>
      <c r="F2074" s="6" t="s">
        <v>112</v>
      </c>
      <c r="G2074" s="7">
        <v>0.09</v>
      </c>
      <c r="H2074" s="6" t="s">
        <v>89</v>
      </c>
      <c r="I2074" s="6" t="s">
        <v>20</v>
      </c>
      <c r="J2074" s="6">
        <v>2021.0</v>
      </c>
      <c r="L2074" s="6">
        <v>1.0</v>
      </c>
      <c r="M2074" s="8">
        <f t="shared" si="3"/>
        <v>0.09</v>
      </c>
      <c r="P2074" s="9"/>
    </row>
    <row r="2075">
      <c r="A2075" s="6" t="s">
        <v>5075</v>
      </c>
      <c r="B2075" s="6" t="s">
        <v>2192</v>
      </c>
      <c r="C2075" s="6" t="s">
        <v>43</v>
      </c>
      <c r="D2075" s="6" t="s">
        <v>5076</v>
      </c>
      <c r="E2075" s="6" t="s">
        <v>135</v>
      </c>
      <c r="F2075" s="6" t="s">
        <v>40</v>
      </c>
      <c r="G2075" s="7">
        <v>0.03</v>
      </c>
      <c r="H2075" s="6" t="s">
        <v>1856</v>
      </c>
      <c r="I2075" s="6" t="s">
        <v>20</v>
      </c>
      <c r="J2075" s="6">
        <v>2017.0</v>
      </c>
      <c r="K2075" s="10">
        <v>46055.0</v>
      </c>
      <c r="L2075" s="6">
        <v>3.0</v>
      </c>
      <c r="M2075" s="8">
        <f t="shared" si="3"/>
        <v>0.09</v>
      </c>
      <c r="P2075" s="9"/>
    </row>
    <row r="2076">
      <c r="A2076" s="6" t="s">
        <v>5077</v>
      </c>
      <c r="B2076" s="6" t="s">
        <v>836</v>
      </c>
      <c r="C2076" s="6" t="s">
        <v>37</v>
      </c>
      <c r="D2076" s="6" t="s">
        <v>5078</v>
      </c>
      <c r="E2076" s="6" t="s">
        <v>1117</v>
      </c>
      <c r="F2076" s="6" t="s">
        <v>1118</v>
      </c>
      <c r="G2076" s="7">
        <v>0.21</v>
      </c>
      <c r="H2076" s="6" t="s">
        <v>2033</v>
      </c>
      <c r="I2076" s="6" t="s">
        <v>20</v>
      </c>
      <c r="J2076" s="6">
        <v>2019.0</v>
      </c>
      <c r="K2076" s="10">
        <v>46023.0</v>
      </c>
      <c r="L2076" s="6">
        <v>4.0</v>
      </c>
      <c r="M2076" s="8">
        <f t="shared" si="3"/>
        <v>0.84</v>
      </c>
      <c r="P2076" s="9"/>
    </row>
    <row r="2077">
      <c r="A2077" s="6" t="s">
        <v>5079</v>
      </c>
      <c r="B2077" s="6" t="s">
        <v>138</v>
      </c>
      <c r="C2077" s="6" t="s">
        <v>377</v>
      </c>
      <c r="D2077" s="6" t="s">
        <v>5080</v>
      </c>
      <c r="E2077" s="6" t="s">
        <v>1027</v>
      </c>
      <c r="F2077" s="6" t="s">
        <v>2232</v>
      </c>
      <c r="G2077" s="7">
        <v>0.1</v>
      </c>
      <c r="H2077" s="6" t="s">
        <v>1833</v>
      </c>
      <c r="I2077" s="6" t="s">
        <v>20</v>
      </c>
      <c r="J2077" s="6">
        <v>2018.0</v>
      </c>
      <c r="L2077" s="6">
        <v>2.0</v>
      </c>
      <c r="M2077" s="8">
        <f t="shared" si="3"/>
        <v>0.2</v>
      </c>
      <c r="P2077" s="9"/>
    </row>
    <row r="2078">
      <c r="A2078" s="6" t="s">
        <v>5079</v>
      </c>
      <c r="B2078" s="6" t="s">
        <v>138</v>
      </c>
      <c r="C2078" s="6" t="s">
        <v>377</v>
      </c>
      <c r="D2078" s="6" t="s">
        <v>5080</v>
      </c>
      <c r="E2078" s="6" t="s">
        <v>1027</v>
      </c>
      <c r="F2078" s="6" t="s">
        <v>2232</v>
      </c>
      <c r="G2078" s="7">
        <v>0.4</v>
      </c>
      <c r="H2078" s="6" t="s">
        <v>1833</v>
      </c>
      <c r="I2078" s="6" t="s">
        <v>45</v>
      </c>
      <c r="J2078" s="6">
        <v>2018.0</v>
      </c>
      <c r="L2078" s="6">
        <v>1.0</v>
      </c>
      <c r="M2078" s="8">
        <f t="shared" si="3"/>
        <v>0.4</v>
      </c>
      <c r="P2078" s="9"/>
    </row>
    <row r="2079">
      <c r="A2079" s="6" t="s">
        <v>5081</v>
      </c>
      <c r="B2079" s="6" t="s">
        <v>74</v>
      </c>
      <c r="C2079" s="6" t="s">
        <v>43</v>
      </c>
      <c r="D2079" s="6" t="s">
        <v>5082</v>
      </c>
      <c r="E2079" s="6" t="s">
        <v>1027</v>
      </c>
      <c r="F2079" s="6" t="s">
        <v>77</v>
      </c>
      <c r="G2079" s="7">
        <v>0.05</v>
      </c>
      <c r="H2079" s="6" t="s">
        <v>475</v>
      </c>
      <c r="I2079" s="6" t="s">
        <v>20</v>
      </c>
      <c r="J2079" s="6">
        <v>2024.0</v>
      </c>
      <c r="L2079" s="6">
        <v>1.0</v>
      </c>
      <c r="M2079" s="8">
        <f t="shared" si="3"/>
        <v>0.05</v>
      </c>
      <c r="P2079" s="9"/>
    </row>
    <row r="2080">
      <c r="A2080" s="6" t="s">
        <v>5083</v>
      </c>
      <c r="B2080" s="6" t="s">
        <v>603</v>
      </c>
      <c r="C2080" s="6" t="s">
        <v>37</v>
      </c>
      <c r="D2080" s="6" t="s">
        <v>5084</v>
      </c>
      <c r="E2080" s="6" t="s">
        <v>1840</v>
      </c>
      <c r="F2080" s="6" t="s">
        <v>18</v>
      </c>
      <c r="G2080" s="7">
        <v>0.1</v>
      </c>
      <c r="H2080" s="6" t="s">
        <v>113</v>
      </c>
      <c r="I2080" s="6" t="s">
        <v>20</v>
      </c>
      <c r="J2080" s="6">
        <v>2023.0</v>
      </c>
      <c r="K2080" s="10">
        <v>46116.0</v>
      </c>
      <c r="L2080" s="6">
        <v>1.0</v>
      </c>
      <c r="M2080" s="8">
        <f t="shared" si="3"/>
        <v>0.1</v>
      </c>
      <c r="P2080" s="9"/>
    </row>
    <row r="2081">
      <c r="A2081" s="6" t="s">
        <v>5085</v>
      </c>
      <c r="B2081" s="6" t="s">
        <v>115</v>
      </c>
      <c r="C2081" s="6" t="s">
        <v>23</v>
      </c>
      <c r="D2081" s="6" t="s">
        <v>5086</v>
      </c>
      <c r="E2081" s="6" t="s">
        <v>152</v>
      </c>
      <c r="F2081" s="6" t="s">
        <v>40</v>
      </c>
      <c r="G2081" s="7">
        <v>0.13</v>
      </c>
      <c r="H2081" s="6" t="s">
        <v>27</v>
      </c>
      <c r="I2081" s="6" t="s">
        <v>20</v>
      </c>
      <c r="J2081" s="6">
        <v>2026.0</v>
      </c>
      <c r="L2081" s="6">
        <v>3.0</v>
      </c>
      <c r="M2081" s="8">
        <f t="shared" si="3"/>
        <v>0.39</v>
      </c>
      <c r="P2081" s="9"/>
    </row>
    <row r="2082">
      <c r="A2082" s="6" t="s">
        <v>5087</v>
      </c>
      <c r="B2082" s="6" t="s">
        <v>625</v>
      </c>
      <c r="C2082" s="6" t="s">
        <v>43</v>
      </c>
      <c r="D2082" s="6" t="s">
        <v>5088</v>
      </c>
      <c r="E2082" s="6" t="s">
        <v>248</v>
      </c>
      <c r="F2082" s="6" t="s">
        <v>77</v>
      </c>
      <c r="G2082" s="7">
        <v>0.08</v>
      </c>
      <c r="H2082" s="6" t="s">
        <v>83</v>
      </c>
      <c r="I2082" s="6" t="s">
        <v>20</v>
      </c>
      <c r="J2082" s="6">
        <v>1995.0</v>
      </c>
      <c r="K2082" s="10">
        <v>46055.0</v>
      </c>
      <c r="L2082" s="6">
        <v>2.0</v>
      </c>
      <c r="M2082" s="8">
        <f t="shared" si="3"/>
        <v>0.16</v>
      </c>
      <c r="P2082" s="9"/>
    </row>
    <row r="2083">
      <c r="A2083" s="6" t="s">
        <v>5087</v>
      </c>
      <c r="B2083" s="6" t="s">
        <v>625</v>
      </c>
      <c r="C2083" s="6" t="s">
        <v>43</v>
      </c>
      <c r="D2083" s="6" t="s">
        <v>5088</v>
      </c>
      <c r="E2083" s="6" t="s">
        <v>248</v>
      </c>
      <c r="F2083" s="6" t="s">
        <v>77</v>
      </c>
      <c r="G2083" s="7">
        <v>0.08</v>
      </c>
      <c r="H2083" s="6" t="s">
        <v>1064</v>
      </c>
      <c r="I2083" s="6" t="s">
        <v>20</v>
      </c>
      <c r="J2083" s="6">
        <v>1995.0</v>
      </c>
      <c r="K2083" s="10">
        <v>46055.0</v>
      </c>
      <c r="L2083" s="6">
        <v>3.0</v>
      </c>
      <c r="M2083" s="8">
        <f t="shared" si="3"/>
        <v>0.24</v>
      </c>
      <c r="P2083" s="9"/>
    </row>
    <row r="2084">
      <c r="A2084" s="6" t="s">
        <v>5089</v>
      </c>
      <c r="B2084" s="6" t="s">
        <v>5090</v>
      </c>
      <c r="C2084" s="6" t="s">
        <v>43</v>
      </c>
      <c r="D2084" s="6" t="s">
        <v>5091</v>
      </c>
      <c r="E2084" s="6" t="s">
        <v>224</v>
      </c>
      <c r="F2084" s="6" t="s">
        <v>18</v>
      </c>
      <c r="G2084" s="7">
        <v>0.06</v>
      </c>
      <c r="H2084" s="6" t="s">
        <v>460</v>
      </c>
      <c r="I2084" s="6" t="s">
        <v>20</v>
      </c>
      <c r="J2084" s="6">
        <v>2015.0</v>
      </c>
      <c r="K2084" s="10">
        <v>46056.0</v>
      </c>
      <c r="L2084" s="6">
        <v>5.0</v>
      </c>
      <c r="M2084" s="8">
        <f t="shared" si="3"/>
        <v>0.3</v>
      </c>
      <c r="P2084" s="9"/>
    </row>
    <row r="2085">
      <c r="A2085" s="6" t="s">
        <v>5092</v>
      </c>
      <c r="B2085" s="6" t="s">
        <v>854</v>
      </c>
      <c r="C2085" s="6" t="s">
        <v>43</v>
      </c>
      <c r="D2085" s="6" t="s">
        <v>5093</v>
      </c>
      <c r="E2085" s="6" t="s">
        <v>107</v>
      </c>
      <c r="F2085" s="6" t="s">
        <v>18</v>
      </c>
      <c r="G2085" s="7">
        <v>0.06</v>
      </c>
      <c r="H2085" s="6" t="s">
        <v>4785</v>
      </c>
      <c r="I2085" s="6" t="s">
        <v>20</v>
      </c>
      <c r="J2085" s="6">
        <v>2013.0</v>
      </c>
      <c r="K2085" s="6" t="s">
        <v>100</v>
      </c>
      <c r="L2085" s="6">
        <v>1.0</v>
      </c>
      <c r="M2085" s="8">
        <f t="shared" si="3"/>
        <v>0.06</v>
      </c>
      <c r="P2085" s="9"/>
    </row>
    <row r="2086">
      <c r="A2086" s="6" t="s">
        <v>5094</v>
      </c>
      <c r="B2086" s="6" t="s">
        <v>1520</v>
      </c>
      <c r="C2086" s="6" t="s">
        <v>43</v>
      </c>
      <c r="D2086" s="6" t="s">
        <v>5095</v>
      </c>
      <c r="E2086" s="6" t="s">
        <v>654</v>
      </c>
      <c r="F2086" s="6" t="s">
        <v>18</v>
      </c>
      <c r="G2086" s="7">
        <v>0.06</v>
      </c>
      <c r="H2086" s="6" t="s">
        <v>148</v>
      </c>
      <c r="I2086" s="6" t="s">
        <v>20</v>
      </c>
      <c r="J2086" s="6">
        <v>2026.0</v>
      </c>
      <c r="L2086" s="6">
        <v>2.0</v>
      </c>
      <c r="M2086" s="8">
        <f t="shared" si="3"/>
        <v>0.12</v>
      </c>
      <c r="P2086" s="9"/>
    </row>
    <row r="2087">
      <c r="A2087" s="6" t="s">
        <v>5096</v>
      </c>
      <c r="B2087" s="6" t="s">
        <v>462</v>
      </c>
      <c r="C2087" s="6" t="s">
        <v>43</v>
      </c>
      <c r="D2087" s="6" t="s">
        <v>5097</v>
      </c>
      <c r="E2087" s="6" t="s">
        <v>329</v>
      </c>
      <c r="F2087" s="6" t="s">
        <v>112</v>
      </c>
      <c r="G2087" s="7">
        <v>0.1</v>
      </c>
      <c r="H2087" s="6" t="s">
        <v>136</v>
      </c>
      <c r="I2087" s="6" t="s">
        <v>20</v>
      </c>
      <c r="J2087" s="6">
        <v>2026.0</v>
      </c>
      <c r="L2087" s="6">
        <v>1.0</v>
      </c>
      <c r="M2087" s="8">
        <f t="shared" si="3"/>
        <v>0.1</v>
      </c>
      <c r="P2087" s="9"/>
    </row>
    <row r="2088">
      <c r="A2088" s="6" t="s">
        <v>5098</v>
      </c>
      <c r="B2088" s="6" t="s">
        <v>52</v>
      </c>
      <c r="C2088" s="6" t="s">
        <v>43</v>
      </c>
      <c r="D2088" s="6" t="s">
        <v>5099</v>
      </c>
      <c r="E2088" s="6">
        <v>0.14</v>
      </c>
      <c r="F2088" s="6" t="s">
        <v>977</v>
      </c>
      <c r="G2088" s="8"/>
      <c r="H2088" s="6" t="s">
        <v>136</v>
      </c>
      <c r="I2088" s="6" t="s">
        <v>20</v>
      </c>
      <c r="J2088" s="6">
        <v>2026.0</v>
      </c>
      <c r="L2088" s="6">
        <v>1.0</v>
      </c>
      <c r="M2088" s="8">
        <f t="shared" si="3"/>
        <v>0</v>
      </c>
      <c r="P2088" s="9"/>
    </row>
    <row r="2089">
      <c r="A2089" s="6" t="s">
        <v>5100</v>
      </c>
      <c r="B2089" s="6" t="s">
        <v>5101</v>
      </c>
      <c r="C2089" s="6" t="s">
        <v>43</v>
      </c>
      <c r="D2089" s="6" t="s">
        <v>5102</v>
      </c>
      <c r="E2089" s="6" t="s">
        <v>256</v>
      </c>
      <c r="F2089" s="6" t="s">
        <v>87</v>
      </c>
      <c r="G2089" s="7">
        <v>0.05</v>
      </c>
      <c r="H2089" s="6" t="s">
        <v>136</v>
      </c>
      <c r="I2089" s="6" t="s">
        <v>20</v>
      </c>
      <c r="J2089" s="6">
        <v>2026.0</v>
      </c>
      <c r="K2089" s="10">
        <v>46114.0</v>
      </c>
      <c r="L2089" s="6">
        <v>5.0</v>
      </c>
      <c r="M2089" s="8">
        <f t="shared" si="3"/>
        <v>0.25</v>
      </c>
      <c r="P2089" s="9"/>
    </row>
    <row r="2090">
      <c r="A2090" s="6" t="s">
        <v>5103</v>
      </c>
      <c r="B2090" s="6" t="s">
        <v>5104</v>
      </c>
      <c r="C2090" s="6" t="s">
        <v>37</v>
      </c>
      <c r="D2090" s="6" t="s">
        <v>5105</v>
      </c>
      <c r="E2090" s="6" t="s">
        <v>215</v>
      </c>
      <c r="F2090" s="6" t="s">
        <v>26</v>
      </c>
      <c r="G2090" s="7">
        <v>0.25</v>
      </c>
      <c r="H2090" s="6" t="s">
        <v>217</v>
      </c>
      <c r="I2090" s="6" t="s">
        <v>20</v>
      </c>
      <c r="J2090" s="6">
        <v>2003.0</v>
      </c>
      <c r="K2090" s="10">
        <v>46023.0</v>
      </c>
      <c r="L2090" s="6">
        <v>1.0</v>
      </c>
      <c r="M2090" s="8">
        <f t="shared" si="3"/>
        <v>0.25</v>
      </c>
      <c r="P2090" s="9"/>
    </row>
    <row r="2091">
      <c r="A2091" s="6" t="s">
        <v>5106</v>
      </c>
      <c r="B2091" s="6" t="s">
        <v>5104</v>
      </c>
      <c r="C2091" s="6" t="s">
        <v>43</v>
      </c>
      <c r="D2091" s="6" t="s">
        <v>5107</v>
      </c>
      <c r="E2091" s="6" t="s">
        <v>25</v>
      </c>
      <c r="F2091" s="6" t="s">
        <v>26</v>
      </c>
      <c r="G2091" s="7">
        <v>3.76</v>
      </c>
      <c r="H2091" s="6" t="s">
        <v>4083</v>
      </c>
      <c r="I2091" s="6" t="s">
        <v>20</v>
      </c>
      <c r="J2091" s="6">
        <v>2020.0</v>
      </c>
      <c r="K2091" s="10">
        <v>46023.0</v>
      </c>
      <c r="L2091" s="6">
        <v>1.0</v>
      </c>
      <c r="M2091" s="8">
        <f t="shared" si="3"/>
        <v>3.76</v>
      </c>
      <c r="P2091" s="9"/>
    </row>
    <row r="2092">
      <c r="A2092" s="6" t="s">
        <v>5108</v>
      </c>
      <c r="B2092" s="6" t="s">
        <v>850</v>
      </c>
      <c r="C2092" s="6" t="s">
        <v>23</v>
      </c>
      <c r="D2092" s="6" t="s">
        <v>5109</v>
      </c>
      <c r="E2092" s="6" t="s">
        <v>129</v>
      </c>
      <c r="F2092" s="6" t="s">
        <v>87</v>
      </c>
      <c r="G2092" s="7">
        <v>0.19</v>
      </c>
      <c r="H2092" s="6" t="s">
        <v>153</v>
      </c>
      <c r="I2092" s="6" t="s">
        <v>20</v>
      </c>
      <c r="J2092" s="6">
        <v>2025.0</v>
      </c>
      <c r="K2092" s="10">
        <v>46082.0</v>
      </c>
      <c r="L2092" s="6">
        <v>10.0</v>
      </c>
      <c r="M2092" s="8">
        <f t="shared" si="3"/>
        <v>1.9</v>
      </c>
      <c r="P2092" s="9"/>
    </row>
    <row r="2093">
      <c r="A2093" s="6" t="s">
        <v>5108</v>
      </c>
      <c r="B2093" s="6" t="s">
        <v>850</v>
      </c>
      <c r="C2093" s="6" t="s">
        <v>23</v>
      </c>
      <c r="D2093" s="6" t="s">
        <v>5109</v>
      </c>
      <c r="E2093" s="6" t="s">
        <v>129</v>
      </c>
      <c r="F2093" s="6" t="s">
        <v>87</v>
      </c>
      <c r="G2093" s="7">
        <v>0.3</v>
      </c>
      <c r="H2093" s="6" t="s">
        <v>153</v>
      </c>
      <c r="I2093" s="6" t="s">
        <v>45</v>
      </c>
      <c r="J2093" s="6">
        <v>2025.0</v>
      </c>
      <c r="K2093" s="10">
        <v>46082.0</v>
      </c>
      <c r="L2093" s="6">
        <v>1.0</v>
      </c>
      <c r="M2093" s="8">
        <f t="shared" si="3"/>
        <v>0.3</v>
      </c>
      <c r="P2093" s="9"/>
    </row>
    <row r="2094">
      <c r="A2094" s="6" t="s">
        <v>5110</v>
      </c>
      <c r="B2094" s="6" t="s">
        <v>5111</v>
      </c>
      <c r="C2094" s="6" t="s">
        <v>37</v>
      </c>
      <c r="D2094" s="6" t="s">
        <v>5112</v>
      </c>
      <c r="E2094" s="6" t="s">
        <v>57</v>
      </c>
      <c r="F2094" s="6" t="s">
        <v>40</v>
      </c>
      <c r="G2094" s="7">
        <v>0.1</v>
      </c>
      <c r="H2094" s="6" t="s">
        <v>104</v>
      </c>
      <c r="I2094" s="6" t="s">
        <v>20</v>
      </c>
      <c r="J2094" s="6">
        <v>2019.0</v>
      </c>
      <c r="K2094" s="10">
        <v>46055.0</v>
      </c>
      <c r="L2094" s="6">
        <v>1.0</v>
      </c>
      <c r="M2094" s="8">
        <f t="shared" si="3"/>
        <v>0.1</v>
      </c>
      <c r="P2094" s="9"/>
    </row>
    <row r="2095">
      <c r="A2095" s="6" t="s">
        <v>5113</v>
      </c>
      <c r="B2095" s="6" t="s">
        <v>1731</v>
      </c>
      <c r="C2095" s="6" t="s">
        <v>15</v>
      </c>
      <c r="D2095" s="6" t="s">
        <v>5114</v>
      </c>
      <c r="E2095" s="6" t="s">
        <v>172</v>
      </c>
      <c r="F2095" s="6" t="s">
        <v>26</v>
      </c>
      <c r="G2095" s="7">
        <v>0.39</v>
      </c>
      <c r="H2095" s="6" t="s">
        <v>130</v>
      </c>
      <c r="I2095" s="6" t="s">
        <v>20</v>
      </c>
      <c r="J2095" s="6">
        <v>2014.0</v>
      </c>
      <c r="L2095" s="6">
        <v>2.0</v>
      </c>
      <c r="M2095" s="8">
        <f t="shared" si="3"/>
        <v>0.78</v>
      </c>
      <c r="P2095" s="9"/>
    </row>
    <row r="2096">
      <c r="A2096" s="6" t="s">
        <v>5115</v>
      </c>
      <c r="B2096" s="6" t="s">
        <v>219</v>
      </c>
      <c r="C2096" s="6" t="s">
        <v>37</v>
      </c>
      <c r="D2096" s="6" t="s">
        <v>5116</v>
      </c>
      <c r="E2096" s="6" t="s">
        <v>25</v>
      </c>
      <c r="F2096" s="6" t="s">
        <v>26</v>
      </c>
      <c r="G2096" s="7">
        <v>0.1</v>
      </c>
      <c r="H2096" s="6" t="s">
        <v>1300</v>
      </c>
      <c r="I2096" s="6" t="s">
        <v>20</v>
      </c>
      <c r="J2096" s="6">
        <v>2021.0</v>
      </c>
      <c r="L2096" s="6">
        <v>1.0</v>
      </c>
      <c r="M2096" s="8">
        <f t="shared" si="3"/>
        <v>0.1</v>
      </c>
      <c r="P2096" s="9"/>
    </row>
    <row r="2097">
      <c r="A2097" s="6" t="s">
        <v>5117</v>
      </c>
      <c r="B2097" s="6" t="s">
        <v>74</v>
      </c>
      <c r="C2097" s="6" t="s">
        <v>43</v>
      </c>
      <c r="D2097" s="6" t="s">
        <v>5118</v>
      </c>
      <c r="E2097" s="6" t="s">
        <v>224</v>
      </c>
      <c r="F2097" s="6" t="s">
        <v>18</v>
      </c>
      <c r="G2097" s="7">
        <v>0.3</v>
      </c>
      <c r="H2097" s="6" t="s">
        <v>3249</v>
      </c>
      <c r="I2097" s="6" t="s">
        <v>20</v>
      </c>
      <c r="J2097" s="6">
        <v>2017.0</v>
      </c>
      <c r="L2097" s="6">
        <v>2.0</v>
      </c>
      <c r="M2097" s="8">
        <f t="shared" si="3"/>
        <v>0.6</v>
      </c>
      <c r="P2097" s="9"/>
    </row>
    <row r="2098">
      <c r="A2098" s="6" t="s">
        <v>5119</v>
      </c>
      <c r="B2098" s="6" t="s">
        <v>192</v>
      </c>
      <c r="C2098" s="6" t="s">
        <v>37</v>
      </c>
      <c r="D2098" s="6" t="s">
        <v>5120</v>
      </c>
      <c r="E2098" s="6" t="s">
        <v>25</v>
      </c>
      <c r="F2098" s="6" t="s">
        <v>26</v>
      </c>
      <c r="G2098" s="7">
        <v>0.15</v>
      </c>
      <c r="H2098" s="6" t="s">
        <v>187</v>
      </c>
      <c r="I2098" s="6" t="s">
        <v>20</v>
      </c>
      <c r="J2098" s="6">
        <v>1995.0</v>
      </c>
      <c r="L2098" s="6">
        <v>1.0</v>
      </c>
      <c r="M2098" s="8">
        <f t="shared" si="3"/>
        <v>0.15</v>
      </c>
      <c r="P2098" s="9"/>
    </row>
    <row r="2099">
      <c r="A2099" s="6" t="s">
        <v>5121</v>
      </c>
      <c r="B2099" s="6" t="s">
        <v>5122</v>
      </c>
      <c r="C2099" s="6" t="s">
        <v>43</v>
      </c>
      <c r="E2099" s="6" t="s">
        <v>98</v>
      </c>
      <c r="F2099" s="6" t="s">
        <v>18</v>
      </c>
      <c r="G2099" s="7">
        <v>0.02</v>
      </c>
      <c r="H2099" s="6" t="s">
        <v>290</v>
      </c>
      <c r="I2099" s="6" t="s">
        <v>20</v>
      </c>
      <c r="J2099" s="6">
        <v>2019.0</v>
      </c>
      <c r="K2099" s="10">
        <v>46056.0</v>
      </c>
      <c r="L2099" s="6">
        <v>2.0</v>
      </c>
      <c r="M2099" s="8">
        <f t="shared" si="3"/>
        <v>0.04</v>
      </c>
      <c r="P2099" s="9"/>
    </row>
    <row r="2100">
      <c r="A2100" s="6" t="s">
        <v>5123</v>
      </c>
      <c r="B2100" s="6" t="s">
        <v>74</v>
      </c>
      <c r="C2100" s="6" t="s">
        <v>43</v>
      </c>
      <c r="D2100" s="6" t="s">
        <v>5124</v>
      </c>
      <c r="E2100" s="6" t="s">
        <v>86</v>
      </c>
      <c r="F2100" s="6" t="s">
        <v>87</v>
      </c>
      <c r="G2100" s="7">
        <v>0.03</v>
      </c>
      <c r="H2100" s="6" t="s">
        <v>290</v>
      </c>
      <c r="I2100" s="6" t="s">
        <v>20</v>
      </c>
      <c r="J2100" s="6">
        <v>2019.0</v>
      </c>
      <c r="L2100" s="6">
        <v>1.0</v>
      </c>
      <c r="M2100" s="8">
        <f t="shared" si="3"/>
        <v>0.03</v>
      </c>
      <c r="P2100" s="9"/>
    </row>
    <row r="2101">
      <c r="A2101" s="6" t="s">
        <v>5125</v>
      </c>
      <c r="B2101" s="6" t="s">
        <v>5126</v>
      </c>
      <c r="C2101" s="6" t="s">
        <v>23</v>
      </c>
      <c r="D2101" s="6" t="s">
        <v>5127</v>
      </c>
      <c r="E2101" s="6" t="s">
        <v>1550</v>
      </c>
      <c r="F2101" s="6" t="s">
        <v>77</v>
      </c>
      <c r="G2101" s="7">
        <v>0.08</v>
      </c>
      <c r="H2101" s="6" t="s">
        <v>153</v>
      </c>
      <c r="I2101" s="6" t="s">
        <v>20</v>
      </c>
      <c r="J2101" s="6">
        <v>2025.0</v>
      </c>
      <c r="K2101" s="10">
        <v>46115.0</v>
      </c>
      <c r="L2101" s="6">
        <v>10.0</v>
      </c>
      <c r="M2101" s="8">
        <f t="shared" si="3"/>
        <v>0.8</v>
      </c>
      <c r="P2101" s="9"/>
    </row>
    <row r="2102">
      <c r="A2102" s="6" t="s">
        <v>5125</v>
      </c>
      <c r="B2102" s="6" t="s">
        <v>5126</v>
      </c>
      <c r="C2102" s="6" t="s">
        <v>23</v>
      </c>
      <c r="D2102" s="6" t="s">
        <v>5127</v>
      </c>
      <c r="E2102" s="6" t="s">
        <v>1550</v>
      </c>
      <c r="F2102" s="6" t="s">
        <v>77</v>
      </c>
      <c r="G2102" s="7">
        <v>0.35</v>
      </c>
      <c r="H2102" s="6" t="s">
        <v>153</v>
      </c>
      <c r="I2102" s="6" t="s">
        <v>45</v>
      </c>
      <c r="J2102" s="6">
        <v>2025.0</v>
      </c>
      <c r="K2102" s="10">
        <v>46115.0</v>
      </c>
      <c r="L2102" s="6">
        <v>3.0</v>
      </c>
      <c r="M2102" s="8">
        <f t="shared" si="3"/>
        <v>1.05</v>
      </c>
      <c r="P2102" s="9"/>
    </row>
    <row r="2103">
      <c r="A2103" s="6" t="s">
        <v>5128</v>
      </c>
      <c r="B2103" s="6" t="s">
        <v>2256</v>
      </c>
      <c r="C2103" s="6" t="s">
        <v>23</v>
      </c>
      <c r="D2103" s="6" t="s">
        <v>5129</v>
      </c>
      <c r="E2103" s="6" t="s">
        <v>1364</v>
      </c>
      <c r="F2103" s="6" t="s">
        <v>18</v>
      </c>
      <c r="G2103" s="7">
        <v>0.06</v>
      </c>
      <c r="H2103" s="6" t="s">
        <v>780</v>
      </c>
      <c r="I2103" s="6" t="s">
        <v>20</v>
      </c>
      <c r="J2103" s="6">
        <v>2025.0</v>
      </c>
      <c r="K2103" s="10">
        <v>46056.0</v>
      </c>
      <c r="L2103" s="6">
        <v>1.0</v>
      </c>
      <c r="M2103" s="8">
        <f t="shared" si="3"/>
        <v>0.06</v>
      </c>
      <c r="P2103" s="9"/>
    </row>
    <row r="2104">
      <c r="A2104" s="6" t="s">
        <v>5130</v>
      </c>
      <c r="B2104" s="6" t="s">
        <v>74</v>
      </c>
      <c r="C2104" s="6" t="s">
        <v>43</v>
      </c>
      <c r="D2104" s="6" t="s">
        <v>5131</v>
      </c>
      <c r="E2104" s="6" t="s">
        <v>329</v>
      </c>
      <c r="F2104" s="6" t="s">
        <v>112</v>
      </c>
      <c r="G2104" s="7">
        <v>0.03</v>
      </c>
      <c r="H2104" s="6" t="s">
        <v>398</v>
      </c>
      <c r="I2104" s="6" t="s">
        <v>20</v>
      </c>
      <c r="J2104" s="6">
        <v>2019.0</v>
      </c>
      <c r="L2104" s="6">
        <v>5.0</v>
      </c>
      <c r="M2104" s="8">
        <f t="shared" si="3"/>
        <v>0.15</v>
      </c>
      <c r="P2104" s="9"/>
    </row>
    <row r="2105">
      <c r="A2105" s="6" t="s">
        <v>5132</v>
      </c>
      <c r="B2105" s="6" t="s">
        <v>74</v>
      </c>
      <c r="C2105" s="6" t="s">
        <v>43</v>
      </c>
      <c r="D2105" s="6" t="s">
        <v>5133</v>
      </c>
      <c r="E2105" s="6" t="s">
        <v>5134</v>
      </c>
      <c r="F2105" s="6" t="s">
        <v>1244</v>
      </c>
      <c r="G2105" s="7">
        <v>0.05</v>
      </c>
      <c r="H2105" s="6" t="s">
        <v>2033</v>
      </c>
      <c r="I2105" s="6" t="s">
        <v>20</v>
      </c>
      <c r="J2105" s="6">
        <v>2019.0</v>
      </c>
      <c r="L2105" s="6">
        <v>4.0</v>
      </c>
      <c r="M2105" s="8">
        <f t="shared" si="3"/>
        <v>0.2</v>
      </c>
      <c r="P2105" s="9"/>
    </row>
    <row r="2106">
      <c r="A2106" s="6" t="s">
        <v>5135</v>
      </c>
      <c r="B2106" s="6" t="s">
        <v>74</v>
      </c>
      <c r="C2106" s="6" t="s">
        <v>43</v>
      </c>
      <c r="D2106" s="6" t="s">
        <v>5136</v>
      </c>
      <c r="E2106" s="6" t="s">
        <v>179</v>
      </c>
      <c r="F2106" s="6" t="s">
        <v>112</v>
      </c>
      <c r="G2106" s="7">
        <v>0.04</v>
      </c>
      <c r="H2106" s="6" t="s">
        <v>3249</v>
      </c>
      <c r="I2106" s="6" t="s">
        <v>20</v>
      </c>
      <c r="J2106" s="6">
        <v>2017.0</v>
      </c>
      <c r="K2106" s="6" t="s">
        <v>5137</v>
      </c>
      <c r="L2106" s="6">
        <v>2.0</v>
      </c>
      <c r="M2106" s="8">
        <f t="shared" si="3"/>
        <v>0.08</v>
      </c>
      <c r="P2106" s="9"/>
    </row>
    <row r="2107">
      <c r="A2107" s="6" t="s">
        <v>5138</v>
      </c>
      <c r="B2107" s="6" t="s">
        <v>606</v>
      </c>
      <c r="C2107" s="6" t="s">
        <v>23</v>
      </c>
      <c r="D2107" s="6" t="s">
        <v>5139</v>
      </c>
      <c r="E2107" s="6" t="s">
        <v>1630</v>
      </c>
      <c r="F2107" s="6" t="s">
        <v>112</v>
      </c>
      <c r="G2107" s="7">
        <v>0.03</v>
      </c>
      <c r="H2107" s="6" t="s">
        <v>342</v>
      </c>
      <c r="I2107" s="6" t="s">
        <v>20</v>
      </c>
      <c r="J2107" s="6">
        <v>2014.0</v>
      </c>
      <c r="L2107" s="6">
        <v>7.0</v>
      </c>
      <c r="M2107" s="8">
        <f t="shared" si="3"/>
        <v>0.21</v>
      </c>
      <c r="P2107" s="9"/>
    </row>
    <row r="2108">
      <c r="A2108" s="6" t="s">
        <v>5140</v>
      </c>
      <c r="B2108" s="6" t="s">
        <v>371</v>
      </c>
      <c r="C2108" s="6" t="s">
        <v>43</v>
      </c>
      <c r="D2108" s="6" t="s">
        <v>5141</v>
      </c>
      <c r="E2108" s="6" t="s">
        <v>420</v>
      </c>
      <c r="F2108" s="6" t="s">
        <v>40</v>
      </c>
      <c r="G2108" s="7">
        <v>0.05</v>
      </c>
      <c r="H2108" s="6" t="s">
        <v>65</v>
      </c>
      <c r="I2108" s="6" t="s">
        <v>20</v>
      </c>
      <c r="J2108" s="6">
        <v>2013.0</v>
      </c>
      <c r="K2108" s="10">
        <v>46145.0</v>
      </c>
      <c r="L2108" s="6">
        <v>1.0</v>
      </c>
      <c r="M2108" s="8">
        <f t="shared" si="3"/>
        <v>0.05</v>
      </c>
      <c r="P2108" s="9"/>
    </row>
    <row r="2109">
      <c r="A2109" s="6" t="s">
        <v>5142</v>
      </c>
      <c r="B2109" s="6" t="s">
        <v>74</v>
      </c>
      <c r="C2109" s="6" t="s">
        <v>37</v>
      </c>
      <c r="D2109" s="6" t="s">
        <v>5143</v>
      </c>
      <c r="E2109" s="6" t="s">
        <v>5144</v>
      </c>
      <c r="F2109" s="6" t="s">
        <v>5145</v>
      </c>
      <c r="G2109" s="7">
        <v>0.25</v>
      </c>
      <c r="H2109" s="6" t="s">
        <v>3781</v>
      </c>
      <c r="I2109" s="6" t="s">
        <v>20</v>
      </c>
      <c r="J2109" s="6">
        <v>2008.0</v>
      </c>
      <c r="L2109" s="6">
        <v>4.0</v>
      </c>
      <c r="M2109" s="8">
        <f t="shared" si="3"/>
        <v>1</v>
      </c>
      <c r="P2109" s="9"/>
    </row>
    <row r="2110">
      <c r="A2110" s="6" t="s">
        <v>5146</v>
      </c>
      <c r="B2110" s="6" t="s">
        <v>5147</v>
      </c>
      <c r="C2110" s="6" t="s">
        <v>43</v>
      </c>
      <c r="D2110" s="6" t="s">
        <v>5148</v>
      </c>
      <c r="E2110" s="6" t="s">
        <v>5149</v>
      </c>
      <c r="F2110" s="6" t="s">
        <v>5145</v>
      </c>
      <c r="G2110" s="7">
        <v>0.15</v>
      </c>
      <c r="H2110" s="6" t="s">
        <v>537</v>
      </c>
      <c r="I2110" s="6" t="s">
        <v>20</v>
      </c>
      <c r="J2110" s="6">
        <v>2009.0</v>
      </c>
      <c r="K2110" s="10">
        <v>46024.0</v>
      </c>
      <c r="L2110" s="6">
        <v>2.0</v>
      </c>
      <c r="M2110" s="8">
        <f t="shared" si="3"/>
        <v>0.3</v>
      </c>
      <c r="P2110" s="9"/>
    </row>
    <row r="2111">
      <c r="A2111" s="6" t="s">
        <v>5150</v>
      </c>
      <c r="B2111" s="6" t="s">
        <v>854</v>
      </c>
      <c r="C2111" s="6" t="s">
        <v>43</v>
      </c>
      <c r="D2111" s="6" t="s">
        <v>304</v>
      </c>
      <c r="E2111" s="6" t="s">
        <v>420</v>
      </c>
      <c r="F2111" s="6" t="s">
        <v>40</v>
      </c>
      <c r="G2111" s="7">
        <v>0.06</v>
      </c>
      <c r="H2111" s="6" t="s">
        <v>89</v>
      </c>
      <c r="I2111" s="6" t="s">
        <v>20</v>
      </c>
      <c r="J2111" s="6">
        <v>2021.0</v>
      </c>
      <c r="K2111" s="10">
        <v>46144.0</v>
      </c>
      <c r="L2111" s="6">
        <v>2.0</v>
      </c>
      <c r="M2111" s="8">
        <f t="shared" si="3"/>
        <v>0.12</v>
      </c>
      <c r="P2111" s="9"/>
    </row>
    <row r="2112">
      <c r="A2112" s="6" t="s">
        <v>5151</v>
      </c>
      <c r="B2112" s="6" t="s">
        <v>574</v>
      </c>
      <c r="C2112" s="6" t="s">
        <v>37</v>
      </c>
      <c r="D2112" s="6" t="s">
        <v>5152</v>
      </c>
      <c r="E2112" s="6" t="s">
        <v>111</v>
      </c>
      <c r="F2112" s="6" t="s">
        <v>112</v>
      </c>
      <c r="G2112" s="7">
        <v>0.12</v>
      </c>
      <c r="H2112" s="6" t="s">
        <v>88</v>
      </c>
      <c r="I2112" s="6" t="s">
        <v>20</v>
      </c>
      <c r="J2112" s="6">
        <v>2024.0</v>
      </c>
      <c r="K2112" s="10">
        <v>46146.0</v>
      </c>
      <c r="L2112" s="6">
        <v>2.0</v>
      </c>
      <c r="M2112" s="8">
        <f t="shared" si="3"/>
        <v>0.24</v>
      </c>
      <c r="P2112" s="9"/>
    </row>
    <row r="2113">
      <c r="A2113" s="6" t="s">
        <v>5153</v>
      </c>
      <c r="B2113" s="6" t="s">
        <v>74</v>
      </c>
      <c r="C2113" s="6" t="s">
        <v>43</v>
      </c>
      <c r="D2113" s="6" t="s">
        <v>5154</v>
      </c>
      <c r="E2113" s="6" t="s">
        <v>107</v>
      </c>
      <c r="F2113" s="6" t="s">
        <v>18</v>
      </c>
      <c r="G2113" s="7">
        <v>0.05</v>
      </c>
      <c r="H2113" s="6" t="s">
        <v>136</v>
      </c>
      <c r="I2113" s="6" t="s">
        <v>20</v>
      </c>
      <c r="J2113" s="6">
        <v>2026.0</v>
      </c>
      <c r="L2113" s="6">
        <v>2.0</v>
      </c>
      <c r="M2113" s="8">
        <f t="shared" si="3"/>
        <v>0.1</v>
      </c>
      <c r="P2113" s="9"/>
    </row>
    <row r="2114">
      <c r="A2114" s="6" t="s">
        <v>5155</v>
      </c>
      <c r="B2114" s="6" t="s">
        <v>5156</v>
      </c>
      <c r="C2114" s="6" t="s">
        <v>37</v>
      </c>
      <c r="D2114" s="6" t="s">
        <v>5157</v>
      </c>
      <c r="E2114" s="6" t="s">
        <v>1702</v>
      </c>
      <c r="F2114" s="6" t="s">
        <v>112</v>
      </c>
      <c r="G2114" s="7">
        <v>0.5</v>
      </c>
      <c r="H2114" s="6" t="s">
        <v>113</v>
      </c>
      <c r="I2114" s="6" t="s">
        <v>20</v>
      </c>
      <c r="J2114" s="6">
        <v>2023.0</v>
      </c>
      <c r="K2114" s="10">
        <v>46146.0</v>
      </c>
      <c r="L2114" s="6">
        <v>1.0</v>
      </c>
      <c r="M2114" s="8">
        <f t="shared" si="3"/>
        <v>0.5</v>
      </c>
      <c r="P2114" s="9"/>
    </row>
    <row r="2115">
      <c r="A2115" s="6" t="s">
        <v>5158</v>
      </c>
      <c r="B2115" s="6" t="s">
        <v>603</v>
      </c>
      <c r="C2115" s="6" t="s">
        <v>43</v>
      </c>
      <c r="D2115" s="6" t="s">
        <v>5159</v>
      </c>
      <c r="E2115" s="6" t="s">
        <v>224</v>
      </c>
      <c r="F2115" s="6" t="s">
        <v>18</v>
      </c>
      <c r="G2115" s="7">
        <v>0.05</v>
      </c>
      <c r="H2115" s="6" t="s">
        <v>1148</v>
      </c>
      <c r="I2115" s="6" t="s">
        <v>20</v>
      </c>
      <c r="J2115" s="6">
        <v>2012.0</v>
      </c>
      <c r="K2115" s="10">
        <v>46083.0</v>
      </c>
      <c r="L2115" s="6">
        <v>1.0</v>
      </c>
      <c r="M2115" s="8">
        <f t="shared" si="3"/>
        <v>0.05</v>
      </c>
      <c r="P2115" s="9"/>
    </row>
    <row r="2116">
      <c r="A2116" s="6" t="s">
        <v>5160</v>
      </c>
      <c r="B2116" s="6" t="s">
        <v>1394</v>
      </c>
      <c r="C2116" s="6" t="s">
        <v>37</v>
      </c>
      <c r="D2116" s="6" t="s">
        <v>5161</v>
      </c>
      <c r="E2116" s="6" t="s">
        <v>164</v>
      </c>
      <c r="F2116" s="6" t="s">
        <v>112</v>
      </c>
      <c r="G2116" s="7">
        <v>0.09</v>
      </c>
      <c r="H2116" s="6" t="s">
        <v>88</v>
      </c>
      <c r="I2116" s="6" t="s">
        <v>20</v>
      </c>
      <c r="J2116" s="6">
        <v>2024.0</v>
      </c>
      <c r="K2116" s="10">
        <v>46055.0</v>
      </c>
      <c r="L2116" s="6">
        <v>1.0</v>
      </c>
      <c r="M2116" s="8">
        <f t="shared" si="3"/>
        <v>0.09</v>
      </c>
      <c r="P2116" s="9"/>
    </row>
    <row r="2117">
      <c r="A2117" s="6" t="s">
        <v>5162</v>
      </c>
      <c r="B2117" s="6" t="s">
        <v>5163</v>
      </c>
      <c r="C2117" s="6" t="s">
        <v>43</v>
      </c>
      <c r="D2117" s="6" t="s">
        <v>5164</v>
      </c>
      <c r="E2117" s="6" t="s">
        <v>164</v>
      </c>
      <c r="F2117" s="6" t="s">
        <v>112</v>
      </c>
      <c r="G2117" s="7">
        <v>0.75</v>
      </c>
      <c r="H2117" s="6" t="s">
        <v>468</v>
      </c>
      <c r="I2117" s="6" t="s">
        <v>20</v>
      </c>
      <c r="J2117" s="6">
        <v>2015.0</v>
      </c>
      <c r="K2117" s="10">
        <v>46055.0</v>
      </c>
      <c r="L2117" s="6">
        <v>2.0</v>
      </c>
      <c r="M2117" s="8">
        <f t="shared" si="3"/>
        <v>1.5</v>
      </c>
      <c r="P2117" s="9"/>
    </row>
    <row r="2118">
      <c r="A2118" s="6" t="s">
        <v>5162</v>
      </c>
      <c r="B2118" s="6" t="s">
        <v>5163</v>
      </c>
      <c r="C2118" s="6" t="s">
        <v>43</v>
      </c>
      <c r="D2118" s="6" t="s">
        <v>5165</v>
      </c>
      <c r="E2118" s="6" t="s">
        <v>164</v>
      </c>
      <c r="F2118" s="6" t="s">
        <v>112</v>
      </c>
      <c r="G2118" s="7">
        <v>1.95</v>
      </c>
      <c r="H2118" s="6" t="s">
        <v>5166</v>
      </c>
      <c r="I2118" s="6" t="s">
        <v>20</v>
      </c>
      <c r="J2118" s="6">
        <v>2016.0</v>
      </c>
      <c r="K2118" s="10">
        <v>46055.0</v>
      </c>
      <c r="L2118" s="6">
        <v>1.0</v>
      </c>
      <c r="M2118" s="8">
        <f t="shared" si="3"/>
        <v>1.95</v>
      </c>
      <c r="P2118" s="9"/>
    </row>
    <row r="2119">
      <c r="A2119" s="6" t="s">
        <v>5167</v>
      </c>
      <c r="B2119" s="6" t="s">
        <v>4706</v>
      </c>
      <c r="C2119" s="6" t="s">
        <v>43</v>
      </c>
      <c r="D2119" s="6" t="s">
        <v>5168</v>
      </c>
      <c r="E2119" s="6" t="s">
        <v>329</v>
      </c>
      <c r="F2119" s="6" t="s">
        <v>112</v>
      </c>
      <c r="G2119" s="7">
        <v>0.03</v>
      </c>
      <c r="H2119" s="6" t="s">
        <v>398</v>
      </c>
      <c r="I2119" s="6" t="s">
        <v>20</v>
      </c>
      <c r="J2119" s="6">
        <v>2019.0</v>
      </c>
      <c r="K2119" s="10">
        <v>46083.0</v>
      </c>
      <c r="L2119" s="6">
        <v>1.0</v>
      </c>
      <c r="M2119" s="8">
        <f t="shared" si="3"/>
        <v>0.03</v>
      </c>
      <c r="P2119" s="9"/>
    </row>
    <row r="2120">
      <c r="A2120" s="6" t="s">
        <v>5169</v>
      </c>
      <c r="B2120" s="6" t="s">
        <v>5170</v>
      </c>
      <c r="C2120" s="6" t="s">
        <v>37</v>
      </c>
      <c r="D2120" s="6" t="s">
        <v>5171</v>
      </c>
      <c r="E2120" s="6" t="s">
        <v>176</v>
      </c>
      <c r="F2120" s="6" t="s">
        <v>77</v>
      </c>
      <c r="G2120" s="7">
        <v>0.84</v>
      </c>
      <c r="H2120" s="6" t="s">
        <v>453</v>
      </c>
      <c r="I2120" s="6" t="s">
        <v>20</v>
      </c>
      <c r="J2120" s="6">
        <v>1994.0</v>
      </c>
      <c r="K2120" s="10">
        <v>46023.0</v>
      </c>
      <c r="L2120" s="6">
        <v>1.0</v>
      </c>
      <c r="M2120" s="8">
        <f t="shared" si="3"/>
        <v>0.84</v>
      </c>
      <c r="P2120" s="9"/>
    </row>
    <row r="2121">
      <c r="A2121" s="6" t="s">
        <v>5172</v>
      </c>
      <c r="B2121" s="6" t="s">
        <v>462</v>
      </c>
      <c r="C2121" s="6" t="s">
        <v>37</v>
      </c>
      <c r="D2121" s="6" t="s">
        <v>5173</v>
      </c>
      <c r="E2121" s="6" t="s">
        <v>579</v>
      </c>
      <c r="F2121" s="6" t="s">
        <v>112</v>
      </c>
      <c r="G2121" s="7">
        <v>0.23</v>
      </c>
      <c r="H2121" s="6" t="s">
        <v>136</v>
      </c>
      <c r="I2121" s="6" t="s">
        <v>20</v>
      </c>
      <c r="J2121" s="6">
        <v>2026.0</v>
      </c>
      <c r="L2121" s="6">
        <v>1.0</v>
      </c>
      <c r="M2121" s="8">
        <f t="shared" si="3"/>
        <v>0.23</v>
      </c>
      <c r="P2121" s="9"/>
    </row>
    <row r="2122">
      <c r="A2122" s="6" t="s">
        <v>5174</v>
      </c>
      <c r="B2122" s="6" t="s">
        <v>494</v>
      </c>
      <c r="C2122" s="6" t="s">
        <v>43</v>
      </c>
      <c r="D2122" s="6" t="s">
        <v>5175</v>
      </c>
      <c r="E2122" s="6" t="s">
        <v>329</v>
      </c>
      <c r="F2122" s="6" t="s">
        <v>112</v>
      </c>
      <c r="G2122" s="7">
        <v>0.03</v>
      </c>
      <c r="H2122" s="6" t="s">
        <v>290</v>
      </c>
      <c r="I2122" s="6" t="s">
        <v>20</v>
      </c>
      <c r="J2122" s="6">
        <v>2019.0</v>
      </c>
      <c r="L2122" s="6">
        <v>1.0</v>
      </c>
      <c r="M2122" s="8">
        <f t="shared" si="3"/>
        <v>0.03</v>
      </c>
      <c r="P2122" s="9"/>
    </row>
    <row r="2123">
      <c r="A2123" s="6" t="s">
        <v>5176</v>
      </c>
      <c r="B2123" s="6" t="s">
        <v>146</v>
      </c>
      <c r="C2123" s="6" t="s">
        <v>30</v>
      </c>
      <c r="D2123" s="6" t="s">
        <v>5177</v>
      </c>
      <c r="E2123" s="6" t="s">
        <v>2366</v>
      </c>
      <c r="F2123" s="6" t="s">
        <v>18</v>
      </c>
      <c r="G2123" s="7">
        <v>0.24</v>
      </c>
      <c r="H2123" s="6" t="s">
        <v>531</v>
      </c>
      <c r="I2123" s="6" t="s">
        <v>20</v>
      </c>
      <c r="J2123" s="6">
        <v>2017.0</v>
      </c>
      <c r="L2123" s="6">
        <v>2.0</v>
      </c>
      <c r="M2123" s="8">
        <f t="shared" si="3"/>
        <v>0.48</v>
      </c>
      <c r="P2123" s="9"/>
    </row>
    <row r="2124">
      <c r="A2124" s="6" t="s">
        <v>5178</v>
      </c>
      <c r="B2124" s="6" t="s">
        <v>5179</v>
      </c>
      <c r="C2124" s="6" t="s">
        <v>43</v>
      </c>
      <c r="D2124" s="6" t="s">
        <v>5180</v>
      </c>
      <c r="E2124" s="6" t="s">
        <v>176</v>
      </c>
      <c r="F2124" s="6" t="s">
        <v>77</v>
      </c>
      <c r="G2124" s="7">
        <v>0.06</v>
      </c>
      <c r="H2124" s="6" t="s">
        <v>297</v>
      </c>
      <c r="I2124" s="6" t="s">
        <v>20</v>
      </c>
      <c r="J2124" s="6">
        <v>2022.0</v>
      </c>
      <c r="K2124" s="10">
        <v>46056.0</v>
      </c>
      <c r="L2124" s="6">
        <v>1.0</v>
      </c>
      <c r="M2124" s="8">
        <f t="shared" si="3"/>
        <v>0.06</v>
      </c>
      <c r="P2124" s="9"/>
    </row>
    <row r="2125">
      <c r="A2125" s="6" t="s">
        <v>5181</v>
      </c>
      <c r="B2125" s="6" t="s">
        <v>52</v>
      </c>
      <c r="C2125" s="6" t="s">
        <v>43</v>
      </c>
      <c r="D2125" s="6" t="s">
        <v>5182</v>
      </c>
      <c r="F2125" s="6" t="s">
        <v>26</v>
      </c>
      <c r="G2125" s="7">
        <v>0.15</v>
      </c>
      <c r="H2125" s="6" t="s">
        <v>228</v>
      </c>
      <c r="I2125" s="6" t="s">
        <v>20</v>
      </c>
      <c r="J2125" s="6">
        <v>2025.0</v>
      </c>
      <c r="L2125" s="6">
        <v>1.0</v>
      </c>
      <c r="M2125" s="8">
        <f t="shared" si="3"/>
        <v>0.15</v>
      </c>
      <c r="P2125" s="9"/>
    </row>
    <row r="2126">
      <c r="A2126" s="6" t="s">
        <v>5183</v>
      </c>
      <c r="B2126" s="6" t="s">
        <v>5184</v>
      </c>
      <c r="C2126" s="6" t="s">
        <v>43</v>
      </c>
      <c r="D2126" s="6" t="s">
        <v>5185</v>
      </c>
      <c r="E2126" s="6" t="s">
        <v>248</v>
      </c>
      <c r="F2126" s="6" t="s">
        <v>77</v>
      </c>
      <c r="G2126" s="7">
        <v>0.03</v>
      </c>
      <c r="H2126" s="6" t="s">
        <v>1776</v>
      </c>
      <c r="I2126" s="6" t="s">
        <v>20</v>
      </c>
      <c r="J2126" s="6">
        <v>2017.0</v>
      </c>
      <c r="K2126" s="10">
        <v>46055.0</v>
      </c>
      <c r="L2126" s="6">
        <v>1.0</v>
      </c>
      <c r="M2126" s="8">
        <f t="shared" si="3"/>
        <v>0.03</v>
      </c>
      <c r="P2126" s="9"/>
    </row>
    <row r="2127">
      <c r="A2127" s="6" t="s">
        <v>5186</v>
      </c>
      <c r="B2127" s="6" t="s">
        <v>146</v>
      </c>
      <c r="C2127" s="6" t="s">
        <v>37</v>
      </c>
      <c r="D2127" s="6" t="s">
        <v>5187</v>
      </c>
      <c r="E2127" s="6" t="s">
        <v>579</v>
      </c>
      <c r="F2127" s="6" t="s">
        <v>112</v>
      </c>
      <c r="G2127" s="7">
        <v>0.23</v>
      </c>
      <c r="H2127" s="6" t="s">
        <v>918</v>
      </c>
      <c r="I2127" s="6" t="s">
        <v>20</v>
      </c>
      <c r="J2127" s="6">
        <v>2023.0</v>
      </c>
      <c r="L2127" s="6">
        <v>2.0</v>
      </c>
      <c r="M2127" s="8">
        <f t="shared" si="3"/>
        <v>0.46</v>
      </c>
      <c r="P2127" s="9"/>
    </row>
    <row r="2128">
      <c r="A2128" s="6" t="s">
        <v>5188</v>
      </c>
      <c r="B2128" s="6" t="s">
        <v>5189</v>
      </c>
      <c r="C2128" s="6" t="s">
        <v>30</v>
      </c>
      <c r="D2128" s="6" t="s">
        <v>5190</v>
      </c>
      <c r="E2128" s="6" t="s">
        <v>1917</v>
      </c>
      <c r="F2128" s="6" t="s">
        <v>77</v>
      </c>
      <c r="G2128" s="7">
        <v>1.0</v>
      </c>
      <c r="H2128" s="6" t="s">
        <v>313</v>
      </c>
      <c r="I2128" s="6" t="s">
        <v>20</v>
      </c>
      <c r="J2128" s="6">
        <v>1995.0</v>
      </c>
      <c r="K2128" s="6" t="s">
        <v>66</v>
      </c>
      <c r="L2128" s="6">
        <v>1.0</v>
      </c>
      <c r="M2128" s="8">
        <f t="shared" si="3"/>
        <v>1</v>
      </c>
      <c r="P2128" s="9"/>
    </row>
    <row r="2129">
      <c r="A2129" s="6" t="s">
        <v>5191</v>
      </c>
      <c r="B2129" s="6" t="s">
        <v>74</v>
      </c>
      <c r="C2129" s="6" t="s">
        <v>37</v>
      </c>
      <c r="D2129" s="6" t="s">
        <v>5192</v>
      </c>
      <c r="E2129" s="6" t="s">
        <v>176</v>
      </c>
      <c r="F2129" s="6" t="s">
        <v>77</v>
      </c>
      <c r="G2129" s="7">
        <v>0.05</v>
      </c>
      <c r="H2129" s="6" t="s">
        <v>249</v>
      </c>
      <c r="I2129" s="6" t="s">
        <v>20</v>
      </c>
      <c r="J2129" s="6">
        <v>2014.0</v>
      </c>
      <c r="L2129" s="6">
        <v>2.0</v>
      </c>
      <c r="M2129" s="8">
        <f t="shared" si="3"/>
        <v>0.1</v>
      </c>
      <c r="P2129" s="9"/>
    </row>
    <row r="2130">
      <c r="A2130" s="6" t="s">
        <v>5193</v>
      </c>
      <c r="B2130" s="6" t="s">
        <v>1203</v>
      </c>
      <c r="C2130" s="6" t="s">
        <v>43</v>
      </c>
      <c r="D2130" s="6" t="s">
        <v>5194</v>
      </c>
      <c r="E2130" s="6" t="s">
        <v>135</v>
      </c>
      <c r="F2130" s="6" t="s">
        <v>40</v>
      </c>
      <c r="G2130" s="7">
        <v>0.08</v>
      </c>
      <c r="H2130" s="6" t="s">
        <v>19</v>
      </c>
      <c r="I2130" s="6" t="s">
        <v>20</v>
      </c>
      <c r="J2130" s="6">
        <v>2023.0</v>
      </c>
      <c r="K2130" s="10">
        <v>46082.0</v>
      </c>
      <c r="L2130" s="6">
        <v>1.0</v>
      </c>
      <c r="M2130" s="8">
        <f t="shared" si="3"/>
        <v>0.08</v>
      </c>
      <c r="P2130" s="9"/>
    </row>
    <row r="2131">
      <c r="A2131" s="6" t="s">
        <v>5195</v>
      </c>
      <c r="B2131" s="6" t="s">
        <v>5196</v>
      </c>
      <c r="C2131" s="6" t="s">
        <v>43</v>
      </c>
      <c r="D2131" s="6" t="s">
        <v>5197</v>
      </c>
      <c r="E2131" s="6" t="s">
        <v>224</v>
      </c>
      <c r="F2131" s="6" t="s">
        <v>18</v>
      </c>
      <c r="G2131" s="7">
        <v>0.05</v>
      </c>
      <c r="H2131" s="6" t="s">
        <v>228</v>
      </c>
      <c r="I2131" s="6" t="s">
        <v>20</v>
      </c>
      <c r="J2131" s="6">
        <v>2025.0</v>
      </c>
      <c r="K2131" s="10">
        <v>46056.0</v>
      </c>
      <c r="L2131" s="6">
        <v>1.0</v>
      </c>
      <c r="M2131" s="8">
        <f t="shared" si="3"/>
        <v>0.05</v>
      </c>
      <c r="P2131" s="9"/>
    </row>
    <row r="2132">
      <c r="A2132" s="6" t="s">
        <v>5198</v>
      </c>
      <c r="B2132" s="6" t="s">
        <v>5199</v>
      </c>
      <c r="C2132" s="6" t="s">
        <v>43</v>
      </c>
      <c r="D2132" s="6" t="s">
        <v>5200</v>
      </c>
      <c r="E2132" s="6" t="s">
        <v>224</v>
      </c>
      <c r="F2132" s="6" t="s">
        <v>18</v>
      </c>
      <c r="G2132" s="7">
        <v>0.06</v>
      </c>
      <c r="H2132" s="6" t="s">
        <v>651</v>
      </c>
      <c r="I2132" s="6" t="s">
        <v>20</v>
      </c>
      <c r="J2132" s="6">
        <v>2022.0</v>
      </c>
      <c r="K2132" s="10">
        <v>46083.0</v>
      </c>
      <c r="L2132" s="6">
        <v>1.0</v>
      </c>
      <c r="M2132" s="8">
        <f t="shared" si="3"/>
        <v>0.06</v>
      </c>
      <c r="P2132" s="9"/>
    </row>
    <row r="2133">
      <c r="A2133" s="6" t="s">
        <v>5201</v>
      </c>
      <c r="B2133" s="6" t="s">
        <v>5202</v>
      </c>
      <c r="C2133" s="6" t="s">
        <v>43</v>
      </c>
      <c r="D2133" s="6" t="s">
        <v>5203</v>
      </c>
      <c r="E2133" s="6" t="s">
        <v>894</v>
      </c>
      <c r="F2133" s="6" t="s">
        <v>71</v>
      </c>
      <c r="G2133" s="7">
        <v>0.24</v>
      </c>
      <c r="H2133" s="6" t="s">
        <v>2291</v>
      </c>
      <c r="I2133" s="6" t="s">
        <v>20</v>
      </c>
      <c r="J2133" s="6">
        <v>2008.0</v>
      </c>
      <c r="K2133" s="10">
        <v>46023.0</v>
      </c>
      <c r="L2133" s="6">
        <v>1.0</v>
      </c>
      <c r="M2133" s="8">
        <f t="shared" si="3"/>
        <v>0.24</v>
      </c>
      <c r="P2133" s="9"/>
    </row>
    <row r="2134">
      <c r="A2134" s="6" t="s">
        <v>5204</v>
      </c>
      <c r="B2134" s="6" t="s">
        <v>5205</v>
      </c>
      <c r="C2134" s="6" t="s">
        <v>43</v>
      </c>
      <c r="D2134" s="6" t="s">
        <v>5206</v>
      </c>
      <c r="E2134" s="6" t="s">
        <v>2942</v>
      </c>
      <c r="F2134" s="6" t="s">
        <v>50</v>
      </c>
      <c r="G2134" s="7">
        <v>0.1</v>
      </c>
      <c r="H2134" s="6" t="s">
        <v>136</v>
      </c>
      <c r="I2134" s="6" t="s">
        <v>20</v>
      </c>
      <c r="J2134" s="6">
        <v>2026.0</v>
      </c>
      <c r="K2134" s="10">
        <v>46056.0</v>
      </c>
      <c r="L2134" s="6">
        <v>1.0</v>
      </c>
      <c r="M2134" s="8">
        <f t="shared" si="3"/>
        <v>0.1</v>
      </c>
      <c r="P2134" s="9"/>
    </row>
    <row r="2135">
      <c r="A2135" s="6" t="s">
        <v>5207</v>
      </c>
      <c r="B2135" s="6" t="s">
        <v>2110</v>
      </c>
      <c r="C2135" s="6" t="s">
        <v>156</v>
      </c>
      <c r="D2135" s="6" t="s">
        <v>5208</v>
      </c>
      <c r="E2135" s="6" t="s">
        <v>5209</v>
      </c>
      <c r="F2135" s="6" t="s">
        <v>5210</v>
      </c>
      <c r="G2135" s="7">
        <v>2.79</v>
      </c>
      <c r="H2135" s="6" t="s">
        <v>153</v>
      </c>
      <c r="I2135" s="6" t="s">
        <v>20</v>
      </c>
      <c r="J2135" s="6">
        <v>2025.0</v>
      </c>
      <c r="K2135" s="10">
        <v>46085.0</v>
      </c>
      <c r="L2135" s="6">
        <v>1.0</v>
      </c>
      <c r="M2135" s="8">
        <f t="shared" si="3"/>
        <v>2.79</v>
      </c>
      <c r="P2135" s="9"/>
    </row>
    <row r="2136">
      <c r="A2136" s="6" t="s">
        <v>5211</v>
      </c>
      <c r="B2136" s="6" t="s">
        <v>5212</v>
      </c>
      <c r="C2136" s="6" t="s">
        <v>43</v>
      </c>
      <c r="D2136" s="6" t="s">
        <v>5213</v>
      </c>
      <c r="E2136" s="6" t="s">
        <v>176</v>
      </c>
      <c r="F2136" s="6" t="s">
        <v>77</v>
      </c>
      <c r="G2136" s="7">
        <v>0.13</v>
      </c>
      <c r="H2136" s="6" t="s">
        <v>1475</v>
      </c>
      <c r="I2136" s="6" t="s">
        <v>20</v>
      </c>
      <c r="J2136" s="6">
        <v>2020.0</v>
      </c>
      <c r="K2136" s="10">
        <v>46024.0</v>
      </c>
      <c r="L2136" s="6">
        <v>1.0</v>
      </c>
      <c r="M2136" s="8">
        <f t="shared" si="3"/>
        <v>0.13</v>
      </c>
      <c r="P2136" s="9"/>
    </row>
    <row r="2137">
      <c r="A2137" s="6" t="s">
        <v>5214</v>
      </c>
      <c r="B2137" s="6" t="s">
        <v>1731</v>
      </c>
      <c r="C2137" s="6" t="s">
        <v>15</v>
      </c>
      <c r="D2137" s="6" t="s">
        <v>5215</v>
      </c>
      <c r="E2137" s="6" t="s">
        <v>2671</v>
      </c>
      <c r="F2137" s="6" t="s">
        <v>665</v>
      </c>
      <c r="G2137" s="7">
        <v>0.34</v>
      </c>
      <c r="H2137" s="6" t="s">
        <v>130</v>
      </c>
      <c r="I2137" s="6" t="s">
        <v>20</v>
      </c>
      <c r="J2137" s="6">
        <v>2014.0</v>
      </c>
      <c r="L2137" s="6">
        <v>2.0</v>
      </c>
      <c r="M2137" s="8">
        <f t="shared" si="3"/>
        <v>0.68</v>
      </c>
      <c r="P2137" s="9"/>
    </row>
    <row r="2138">
      <c r="A2138" s="6" t="s">
        <v>5216</v>
      </c>
      <c r="B2138" s="6" t="s">
        <v>5217</v>
      </c>
      <c r="C2138" s="6" t="s">
        <v>37</v>
      </c>
      <c r="D2138" s="6" t="s">
        <v>5218</v>
      </c>
      <c r="E2138" s="6" t="s">
        <v>164</v>
      </c>
      <c r="F2138" s="6" t="s">
        <v>112</v>
      </c>
      <c r="G2138" s="7">
        <v>0.15</v>
      </c>
      <c r="H2138" s="6" t="s">
        <v>266</v>
      </c>
      <c r="I2138" s="6" t="s">
        <v>20</v>
      </c>
      <c r="J2138" s="6">
        <v>2025.0</v>
      </c>
      <c r="K2138" s="10">
        <v>46055.0</v>
      </c>
      <c r="L2138" s="6">
        <v>1.0</v>
      </c>
      <c r="M2138" s="8">
        <f t="shared" si="3"/>
        <v>0.15</v>
      </c>
      <c r="P2138" s="9"/>
    </row>
    <row r="2139">
      <c r="A2139" s="6" t="s">
        <v>5219</v>
      </c>
      <c r="B2139" s="6" t="s">
        <v>5170</v>
      </c>
      <c r="C2139" s="6" t="s">
        <v>43</v>
      </c>
      <c r="D2139" s="6" t="s">
        <v>5220</v>
      </c>
      <c r="E2139" s="6" t="s">
        <v>248</v>
      </c>
      <c r="F2139" s="6" t="s">
        <v>77</v>
      </c>
      <c r="G2139" s="7">
        <v>0.05</v>
      </c>
      <c r="H2139" s="6" t="s">
        <v>187</v>
      </c>
      <c r="I2139" s="6" t="s">
        <v>20</v>
      </c>
      <c r="J2139" s="6">
        <v>1995.0</v>
      </c>
      <c r="K2139" s="10">
        <v>46023.0</v>
      </c>
      <c r="L2139" s="6">
        <v>2.0</v>
      </c>
      <c r="M2139" s="8">
        <f t="shared" si="3"/>
        <v>0.1</v>
      </c>
      <c r="P2139" s="9"/>
    </row>
    <row r="2140">
      <c r="A2140" s="6" t="s">
        <v>5221</v>
      </c>
      <c r="B2140" s="6" t="s">
        <v>52</v>
      </c>
      <c r="C2140" s="6" t="s">
        <v>43</v>
      </c>
      <c r="D2140" s="6" t="s">
        <v>5222</v>
      </c>
      <c r="F2140" s="6" t="s">
        <v>519</v>
      </c>
      <c r="G2140" s="7">
        <v>0.27</v>
      </c>
      <c r="H2140" s="6" t="s">
        <v>34</v>
      </c>
      <c r="I2140" s="6" t="s">
        <v>45</v>
      </c>
      <c r="J2140" s="6">
        <v>2025.0</v>
      </c>
      <c r="L2140" s="6">
        <v>1.0</v>
      </c>
      <c r="M2140" s="8">
        <f t="shared" si="3"/>
        <v>0.27</v>
      </c>
      <c r="P2140" s="9"/>
    </row>
    <row r="2141">
      <c r="A2141" s="6" t="s">
        <v>5223</v>
      </c>
      <c r="B2141" s="6" t="s">
        <v>2420</v>
      </c>
      <c r="C2141" s="6" t="s">
        <v>37</v>
      </c>
      <c r="D2141" s="6" t="s">
        <v>5224</v>
      </c>
      <c r="E2141" s="6" t="s">
        <v>98</v>
      </c>
      <c r="F2141" s="6" t="s">
        <v>18</v>
      </c>
      <c r="G2141" s="7">
        <v>0.15</v>
      </c>
      <c r="H2141" s="6" t="s">
        <v>34</v>
      </c>
      <c r="I2141" s="6" t="s">
        <v>20</v>
      </c>
      <c r="J2141" s="6">
        <v>2025.0</v>
      </c>
      <c r="K2141" s="10">
        <v>46083.0</v>
      </c>
      <c r="L2141" s="6">
        <v>1.0</v>
      </c>
      <c r="M2141" s="8">
        <f t="shared" si="3"/>
        <v>0.15</v>
      </c>
      <c r="P2141" s="9"/>
    </row>
    <row r="2142">
      <c r="A2142" s="6" t="s">
        <v>5225</v>
      </c>
      <c r="B2142" s="6" t="s">
        <v>606</v>
      </c>
      <c r="C2142" s="6" t="s">
        <v>23</v>
      </c>
      <c r="D2142" s="6" t="s">
        <v>5226</v>
      </c>
      <c r="E2142" s="6" t="s">
        <v>659</v>
      </c>
      <c r="F2142" s="6" t="s">
        <v>18</v>
      </c>
      <c r="G2142" s="7">
        <v>0.08</v>
      </c>
      <c r="H2142" s="6" t="s">
        <v>19</v>
      </c>
      <c r="I2142" s="6" t="s">
        <v>20</v>
      </c>
      <c r="J2142" s="6">
        <v>2023.0</v>
      </c>
      <c r="L2142" s="6">
        <v>1.0</v>
      </c>
      <c r="M2142" s="8">
        <f t="shared" si="3"/>
        <v>0.08</v>
      </c>
      <c r="P2142" s="9"/>
    </row>
    <row r="2143">
      <c r="A2143" s="6" t="s">
        <v>5227</v>
      </c>
      <c r="B2143" s="6" t="s">
        <v>836</v>
      </c>
      <c r="C2143" s="6" t="s">
        <v>43</v>
      </c>
      <c r="D2143" s="6" t="s">
        <v>5228</v>
      </c>
      <c r="E2143" s="6" t="s">
        <v>256</v>
      </c>
      <c r="F2143" s="6" t="s">
        <v>87</v>
      </c>
      <c r="G2143" s="7">
        <v>0.05</v>
      </c>
      <c r="H2143" s="6" t="s">
        <v>464</v>
      </c>
      <c r="I2143" s="6" t="s">
        <v>20</v>
      </c>
      <c r="J2143" s="6">
        <v>2002.0</v>
      </c>
      <c r="K2143" s="10">
        <v>46024.0</v>
      </c>
      <c r="L2143" s="6">
        <v>1.0</v>
      </c>
      <c r="M2143" s="8">
        <f t="shared" si="3"/>
        <v>0.05</v>
      </c>
      <c r="P2143" s="9"/>
    </row>
    <row r="2144">
      <c r="A2144" s="6" t="s">
        <v>5229</v>
      </c>
      <c r="B2144" s="6" t="s">
        <v>789</v>
      </c>
      <c r="C2144" s="6" t="s">
        <v>37</v>
      </c>
      <c r="D2144" s="6" t="s">
        <v>5230</v>
      </c>
      <c r="E2144" s="6" t="s">
        <v>329</v>
      </c>
      <c r="F2144" s="6" t="s">
        <v>112</v>
      </c>
      <c r="G2144" s="7">
        <v>0.1</v>
      </c>
      <c r="H2144" s="6" t="s">
        <v>136</v>
      </c>
      <c r="I2144" s="6" t="s">
        <v>20</v>
      </c>
      <c r="J2144" s="6">
        <v>2026.0</v>
      </c>
      <c r="L2144" s="6">
        <v>1.0</v>
      </c>
      <c r="M2144" s="8">
        <f t="shared" si="3"/>
        <v>0.1</v>
      </c>
      <c r="P2144" s="9"/>
    </row>
    <row r="2145">
      <c r="A2145" s="6" t="s">
        <v>5231</v>
      </c>
      <c r="B2145" s="6" t="s">
        <v>162</v>
      </c>
      <c r="C2145" s="6" t="s">
        <v>37</v>
      </c>
      <c r="D2145" s="6" t="s">
        <v>5232</v>
      </c>
      <c r="E2145" s="6" t="s">
        <v>111</v>
      </c>
      <c r="F2145" s="6" t="s">
        <v>112</v>
      </c>
      <c r="G2145" s="7">
        <v>0.09</v>
      </c>
      <c r="H2145" s="6" t="s">
        <v>787</v>
      </c>
      <c r="I2145" s="6" t="s">
        <v>20</v>
      </c>
      <c r="J2145" s="6">
        <v>2023.0</v>
      </c>
      <c r="L2145" s="6">
        <v>1.0</v>
      </c>
      <c r="M2145" s="8">
        <f t="shared" si="3"/>
        <v>0.09</v>
      </c>
      <c r="P2145" s="9"/>
    </row>
    <row r="2146">
      <c r="A2146" s="6" t="s">
        <v>5233</v>
      </c>
      <c r="B2146" s="6" t="s">
        <v>74</v>
      </c>
      <c r="C2146" s="6" t="s">
        <v>37</v>
      </c>
      <c r="D2146" s="6" t="s">
        <v>5234</v>
      </c>
      <c r="E2146" s="6" t="s">
        <v>76</v>
      </c>
      <c r="F2146" s="6" t="s">
        <v>77</v>
      </c>
      <c r="G2146" s="7">
        <v>0.13</v>
      </c>
      <c r="H2146" s="6" t="s">
        <v>398</v>
      </c>
      <c r="I2146" s="6" t="s">
        <v>20</v>
      </c>
      <c r="J2146" s="6">
        <v>2019.0</v>
      </c>
      <c r="L2146" s="6">
        <v>2.0</v>
      </c>
      <c r="M2146" s="8">
        <f t="shared" si="3"/>
        <v>0.26</v>
      </c>
      <c r="P2146" s="9"/>
    </row>
    <row r="2147">
      <c r="A2147" s="6" t="s">
        <v>5235</v>
      </c>
      <c r="B2147" s="6" t="s">
        <v>5236</v>
      </c>
      <c r="C2147" s="6" t="s">
        <v>43</v>
      </c>
      <c r="D2147" s="6" t="s">
        <v>5237</v>
      </c>
      <c r="E2147" s="6" t="s">
        <v>164</v>
      </c>
      <c r="F2147" s="6" t="s">
        <v>112</v>
      </c>
      <c r="G2147" s="7">
        <v>0.1</v>
      </c>
      <c r="H2147" s="6" t="s">
        <v>148</v>
      </c>
      <c r="I2147" s="6" t="s">
        <v>20</v>
      </c>
      <c r="J2147" s="6">
        <v>2026.0</v>
      </c>
      <c r="K2147" s="10">
        <v>46054.0</v>
      </c>
      <c r="L2147" s="6">
        <v>3.0</v>
      </c>
      <c r="M2147" s="8">
        <f t="shared" si="3"/>
        <v>0.3</v>
      </c>
      <c r="P2147" s="9"/>
    </row>
    <row r="2148">
      <c r="A2148" s="6" t="s">
        <v>5238</v>
      </c>
      <c r="B2148" s="6" t="s">
        <v>5239</v>
      </c>
      <c r="C2148" s="6" t="s">
        <v>43</v>
      </c>
      <c r="D2148" s="6" t="s">
        <v>5240</v>
      </c>
      <c r="E2148" s="6" t="s">
        <v>256</v>
      </c>
      <c r="F2148" s="6" t="s">
        <v>87</v>
      </c>
      <c r="G2148" s="7">
        <v>0.1</v>
      </c>
      <c r="H2148" s="6" t="s">
        <v>136</v>
      </c>
      <c r="I2148" s="6" t="s">
        <v>20</v>
      </c>
      <c r="J2148" s="6">
        <v>2026.0</v>
      </c>
      <c r="K2148" s="10">
        <v>46025.0</v>
      </c>
      <c r="L2148" s="6">
        <v>6.0</v>
      </c>
      <c r="M2148" s="8">
        <f t="shared" si="3"/>
        <v>0.6</v>
      </c>
      <c r="P2148" s="9"/>
    </row>
    <row r="2149">
      <c r="A2149" s="6" t="s">
        <v>5241</v>
      </c>
      <c r="B2149" s="6" t="s">
        <v>119</v>
      </c>
      <c r="C2149" s="6" t="s">
        <v>183</v>
      </c>
      <c r="D2149" s="6" t="s">
        <v>5242</v>
      </c>
      <c r="E2149" s="6" t="s">
        <v>176</v>
      </c>
      <c r="F2149" s="6" t="s">
        <v>77</v>
      </c>
      <c r="G2149" s="7">
        <v>0.08</v>
      </c>
      <c r="H2149" s="6" t="s">
        <v>431</v>
      </c>
      <c r="I2149" s="6" t="s">
        <v>20</v>
      </c>
      <c r="J2149" s="6">
        <v>2019.0</v>
      </c>
      <c r="L2149" s="6">
        <v>4.0</v>
      </c>
      <c r="M2149" s="8">
        <f t="shared" si="3"/>
        <v>0.32</v>
      </c>
      <c r="P2149" s="9"/>
    </row>
    <row r="2150">
      <c r="A2150" s="6" t="s">
        <v>5243</v>
      </c>
      <c r="B2150" s="6" t="s">
        <v>400</v>
      </c>
      <c r="C2150" s="6" t="s">
        <v>377</v>
      </c>
      <c r="D2150" s="6" t="s">
        <v>5244</v>
      </c>
      <c r="E2150" s="6" t="s">
        <v>215</v>
      </c>
      <c r="F2150" s="6" t="s">
        <v>312</v>
      </c>
      <c r="G2150" s="7">
        <v>0.15</v>
      </c>
      <c r="H2150" s="6" t="s">
        <v>1563</v>
      </c>
      <c r="I2150" s="6" t="s">
        <v>20</v>
      </c>
      <c r="J2150" s="6">
        <v>2025.0</v>
      </c>
      <c r="L2150" s="6">
        <v>4.0</v>
      </c>
      <c r="M2150" s="8">
        <f t="shared" si="3"/>
        <v>0.6</v>
      </c>
      <c r="P2150" s="9"/>
    </row>
    <row r="2151">
      <c r="A2151" s="6" t="s">
        <v>5245</v>
      </c>
      <c r="B2151" s="6" t="s">
        <v>494</v>
      </c>
      <c r="C2151" s="6" t="s">
        <v>43</v>
      </c>
      <c r="D2151" s="6" t="s">
        <v>5246</v>
      </c>
      <c r="E2151" s="6" t="s">
        <v>176</v>
      </c>
      <c r="F2151" s="6" t="s">
        <v>77</v>
      </c>
      <c r="G2151" s="7">
        <v>0.03</v>
      </c>
      <c r="H2151" s="6" t="s">
        <v>249</v>
      </c>
      <c r="I2151" s="6" t="s">
        <v>20</v>
      </c>
      <c r="J2151" s="6">
        <v>2014.0</v>
      </c>
      <c r="L2151" s="6">
        <v>5.0</v>
      </c>
      <c r="M2151" s="8">
        <f t="shared" si="3"/>
        <v>0.15</v>
      </c>
      <c r="P2151" s="9"/>
    </row>
    <row r="2152">
      <c r="A2152" s="6" t="s">
        <v>5247</v>
      </c>
      <c r="B2152" s="6" t="s">
        <v>5248</v>
      </c>
      <c r="C2152" s="6" t="s">
        <v>37</v>
      </c>
      <c r="D2152" s="6" t="s">
        <v>5249</v>
      </c>
      <c r="E2152" s="6" t="s">
        <v>135</v>
      </c>
      <c r="F2152" s="6" t="s">
        <v>40</v>
      </c>
      <c r="G2152" s="7">
        <v>0.44</v>
      </c>
      <c r="H2152" s="6" t="s">
        <v>5250</v>
      </c>
      <c r="I2152" s="6" t="s">
        <v>20</v>
      </c>
      <c r="J2152" s="6">
        <v>2020.0</v>
      </c>
      <c r="K2152" s="6" t="s">
        <v>100</v>
      </c>
      <c r="L2152" s="6">
        <v>2.0</v>
      </c>
      <c r="M2152" s="8">
        <f t="shared" si="3"/>
        <v>0.88</v>
      </c>
      <c r="P2152" s="9"/>
    </row>
    <row r="2153">
      <c r="A2153" s="6" t="s">
        <v>5251</v>
      </c>
      <c r="B2153" s="6" t="s">
        <v>5252</v>
      </c>
      <c r="C2153" s="6" t="s">
        <v>43</v>
      </c>
      <c r="E2153" s="6" t="s">
        <v>1634</v>
      </c>
      <c r="F2153" s="6" t="s">
        <v>87</v>
      </c>
      <c r="G2153" s="7">
        <v>0.03</v>
      </c>
      <c r="H2153" s="6" t="s">
        <v>382</v>
      </c>
      <c r="I2153" s="6" t="s">
        <v>20</v>
      </c>
      <c r="J2153" s="6">
        <v>2020.0</v>
      </c>
      <c r="K2153" s="10">
        <v>46088.0</v>
      </c>
      <c r="L2153" s="6">
        <v>1.0</v>
      </c>
      <c r="M2153" s="8">
        <f t="shared" si="3"/>
        <v>0.03</v>
      </c>
      <c r="P2153" s="9"/>
    </row>
    <row r="2154">
      <c r="A2154" s="6" t="s">
        <v>5253</v>
      </c>
      <c r="B2154" s="6" t="s">
        <v>5254</v>
      </c>
      <c r="C2154" s="6" t="s">
        <v>43</v>
      </c>
      <c r="D2154" s="6" t="s">
        <v>5255</v>
      </c>
      <c r="E2154" s="6" t="s">
        <v>5256</v>
      </c>
      <c r="F2154" s="6" t="s">
        <v>112</v>
      </c>
      <c r="G2154" s="7">
        <v>1.68</v>
      </c>
      <c r="H2154" s="6" t="s">
        <v>363</v>
      </c>
      <c r="I2154" s="6" t="s">
        <v>20</v>
      </c>
      <c r="J2154" s="6">
        <v>2024.0</v>
      </c>
      <c r="K2154" s="6" t="s">
        <v>301</v>
      </c>
      <c r="L2154" s="6">
        <v>2.0</v>
      </c>
      <c r="M2154" s="8">
        <f t="shared" si="3"/>
        <v>3.36</v>
      </c>
      <c r="P2154" s="9"/>
    </row>
    <row r="2155">
      <c r="A2155" s="6" t="s">
        <v>5253</v>
      </c>
      <c r="B2155" s="6" t="s">
        <v>5254</v>
      </c>
      <c r="C2155" s="6" t="s">
        <v>43</v>
      </c>
      <c r="D2155" s="6" t="s">
        <v>5257</v>
      </c>
      <c r="E2155" s="6" t="s">
        <v>5256</v>
      </c>
      <c r="F2155" s="6" t="s">
        <v>112</v>
      </c>
      <c r="G2155" s="7">
        <v>4.6</v>
      </c>
      <c r="H2155" s="6" t="s">
        <v>363</v>
      </c>
      <c r="I2155" s="6" t="s">
        <v>45</v>
      </c>
      <c r="J2155" s="6">
        <v>2024.0</v>
      </c>
      <c r="K2155" s="6" t="s">
        <v>301</v>
      </c>
      <c r="L2155" s="6">
        <v>1.0</v>
      </c>
      <c r="M2155" s="8">
        <f t="shared" si="3"/>
        <v>4.6</v>
      </c>
      <c r="N2155" s="6" t="s">
        <v>122</v>
      </c>
      <c r="P2155" s="9"/>
    </row>
    <row r="2156">
      <c r="A2156" s="6" t="s">
        <v>5258</v>
      </c>
      <c r="B2156" s="6" t="s">
        <v>5259</v>
      </c>
      <c r="C2156" s="6" t="s">
        <v>43</v>
      </c>
      <c r="D2156" s="6" t="s">
        <v>5260</v>
      </c>
      <c r="E2156" s="6" t="s">
        <v>125</v>
      </c>
      <c r="F2156" s="6" t="s">
        <v>40</v>
      </c>
      <c r="G2156" s="7">
        <v>0.03</v>
      </c>
      <c r="H2156" s="6" t="s">
        <v>1511</v>
      </c>
      <c r="I2156" s="6" t="s">
        <v>20</v>
      </c>
      <c r="J2156" s="6">
        <v>2014.0</v>
      </c>
      <c r="K2156" s="10">
        <v>46054.0</v>
      </c>
      <c r="L2156" s="6">
        <v>1.0</v>
      </c>
      <c r="M2156" s="8">
        <f t="shared" si="3"/>
        <v>0.03</v>
      </c>
      <c r="P2156" s="9"/>
    </row>
    <row r="2157">
      <c r="A2157" s="6" t="s">
        <v>5261</v>
      </c>
      <c r="B2157" s="6" t="s">
        <v>3569</v>
      </c>
      <c r="C2157" s="6" t="s">
        <v>15</v>
      </c>
      <c r="D2157" s="6" t="s">
        <v>5262</v>
      </c>
      <c r="E2157" s="6" t="s">
        <v>5263</v>
      </c>
      <c r="F2157" s="6" t="s">
        <v>1710</v>
      </c>
      <c r="G2157" s="7">
        <v>0.18</v>
      </c>
      <c r="H2157" s="6" t="s">
        <v>19</v>
      </c>
      <c r="I2157" s="6" t="s">
        <v>45</v>
      </c>
      <c r="J2157" s="6">
        <v>2023.0</v>
      </c>
      <c r="L2157" s="6">
        <v>2.0</v>
      </c>
      <c r="M2157" s="8">
        <f t="shared" si="3"/>
        <v>0.36</v>
      </c>
      <c r="P2157" s="9"/>
    </row>
    <row r="2158">
      <c r="A2158" s="6" t="s">
        <v>5264</v>
      </c>
      <c r="B2158" s="6" t="s">
        <v>115</v>
      </c>
      <c r="C2158" s="6" t="s">
        <v>23</v>
      </c>
      <c r="D2158" s="6" t="s">
        <v>5265</v>
      </c>
      <c r="E2158" s="6" t="s">
        <v>1550</v>
      </c>
      <c r="F2158" s="6" t="s">
        <v>77</v>
      </c>
      <c r="G2158" s="7">
        <v>0.08</v>
      </c>
      <c r="H2158" s="6" t="s">
        <v>19</v>
      </c>
      <c r="I2158" s="6" t="s">
        <v>20</v>
      </c>
      <c r="J2158" s="6">
        <v>2023.0</v>
      </c>
      <c r="L2158" s="6">
        <v>1.0</v>
      </c>
      <c r="M2158" s="8">
        <f t="shared" si="3"/>
        <v>0.08</v>
      </c>
      <c r="P2158" s="9"/>
    </row>
    <row r="2159">
      <c r="A2159" s="6" t="s">
        <v>5266</v>
      </c>
      <c r="B2159" s="6" t="s">
        <v>5267</v>
      </c>
      <c r="C2159" s="6" t="s">
        <v>43</v>
      </c>
      <c r="D2159" s="6" t="s">
        <v>5268</v>
      </c>
      <c r="E2159" s="6" t="s">
        <v>329</v>
      </c>
      <c r="F2159" s="6" t="s">
        <v>112</v>
      </c>
      <c r="G2159" s="7">
        <v>0.03</v>
      </c>
      <c r="H2159" s="6" t="s">
        <v>249</v>
      </c>
      <c r="I2159" s="6" t="s">
        <v>20</v>
      </c>
      <c r="J2159" s="6">
        <v>2014.0</v>
      </c>
      <c r="K2159" s="10">
        <v>46083.0</v>
      </c>
      <c r="L2159" s="6">
        <v>5.0</v>
      </c>
      <c r="M2159" s="8">
        <f t="shared" si="3"/>
        <v>0.15</v>
      </c>
      <c r="P2159" s="9"/>
    </row>
    <row r="2160">
      <c r="A2160" s="6" t="s">
        <v>5269</v>
      </c>
      <c r="B2160" s="6" t="s">
        <v>2568</v>
      </c>
      <c r="C2160" s="6" t="s">
        <v>43</v>
      </c>
      <c r="D2160" s="6" t="s">
        <v>5270</v>
      </c>
      <c r="E2160" s="6" t="s">
        <v>179</v>
      </c>
      <c r="F2160" s="6" t="s">
        <v>112</v>
      </c>
      <c r="G2160" s="7">
        <v>0.03</v>
      </c>
      <c r="H2160" s="6" t="s">
        <v>531</v>
      </c>
      <c r="I2160" s="6" t="s">
        <v>20</v>
      </c>
      <c r="J2160" s="6">
        <v>2017.0</v>
      </c>
      <c r="K2160" s="6" t="s">
        <v>1924</v>
      </c>
      <c r="L2160" s="6">
        <v>1.0</v>
      </c>
      <c r="M2160" s="8">
        <f t="shared" si="3"/>
        <v>0.03</v>
      </c>
      <c r="P2160" s="9"/>
    </row>
    <row r="2161">
      <c r="A2161" s="6" t="s">
        <v>5271</v>
      </c>
      <c r="B2161" s="6" t="s">
        <v>52</v>
      </c>
      <c r="C2161" s="6" t="s">
        <v>37</v>
      </c>
      <c r="D2161" s="6" t="s">
        <v>5272</v>
      </c>
      <c r="F2161" s="6" t="s">
        <v>26</v>
      </c>
      <c r="G2161" s="7">
        <v>0.2</v>
      </c>
      <c r="H2161" s="6" t="s">
        <v>452</v>
      </c>
      <c r="I2161" s="6" t="s">
        <v>20</v>
      </c>
      <c r="J2161" s="6">
        <v>1995.0</v>
      </c>
      <c r="L2161" s="6">
        <v>1.0</v>
      </c>
      <c r="M2161" s="8">
        <f t="shared" si="3"/>
        <v>0.2</v>
      </c>
      <c r="P2161" s="9"/>
    </row>
    <row r="2162">
      <c r="A2162" s="6" t="s">
        <v>5271</v>
      </c>
      <c r="B2162" s="6" t="s">
        <v>52</v>
      </c>
      <c r="C2162" s="6" t="s">
        <v>37</v>
      </c>
      <c r="D2162" s="6" t="s">
        <v>5272</v>
      </c>
      <c r="F2162" s="6" t="s">
        <v>26</v>
      </c>
      <c r="G2162" s="7">
        <v>0.99</v>
      </c>
      <c r="H2162" s="6" t="s">
        <v>316</v>
      </c>
      <c r="I2162" s="6" t="s">
        <v>20</v>
      </c>
      <c r="J2162" s="6">
        <v>1995.0</v>
      </c>
      <c r="L2162" s="6">
        <v>1.0</v>
      </c>
      <c r="M2162" s="8">
        <f t="shared" si="3"/>
        <v>0.99</v>
      </c>
      <c r="P2162" s="9"/>
    </row>
    <row r="2163">
      <c r="A2163" s="6" t="s">
        <v>5273</v>
      </c>
      <c r="B2163" s="6" t="s">
        <v>440</v>
      </c>
      <c r="C2163" s="6" t="s">
        <v>30</v>
      </c>
      <c r="D2163" s="6" t="s">
        <v>5274</v>
      </c>
      <c r="E2163" s="6" t="s">
        <v>248</v>
      </c>
      <c r="F2163" s="6" t="s">
        <v>77</v>
      </c>
      <c r="G2163" s="7">
        <v>0.95</v>
      </c>
      <c r="H2163" s="6" t="s">
        <v>187</v>
      </c>
      <c r="I2163" s="6" t="s">
        <v>20</v>
      </c>
      <c r="J2163" s="6">
        <v>1995.0</v>
      </c>
      <c r="L2163" s="6">
        <v>1.0</v>
      </c>
      <c r="M2163" s="8">
        <f t="shared" si="3"/>
        <v>0.95</v>
      </c>
      <c r="P2163" s="9"/>
    </row>
    <row r="2164">
      <c r="A2164" s="6" t="s">
        <v>5275</v>
      </c>
      <c r="B2164" s="6" t="s">
        <v>213</v>
      </c>
      <c r="C2164" s="6" t="s">
        <v>23</v>
      </c>
      <c r="D2164" s="6" t="s">
        <v>5276</v>
      </c>
      <c r="E2164" s="6" t="s">
        <v>185</v>
      </c>
      <c r="F2164" s="6" t="s">
        <v>26</v>
      </c>
      <c r="G2164" s="7">
        <v>0.15</v>
      </c>
      <c r="H2164" s="6" t="s">
        <v>3781</v>
      </c>
      <c r="I2164" s="6" t="s">
        <v>20</v>
      </c>
      <c r="J2164" s="6">
        <v>2008.0</v>
      </c>
      <c r="L2164" s="6">
        <v>2.0</v>
      </c>
      <c r="M2164" s="8">
        <f t="shared" si="3"/>
        <v>0.3</v>
      </c>
      <c r="P2164" s="9"/>
    </row>
    <row r="2165">
      <c r="A2165" s="6" t="s">
        <v>5277</v>
      </c>
      <c r="B2165" s="6" t="s">
        <v>1638</v>
      </c>
      <c r="C2165" s="6" t="s">
        <v>37</v>
      </c>
      <c r="E2165" s="6" t="s">
        <v>526</v>
      </c>
      <c r="F2165" s="6" t="s">
        <v>26</v>
      </c>
      <c r="G2165" s="7">
        <v>0.09</v>
      </c>
      <c r="H2165" s="6" t="s">
        <v>324</v>
      </c>
      <c r="I2165" s="6" t="s">
        <v>20</v>
      </c>
      <c r="J2165" s="6">
        <v>1995.0</v>
      </c>
      <c r="K2165" s="10">
        <v>46177.0</v>
      </c>
      <c r="L2165" s="6">
        <v>1.0</v>
      </c>
      <c r="M2165" s="8">
        <f t="shared" si="3"/>
        <v>0.09</v>
      </c>
      <c r="P2165" s="9"/>
    </row>
    <row r="2166">
      <c r="A2166" s="6" t="s">
        <v>5277</v>
      </c>
      <c r="B2166" s="6" t="s">
        <v>1638</v>
      </c>
      <c r="C2166" s="6" t="s">
        <v>37</v>
      </c>
      <c r="E2166" s="6" t="s">
        <v>526</v>
      </c>
      <c r="F2166" s="6" t="s">
        <v>26</v>
      </c>
      <c r="G2166" s="7">
        <v>0.4</v>
      </c>
      <c r="H2166" s="6" t="s">
        <v>316</v>
      </c>
      <c r="I2166" s="6" t="s">
        <v>20</v>
      </c>
      <c r="J2166" s="6">
        <v>1995.0</v>
      </c>
      <c r="K2166" s="10">
        <v>46177.0</v>
      </c>
      <c r="L2166" s="6">
        <v>2.0</v>
      </c>
      <c r="M2166" s="8">
        <f t="shared" si="3"/>
        <v>0.8</v>
      </c>
      <c r="P2166" s="9"/>
    </row>
    <row r="2167">
      <c r="A2167" s="6" t="s">
        <v>5278</v>
      </c>
      <c r="B2167" s="6" t="s">
        <v>1881</v>
      </c>
      <c r="C2167" s="6" t="s">
        <v>377</v>
      </c>
      <c r="D2167" s="6" t="s">
        <v>5279</v>
      </c>
      <c r="E2167" s="6" t="s">
        <v>135</v>
      </c>
      <c r="F2167" s="6" t="s">
        <v>40</v>
      </c>
      <c r="G2167" s="7">
        <v>2.5</v>
      </c>
      <c r="H2167" s="6" t="s">
        <v>421</v>
      </c>
      <c r="I2167" s="6" t="s">
        <v>20</v>
      </c>
      <c r="J2167" s="6">
        <v>2000.0</v>
      </c>
      <c r="K2167" s="10">
        <v>46023.0</v>
      </c>
      <c r="L2167" s="6">
        <v>1.0</v>
      </c>
      <c r="M2167" s="8">
        <f t="shared" si="3"/>
        <v>2.5</v>
      </c>
      <c r="P2167" s="9"/>
    </row>
    <row r="2168">
      <c r="A2168" s="6" t="s">
        <v>5280</v>
      </c>
      <c r="B2168" s="6" t="s">
        <v>47</v>
      </c>
      <c r="C2168" s="6" t="s">
        <v>43</v>
      </c>
      <c r="D2168" s="6" t="s">
        <v>5281</v>
      </c>
      <c r="E2168" s="6" t="s">
        <v>190</v>
      </c>
      <c r="F2168" s="6" t="s">
        <v>18</v>
      </c>
      <c r="G2168" s="7">
        <v>0.1</v>
      </c>
      <c r="H2168" s="6" t="s">
        <v>34</v>
      </c>
      <c r="I2168" s="6" t="s">
        <v>20</v>
      </c>
      <c r="J2168" s="6">
        <v>2025.0</v>
      </c>
      <c r="L2168" s="6">
        <v>2.0</v>
      </c>
      <c r="M2168" s="8">
        <f t="shared" si="3"/>
        <v>0.2</v>
      </c>
      <c r="P2168" s="9"/>
    </row>
    <row r="2169">
      <c r="A2169" s="6" t="s">
        <v>5282</v>
      </c>
      <c r="B2169" s="6" t="s">
        <v>5283</v>
      </c>
      <c r="C2169" s="6" t="s">
        <v>156</v>
      </c>
      <c r="D2169" s="6" t="s">
        <v>5284</v>
      </c>
      <c r="E2169" s="6" t="s">
        <v>909</v>
      </c>
      <c r="F2169" s="6" t="s">
        <v>87</v>
      </c>
      <c r="G2169" s="7">
        <v>2.39</v>
      </c>
      <c r="H2169" s="6" t="s">
        <v>130</v>
      </c>
      <c r="I2169" s="6" t="s">
        <v>20</v>
      </c>
      <c r="J2169" s="6">
        <v>2014.0</v>
      </c>
      <c r="K2169" s="10">
        <v>46084.0</v>
      </c>
      <c r="L2169" s="6">
        <v>1.0</v>
      </c>
      <c r="M2169" s="8">
        <f t="shared" si="3"/>
        <v>2.39</v>
      </c>
      <c r="P2169" s="9"/>
    </row>
    <row r="2170">
      <c r="A2170" s="6" t="s">
        <v>5285</v>
      </c>
      <c r="B2170" s="6" t="s">
        <v>5286</v>
      </c>
      <c r="C2170" s="6" t="s">
        <v>43</v>
      </c>
      <c r="D2170" s="6" t="s">
        <v>5287</v>
      </c>
      <c r="E2170" s="6" t="s">
        <v>389</v>
      </c>
      <c r="F2170" s="6" t="s">
        <v>87</v>
      </c>
      <c r="G2170" s="7">
        <v>0.09</v>
      </c>
      <c r="H2170" s="6" t="s">
        <v>1527</v>
      </c>
      <c r="I2170" s="6" t="s">
        <v>20</v>
      </c>
      <c r="J2170" s="6">
        <v>2006.0</v>
      </c>
      <c r="K2170" s="10">
        <v>46084.0</v>
      </c>
      <c r="L2170" s="6">
        <v>1.0</v>
      </c>
      <c r="M2170" s="8">
        <f t="shared" si="3"/>
        <v>0.09</v>
      </c>
      <c r="P2170" s="9"/>
    </row>
    <row r="2171">
      <c r="A2171" s="6" t="s">
        <v>5288</v>
      </c>
      <c r="B2171" s="6" t="s">
        <v>74</v>
      </c>
      <c r="C2171" s="6" t="s">
        <v>30</v>
      </c>
      <c r="D2171" s="6" t="s">
        <v>5289</v>
      </c>
      <c r="E2171" s="6" t="s">
        <v>2525</v>
      </c>
      <c r="F2171" s="6" t="s">
        <v>977</v>
      </c>
      <c r="G2171" s="7">
        <v>0.25</v>
      </c>
      <c r="H2171" s="6" t="s">
        <v>104</v>
      </c>
      <c r="I2171" s="6" t="s">
        <v>20</v>
      </c>
      <c r="J2171" s="6">
        <v>2019.0</v>
      </c>
      <c r="L2171" s="6">
        <v>1.0</v>
      </c>
      <c r="M2171" s="8">
        <f t="shared" si="3"/>
        <v>0.25</v>
      </c>
      <c r="P2171" s="9"/>
    </row>
    <row r="2172">
      <c r="A2172" s="6" t="s">
        <v>5290</v>
      </c>
      <c r="B2172" s="6" t="s">
        <v>5291</v>
      </c>
      <c r="C2172" s="6" t="s">
        <v>37</v>
      </c>
      <c r="D2172" s="6" t="s">
        <v>5292</v>
      </c>
      <c r="E2172" s="6" t="s">
        <v>356</v>
      </c>
      <c r="F2172" s="6" t="s">
        <v>87</v>
      </c>
      <c r="G2172" s="7">
        <v>0.08</v>
      </c>
      <c r="H2172" s="6" t="s">
        <v>136</v>
      </c>
      <c r="I2172" s="6" t="s">
        <v>20</v>
      </c>
      <c r="J2172" s="6">
        <v>2026.0</v>
      </c>
      <c r="K2172" s="10">
        <v>46116.0</v>
      </c>
      <c r="L2172" s="6">
        <v>2.0</v>
      </c>
      <c r="M2172" s="8">
        <f t="shared" si="3"/>
        <v>0.16</v>
      </c>
      <c r="P2172" s="9"/>
    </row>
    <row r="2173">
      <c r="A2173" s="6" t="s">
        <v>5293</v>
      </c>
      <c r="B2173" s="6" t="s">
        <v>5294</v>
      </c>
      <c r="C2173" s="6" t="s">
        <v>30</v>
      </c>
      <c r="D2173" s="6" t="s">
        <v>5295</v>
      </c>
      <c r="E2173" s="6" t="s">
        <v>5032</v>
      </c>
      <c r="F2173" s="6" t="s">
        <v>159</v>
      </c>
      <c r="G2173" s="7">
        <v>3.28</v>
      </c>
      <c r="H2173" s="6" t="s">
        <v>89</v>
      </c>
      <c r="I2173" s="6" t="s">
        <v>20</v>
      </c>
      <c r="J2173" s="6">
        <v>2021.0</v>
      </c>
      <c r="K2173" s="10">
        <v>46113.0</v>
      </c>
      <c r="L2173" s="6">
        <v>1.0</v>
      </c>
      <c r="M2173" s="8">
        <f t="shared" si="3"/>
        <v>3.28</v>
      </c>
      <c r="P2173" s="9"/>
    </row>
    <row r="2174">
      <c r="A2174" s="6" t="s">
        <v>5296</v>
      </c>
      <c r="B2174" s="6" t="s">
        <v>5297</v>
      </c>
      <c r="C2174" s="6" t="s">
        <v>204</v>
      </c>
      <c r="D2174" s="6" t="s">
        <v>5298</v>
      </c>
      <c r="E2174" s="6" t="s">
        <v>185</v>
      </c>
      <c r="F2174" s="6" t="s">
        <v>186</v>
      </c>
      <c r="G2174" s="7">
        <v>0.06</v>
      </c>
      <c r="H2174" s="6" t="s">
        <v>113</v>
      </c>
      <c r="I2174" s="6" t="s">
        <v>20</v>
      </c>
      <c r="J2174" s="6">
        <v>2023.0</v>
      </c>
      <c r="K2174" s="10">
        <v>46023.0</v>
      </c>
      <c r="L2174" s="6">
        <v>1.0</v>
      </c>
      <c r="M2174" s="8">
        <f t="shared" si="3"/>
        <v>0.06</v>
      </c>
      <c r="P2174" s="9"/>
    </row>
    <row r="2175">
      <c r="A2175" s="6" t="s">
        <v>5299</v>
      </c>
      <c r="B2175" s="6" t="s">
        <v>5300</v>
      </c>
      <c r="C2175" s="6" t="s">
        <v>23</v>
      </c>
      <c r="D2175" s="6" t="s">
        <v>5301</v>
      </c>
      <c r="E2175" s="6" t="s">
        <v>3166</v>
      </c>
      <c r="F2175" s="6" t="s">
        <v>87</v>
      </c>
      <c r="G2175" s="7">
        <v>0.99</v>
      </c>
      <c r="H2175" s="6" t="s">
        <v>19</v>
      </c>
      <c r="I2175" s="6" t="s">
        <v>20</v>
      </c>
      <c r="J2175" s="6">
        <v>2023.0</v>
      </c>
      <c r="K2175" s="10">
        <v>46118.0</v>
      </c>
      <c r="L2175" s="6">
        <v>4.0</v>
      </c>
      <c r="M2175" s="8">
        <f t="shared" si="3"/>
        <v>3.96</v>
      </c>
      <c r="P2175" s="9"/>
    </row>
    <row r="2176">
      <c r="A2176" s="6" t="s">
        <v>5302</v>
      </c>
      <c r="B2176" s="6" t="s">
        <v>146</v>
      </c>
      <c r="C2176" s="6" t="s">
        <v>43</v>
      </c>
      <c r="D2176" s="6" t="s">
        <v>5303</v>
      </c>
      <c r="E2176" s="6" t="s">
        <v>329</v>
      </c>
      <c r="F2176" s="6" t="s">
        <v>112</v>
      </c>
      <c r="G2176" s="7">
        <v>0.06</v>
      </c>
      <c r="H2176" s="6" t="s">
        <v>382</v>
      </c>
      <c r="I2176" s="6" t="s">
        <v>20</v>
      </c>
      <c r="J2176" s="6">
        <v>2020.0</v>
      </c>
      <c r="L2176" s="6">
        <v>4.0</v>
      </c>
      <c r="M2176" s="8">
        <f t="shared" si="3"/>
        <v>0.24</v>
      </c>
      <c r="P2176" s="9"/>
    </row>
    <row r="2177">
      <c r="A2177" s="6" t="s">
        <v>5304</v>
      </c>
      <c r="B2177" s="6" t="s">
        <v>1533</v>
      </c>
      <c r="C2177" s="6" t="s">
        <v>418</v>
      </c>
      <c r="D2177" s="6" t="s">
        <v>5305</v>
      </c>
      <c r="E2177" s="6" t="s">
        <v>1840</v>
      </c>
      <c r="F2177" s="6" t="s">
        <v>18</v>
      </c>
      <c r="G2177" s="7">
        <v>0.24</v>
      </c>
      <c r="H2177" s="6" t="s">
        <v>471</v>
      </c>
      <c r="I2177" s="6" t="s">
        <v>20</v>
      </c>
      <c r="J2177" s="6">
        <v>2026.0</v>
      </c>
      <c r="K2177" s="6" t="s">
        <v>527</v>
      </c>
      <c r="L2177" s="6">
        <v>1.0</v>
      </c>
      <c r="M2177" s="8">
        <f t="shared" si="3"/>
        <v>0.24</v>
      </c>
      <c r="P2177" s="9"/>
    </row>
    <row r="2178">
      <c r="A2178" s="6" t="s">
        <v>5306</v>
      </c>
      <c r="B2178" s="6" t="s">
        <v>400</v>
      </c>
      <c r="C2178" s="6" t="s">
        <v>43</v>
      </c>
      <c r="D2178" s="6" t="s">
        <v>5307</v>
      </c>
      <c r="E2178" s="6" t="s">
        <v>25</v>
      </c>
      <c r="F2178" s="6" t="s">
        <v>26</v>
      </c>
      <c r="G2178" s="7">
        <v>0.1</v>
      </c>
      <c r="H2178" s="6" t="s">
        <v>136</v>
      </c>
      <c r="I2178" s="6" t="s">
        <v>20</v>
      </c>
      <c r="J2178" s="6">
        <v>2026.0</v>
      </c>
      <c r="L2178" s="6">
        <v>2.0</v>
      </c>
      <c r="M2178" s="8">
        <f t="shared" si="3"/>
        <v>0.2</v>
      </c>
      <c r="P2178" s="9"/>
    </row>
    <row r="2179">
      <c r="A2179" s="6" t="s">
        <v>5308</v>
      </c>
      <c r="B2179" s="6" t="s">
        <v>74</v>
      </c>
      <c r="C2179" s="6" t="s">
        <v>43</v>
      </c>
      <c r="D2179" s="6" t="s">
        <v>5309</v>
      </c>
      <c r="E2179" s="6" t="s">
        <v>282</v>
      </c>
      <c r="F2179" s="6" t="s">
        <v>40</v>
      </c>
      <c r="G2179" s="7">
        <v>0.13</v>
      </c>
      <c r="H2179" s="6" t="s">
        <v>238</v>
      </c>
      <c r="I2179" s="6" t="s">
        <v>20</v>
      </c>
      <c r="J2179" s="6">
        <v>2024.0</v>
      </c>
      <c r="L2179" s="6">
        <v>1.0</v>
      </c>
      <c r="M2179" s="8">
        <f t="shared" si="3"/>
        <v>0.13</v>
      </c>
      <c r="P2179" s="9"/>
    </row>
    <row r="2180">
      <c r="A2180" s="6" t="s">
        <v>5310</v>
      </c>
      <c r="B2180" s="6" t="s">
        <v>5311</v>
      </c>
      <c r="C2180" s="6" t="s">
        <v>43</v>
      </c>
      <c r="D2180" s="6" t="s">
        <v>5312</v>
      </c>
      <c r="E2180" s="6" t="s">
        <v>135</v>
      </c>
      <c r="F2180" s="6" t="s">
        <v>40</v>
      </c>
      <c r="G2180" s="7">
        <v>0.06</v>
      </c>
      <c r="H2180" s="6" t="s">
        <v>407</v>
      </c>
      <c r="I2180" s="6" t="s">
        <v>20</v>
      </c>
      <c r="J2180" s="6">
        <v>2016.0</v>
      </c>
      <c r="K2180" s="10">
        <v>46055.0</v>
      </c>
      <c r="L2180" s="6">
        <v>1.0</v>
      </c>
      <c r="M2180" s="8">
        <f t="shared" si="3"/>
        <v>0.06</v>
      </c>
      <c r="P2180" s="9"/>
    </row>
    <row r="2181">
      <c r="A2181" s="6" t="s">
        <v>5313</v>
      </c>
      <c r="B2181" s="6" t="s">
        <v>5314</v>
      </c>
      <c r="C2181" s="6" t="s">
        <v>15</v>
      </c>
      <c r="D2181" s="6" t="s">
        <v>5315</v>
      </c>
      <c r="E2181" s="6" t="s">
        <v>1575</v>
      </c>
      <c r="F2181" s="6" t="s">
        <v>87</v>
      </c>
      <c r="G2181" s="7">
        <v>0.1</v>
      </c>
      <c r="H2181" s="6" t="s">
        <v>130</v>
      </c>
      <c r="I2181" s="6" t="s">
        <v>20</v>
      </c>
      <c r="J2181" s="6">
        <v>2014.0</v>
      </c>
      <c r="K2181" s="10">
        <v>46148.0</v>
      </c>
      <c r="L2181" s="6">
        <v>1.0</v>
      </c>
      <c r="M2181" s="8">
        <f t="shared" si="3"/>
        <v>0.1</v>
      </c>
      <c r="P2181" s="9"/>
    </row>
    <row r="2182">
      <c r="A2182" s="6" t="s">
        <v>5316</v>
      </c>
      <c r="B2182" s="6" t="s">
        <v>440</v>
      </c>
      <c r="C2182" s="6" t="s">
        <v>43</v>
      </c>
      <c r="D2182" s="6" t="s">
        <v>5317</v>
      </c>
      <c r="E2182" s="6" t="s">
        <v>140</v>
      </c>
      <c r="F2182" s="6" t="s">
        <v>87</v>
      </c>
      <c r="G2182" s="7">
        <v>0.05</v>
      </c>
      <c r="H2182" s="6" t="s">
        <v>5318</v>
      </c>
      <c r="I2182" s="6" t="s">
        <v>20</v>
      </c>
      <c r="J2182" s="6">
        <v>1998.0</v>
      </c>
      <c r="L2182" s="6">
        <v>2.0</v>
      </c>
      <c r="M2182" s="8">
        <f t="shared" si="3"/>
        <v>0.1</v>
      </c>
      <c r="P2182" s="9"/>
    </row>
    <row r="2183">
      <c r="A2183" s="6" t="s">
        <v>5319</v>
      </c>
      <c r="B2183" s="6" t="s">
        <v>1206</v>
      </c>
      <c r="C2183" s="6" t="s">
        <v>37</v>
      </c>
      <c r="D2183" s="6" t="s">
        <v>5320</v>
      </c>
      <c r="E2183" s="6" t="s">
        <v>185</v>
      </c>
      <c r="F2183" s="6" t="s">
        <v>26</v>
      </c>
      <c r="G2183" s="7">
        <v>0.34</v>
      </c>
      <c r="H2183" s="6" t="s">
        <v>1261</v>
      </c>
      <c r="I2183" s="6" t="s">
        <v>20</v>
      </c>
      <c r="J2183" s="6">
        <v>1994.0</v>
      </c>
      <c r="K2183" s="10">
        <v>46055.0</v>
      </c>
      <c r="L2183" s="6">
        <v>2.0</v>
      </c>
      <c r="M2183" s="8">
        <f t="shared" si="3"/>
        <v>0.68</v>
      </c>
      <c r="P2183" s="9"/>
    </row>
    <row r="2184">
      <c r="A2184" s="6" t="s">
        <v>5321</v>
      </c>
      <c r="B2184" s="6" t="s">
        <v>219</v>
      </c>
      <c r="C2184" s="6" t="s">
        <v>37</v>
      </c>
      <c r="D2184" s="6" t="s">
        <v>5322</v>
      </c>
      <c r="E2184" s="6" t="s">
        <v>25</v>
      </c>
      <c r="F2184" s="6" t="s">
        <v>26</v>
      </c>
      <c r="G2184" s="7">
        <v>0.18</v>
      </c>
      <c r="H2184" s="6" t="s">
        <v>187</v>
      </c>
      <c r="I2184" s="6" t="s">
        <v>20</v>
      </c>
      <c r="J2184" s="6">
        <v>1995.0</v>
      </c>
      <c r="L2184" s="6">
        <v>1.0</v>
      </c>
      <c r="M2184" s="8">
        <f t="shared" si="3"/>
        <v>0.18</v>
      </c>
      <c r="P2184" s="9"/>
    </row>
    <row r="2185">
      <c r="A2185" s="6" t="s">
        <v>5323</v>
      </c>
      <c r="B2185" s="6" t="s">
        <v>5324</v>
      </c>
      <c r="C2185" s="6" t="s">
        <v>43</v>
      </c>
      <c r="D2185" s="6" t="s">
        <v>5325</v>
      </c>
      <c r="E2185" s="6" t="s">
        <v>5326</v>
      </c>
      <c r="F2185" s="6" t="s">
        <v>536</v>
      </c>
      <c r="G2185" s="7">
        <v>0.14</v>
      </c>
      <c r="H2185" s="6" t="s">
        <v>1048</v>
      </c>
      <c r="I2185" s="6" t="s">
        <v>20</v>
      </c>
      <c r="J2185" s="6">
        <v>2008.0</v>
      </c>
      <c r="K2185" s="10">
        <v>46024.0</v>
      </c>
      <c r="L2185" s="6">
        <v>1.0</v>
      </c>
      <c r="M2185" s="8">
        <f t="shared" si="3"/>
        <v>0.14</v>
      </c>
      <c r="P2185" s="9"/>
    </row>
    <row r="2186">
      <c r="A2186" s="6" t="s">
        <v>5327</v>
      </c>
      <c r="B2186" s="6" t="s">
        <v>138</v>
      </c>
      <c r="C2186" s="6" t="s">
        <v>37</v>
      </c>
      <c r="D2186" s="6" t="s">
        <v>5328</v>
      </c>
      <c r="E2186" s="6" t="s">
        <v>210</v>
      </c>
      <c r="F2186" s="6" t="s">
        <v>18</v>
      </c>
      <c r="G2186" s="7">
        <v>0.11</v>
      </c>
      <c r="H2186" s="6" t="s">
        <v>136</v>
      </c>
      <c r="I2186" s="6" t="s">
        <v>20</v>
      </c>
      <c r="J2186" s="6">
        <v>2026.0</v>
      </c>
      <c r="L2186" s="6">
        <v>2.0</v>
      </c>
      <c r="M2186" s="8">
        <f t="shared" si="3"/>
        <v>0.22</v>
      </c>
      <c r="P2186" s="9"/>
    </row>
    <row r="2187">
      <c r="A2187" s="6" t="s">
        <v>5329</v>
      </c>
      <c r="B2187" s="6" t="s">
        <v>5330</v>
      </c>
      <c r="C2187" s="6" t="s">
        <v>43</v>
      </c>
      <c r="D2187" s="6" t="s">
        <v>5331</v>
      </c>
      <c r="E2187" s="6" t="s">
        <v>224</v>
      </c>
      <c r="F2187" s="6" t="s">
        <v>18</v>
      </c>
      <c r="G2187" s="7">
        <v>0.05</v>
      </c>
      <c r="H2187" s="6" t="s">
        <v>4785</v>
      </c>
      <c r="I2187" s="6" t="s">
        <v>20</v>
      </c>
      <c r="J2187" s="6">
        <v>2013.0</v>
      </c>
      <c r="K2187" s="10">
        <v>46114.0</v>
      </c>
      <c r="L2187" s="6">
        <v>1.0</v>
      </c>
      <c r="M2187" s="8">
        <f t="shared" si="3"/>
        <v>0.05</v>
      </c>
      <c r="P2187" s="9"/>
    </row>
    <row r="2188">
      <c r="A2188" s="6" t="s">
        <v>5332</v>
      </c>
      <c r="B2188" s="6" t="s">
        <v>494</v>
      </c>
      <c r="C2188" s="6" t="s">
        <v>43</v>
      </c>
      <c r="D2188" s="6" t="s">
        <v>5333</v>
      </c>
      <c r="E2188" s="6" t="s">
        <v>125</v>
      </c>
      <c r="F2188" s="6" t="s">
        <v>40</v>
      </c>
      <c r="G2188" s="7">
        <v>0.03</v>
      </c>
      <c r="H2188" s="6" t="s">
        <v>249</v>
      </c>
      <c r="I2188" s="6" t="s">
        <v>20</v>
      </c>
      <c r="J2188" s="6">
        <v>2014.0</v>
      </c>
      <c r="L2188" s="6">
        <v>5.0</v>
      </c>
      <c r="M2188" s="8">
        <f t="shared" si="3"/>
        <v>0.15</v>
      </c>
      <c r="P2188" s="9"/>
    </row>
    <row r="2189">
      <c r="A2189" s="6" t="s">
        <v>5334</v>
      </c>
      <c r="B2189" s="6" t="s">
        <v>4706</v>
      </c>
      <c r="C2189" s="6" t="s">
        <v>43</v>
      </c>
      <c r="D2189" s="6" t="s">
        <v>5335</v>
      </c>
      <c r="E2189" s="6" t="s">
        <v>329</v>
      </c>
      <c r="F2189" s="6" t="s">
        <v>112</v>
      </c>
      <c r="G2189" s="7">
        <v>0.05</v>
      </c>
      <c r="H2189" s="6" t="s">
        <v>4265</v>
      </c>
      <c r="I2189" s="6" t="s">
        <v>20</v>
      </c>
      <c r="J2189" s="6">
        <v>2009.0</v>
      </c>
      <c r="K2189" s="10">
        <v>46082.0</v>
      </c>
      <c r="L2189" s="6">
        <v>1.0</v>
      </c>
      <c r="M2189" s="8">
        <f t="shared" si="3"/>
        <v>0.05</v>
      </c>
      <c r="P2189" s="9"/>
    </row>
    <row r="2190">
      <c r="A2190" s="6" t="s">
        <v>5336</v>
      </c>
      <c r="B2190" s="6" t="s">
        <v>361</v>
      </c>
      <c r="C2190" s="6" t="s">
        <v>43</v>
      </c>
      <c r="E2190" s="6" t="s">
        <v>329</v>
      </c>
      <c r="F2190" s="6" t="s">
        <v>112</v>
      </c>
      <c r="G2190" s="7">
        <v>0.03</v>
      </c>
      <c r="H2190" s="6" t="s">
        <v>1076</v>
      </c>
      <c r="I2190" s="6" t="s">
        <v>20</v>
      </c>
      <c r="J2190" s="6">
        <v>2018.0</v>
      </c>
      <c r="K2190" s="10">
        <v>46057.0</v>
      </c>
      <c r="L2190" s="6">
        <v>1.0</v>
      </c>
      <c r="M2190" s="8">
        <f t="shared" si="3"/>
        <v>0.03</v>
      </c>
      <c r="P2190" s="9"/>
    </row>
    <row r="2191">
      <c r="A2191" s="6" t="s">
        <v>5337</v>
      </c>
      <c r="B2191" s="6" t="s">
        <v>920</v>
      </c>
      <c r="C2191" s="6" t="s">
        <v>37</v>
      </c>
      <c r="D2191" s="6" t="s">
        <v>5338</v>
      </c>
      <c r="E2191" s="6" t="s">
        <v>753</v>
      </c>
      <c r="F2191" s="6" t="s">
        <v>87</v>
      </c>
      <c r="G2191" s="7">
        <v>0.25</v>
      </c>
      <c r="H2191" s="6" t="s">
        <v>316</v>
      </c>
      <c r="I2191" s="6" t="s">
        <v>20</v>
      </c>
      <c r="J2191" s="6">
        <v>1995.0</v>
      </c>
      <c r="K2191" s="10">
        <v>46082.0</v>
      </c>
      <c r="L2191" s="6">
        <v>2.0</v>
      </c>
      <c r="M2191" s="8">
        <f t="shared" si="3"/>
        <v>0.5</v>
      </c>
      <c r="P2191" s="9"/>
    </row>
    <row r="2192">
      <c r="A2192" s="6" t="s">
        <v>5339</v>
      </c>
      <c r="B2192" s="6" t="s">
        <v>606</v>
      </c>
      <c r="C2192" s="6" t="s">
        <v>23</v>
      </c>
      <c r="D2192" s="6" t="s">
        <v>5340</v>
      </c>
      <c r="E2192" s="6" t="s">
        <v>3428</v>
      </c>
      <c r="F2192" s="6" t="s">
        <v>87</v>
      </c>
      <c r="G2192" s="7">
        <v>0.06</v>
      </c>
      <c r="H2192" s="6" t="s">
        <v>130</v>
      </c>
      <c r="I2192" s="6" t="s">
        <v>20</v>
      </c>
      <c r="J2192" s="6">
        <v>2014.0</v>
      </c>
      <c r="L2192" s="6">
        <v>1.0</v>
      </c>
      <c r="M2192" s="8">
        <f t="shared" si="3"/>
        <v>0.06</v>
      </c>
      <c r="P2192" s="9"/>
    </row>
    <row r="2193">
      <c r="A2193" s="6" t="s">
        <v>5341</v>
      </c>
      <c r="B2193" s="6" t="s">
        <v>1209</v>
      </c>
      <c r="C2193" s="6" t="s">
        <v>43</v>
      </c>
      <c r="D2193" s="6" t="s">
        <v>5342</v>
      </c>
      <c r="E2193" s="6" t="s">
        <v>140</v>
      </c>
      <c r="F2193" s="6" t="s">
        <v>87</v>
      </c>
      <c r="G2193" s="7">
        <v>0.06</v>
      </c>
      <c r="H2193" s="6" t="s">
        <v>187</v>
      </c>
      <c r="I2193" s="6" t="s">
        <v>20</v>
      </c>
      <c r="J2193" s="6">
        <v>1995.0</v>
      </c>
      <c r="K2193" s="10">
        <v>46055.0</v>
      </c>
      <c r="L2193" s="6">
        <v>1.0</v>
      </c>
      <c r="M2193" s="8">
        <f t="shared" si="3"/>
        <v>0.06</v>
      </c>
      <c r="P2193" s="9"/>
    </row>
    <row r="2194">
      <c r="A2194" s="6" t="s">
        <v>5343</v>
      </c>
      <c r="B2194" s="6" t="s">
        <v>1209</v>
      </c>
      <c r="C2194" s="6" t="s">
        <v>43</v>
      </c>
      <c r="D2194" s="6" t="s">
        <v>5344</v>
      </c>
      <c r="E2194" s="6" t="s">
        <v>753</v>
      </c>
      <c r="F2194" s="6" t="s">
        <v>87</v>
      </c>
      <c r="G2194" s="7">
        <v>0.05</v>
      </c>
      <c r="H2194" s="6" t="s">
        <v>187</v>
      </c>
      <c r="I2194" s="6" t="s">
        <v>20</v>
      </c>
      <c r="J2194" s="6">
        <v>1995.0</v>
      </c>
      <c r="K2194" s="10">
        <v>46055.0</v>
      </c>
      <c r="L2194" s="6">
        <v>1.0</v>
      </c>
      <c r="M2194" s="8">
        <f t="shared" si="3"/>
        <v>0.05</v>
      </c>
      <c r="P2194" s="9"/>
    </row>
    <row r="2195">
      <c r="A2195" s="6" t="s">
        <v>5345</v>
      </c>
      <c r="B2195" s="6" t="s">
        <v>5346</v>
      </c>
      <c r="C2195" s="6" t="s">
        <v>30</v>
      </c>
      <c r="D2195" s="6" t="s">
        <v>5347</v>
      </c>
      <c r="E2195" s="6" t="s">
        <v>86</v>
      </c>
      <c r="F2195" s="6" t="s">
        <v>87</v>
      </c>
      <c r="G2195" s="7">
        <v>1.5</v>
      </c>
      <c r="H2195" s="6" t="s">
        <v>187</v>
      </c>
      <c r="I2195" s="6" t="s">
        <v>20</v>
      </c>
      <c r="J2195" s="6">
        <v>1995.0</v>
      </c>
      <c r="K2195" s="10">
        <v>46023.0</v>
      </c>
      <c r="L2195" s="6">
        <v>1.0</v>
      </c>
      <c r="M2195" s="8">
        <f t="shared" si="3"/>
        <v>1.5</v>
      </c>
      <c r="P2195" s="9"/>
    </row>
    <row r="2196">
      <c r="A2196" s="6" t="s">
        <v>5348</v>
      </c>
      <c r="B2196" s="6" t="s">
        <v>1209</v>
      </c>
      <c r="C2196" s="6" t="s">
        <v>43</v>
      </c>
      <c r="D2196" s="6" t="s">
        <v>5349</v>
      </c>
      <c r="E2196" s="6" t="s">
        <v>256</v>
      </c>
      <c r="F2196" s="6" t="s">
        <v>87</v>
      </c>
      <c r="G2196" s="7">
        <v>0.2</v>
      </c>
      <c r="H2196" s="6" t="s">
        <v>194</v>
      </c>
      <c r="I2196" s="6" t="s">
        <v>20</v>
      </c>
      <c r="J2196" s="6">
        <v>1994.0</v>
      </c>
      <c r="K2196" s="10">
        <v>46055.0</v>
      </c>
      <c r="L2196" s="6">
        <v>2.0</v>
      </c>
      <c r="M2196" s="8">
        <f t="shared" si="3"/>
        <v>0.4</v>
      </c>
      <c r="P2196" s="9"/>
    </row>
    <row r="2197">
      <c r="A2197" s="6" t="s">
        <v>5348</v>
      </c>
      <c r="B2197" s="6" t="s">
        <v>1209</v>
      </c>
      <c r="C2197" s="6" t="s">
        <v>43</v>
      </c>
      <c r="D2197" s="6" t="s">
        <v>5349</v>
      </c>
      <c r="E2197" s="6" t="s">
        <v>256</v>
      </c>
      <c r="F2197" s="6" t="s">
        <v>87</v>
      </c>
      <c r="G2197" s="7">
        <v>0.24</v>
      </c>
      <c r="H2197" s="6" t="s">
        <v>194</v>
      </c>
      <c r="I2197" s="6" t="s">
        <v>20</v>
      </c>
      <c r="J2197" s="6">
        <v>1994.0</v>
      </c>
      <c r="K2197" s="10">
        <v>46055.0</v>
      </c>
      <c r="L2197" s="6">
        <v>1.0</v>
      </c>
      <c r="M2197" s="8">
        <f t="shared" si="3"/>
        <v>0.24</v>
      </c>
      <c r="P2197" s="9"/>
    </row>
    <row r="2198">
      <c r="A2198" s="6" t="s">
        <v>5348</v>
      </c>
      <c r="B2198" s="6" t="s">
        <v>1209</v>
      </c>
      <c r="C2198" s="6" t="s">
        <v>43</v>
      </c>
      <c r="D2198" s="6" t="s">
        <v>5349</v>
      </c>
      <c r="E2198" s="6" t="s">
        <v>256</v>
      </c>
      <c r="F2198" s="6" t="s">
        <v>87</v>
      </c>
      <c r="G2198" s="7">
        <v>0.2</v>
      </c>
      <c r="H2198" s="6" t="s">
        <v>194</v>
      </c>
      <c r="I2198" s="6" t="s">
        <v>20</v>
      </c>
      <c r="J2198" s="6">
        <v>1994.0</v>
      </c>
      <c r="K2198" s="10">
        <v>46055.0</v>
      </c>
      <c r="L2198" s="6">
        <v>1.0</v>
      </c>
      <c r="M2198" s="8">
        <f t="shared" si="3"/>
        <v>0.2</v>
      </c>
      <c r="P2198" s="9"/>
    </row>
    <row r="2199">
      <c r="A2199" s="6" t="s">
        <v>5350</v>
      </c>
      <c r="B2199" s="6" t="s">
        <v>2333</v>
      </c>
      <c r="C2199" s="6" t="s">
        <v>43</v>
      </c>
      <c r="D2199" s="6" t="s">
        <v>5351</v>
      </c>
      <c r="E2199" s="6" t="s">
        <v>86</v>
      </c>
      <c r="F2199" s="6" t="s">
        <v>87</v>
      </c>
      <c r="G2199" s="7">
        <v>0.03</v>
      </c>
      <c r="H2199" s="6" t="s">
        <v>382</v>
      </c>
      <c r="I2199" s="6" t="s">
        <v>20</v>
      </c>
      <c r="J2199" s="6">
        <v>2020.0</v>
      </c>
      <c r="K2199" s="10">
        <v>46082.0</v>
      </c>
      <c r="L2199" s="6">
        <v>1.0</v>
      </c>
      <c r="M2199" s="8">
        <f t="shared" si="3"/>
        <v>0.03</v>
      </c>
      <c r="P2199" s="9"/>
    </row>
    <row r="2200">
      <c r="A2200" s="6" t="s">
        <v>5352</v>
      </c>
      <c r="B2200" s="6" t="s">
        <v>5353</v>
      </c>
      <c r="C2200" s="6" t="s">
        <v>23</v>
      </c>
      <c r="D2200" s="6" t="s">
        <v>5354</v>
      </c>
      <c r="E2200" s="6" t="s">
        <v>1010</v>
      </c>
      <c r="F2200" s="6" t="s">
        <v>87</v>
      </c>
      <c r="G2200" s="7">
        <v>0.05</v>
      </c>
      <c r="H2200" s="6" t="s">
        <v>780</v>
      </c>
      <c r="I2200" s="6" t="s">
        <v>20</v>
      </c>
      <c r="J2200" s="6">
        <v>2025.0</v>
      </c>
      <c r="K2200" s="10">
        <v>46055.0</v>
      </c>
      <c r="L2200" s="6">
        <v>2.0</v>
      </c>
      <c r="M2200" s="8">
        <f t="shared" si="3"/>
        <v>0.1</v>
      </c>
      <c r="P2200" s="9"/>
    </row>
    <row r="2201">
      <c r="A2201" s="6" t="s">
        <v>5355</v>
      </c>
      <c r="B2201" s="6" t="s">
        <v>5356</v>
      </c>
      <c r="C2201" s="6" t="s">
        <v>43</v>
      </c>
      <c r="E2201" s="6" t="s">
        <v>135</v>
      </c>
      <c r="F2201" s="6" t="s">
        <v>40</v>
      </c>
      <c r="G2201" s="7">
        <v>0.03</v>
      </c>
      <c r="H2201" s="6" t="s">
        <v>249</v>
      </c>
      <c r="I2201" s="6" t="s">
        <v>20</v>
      </c>
      <c r="J2201" s="6">
        <v>2014.0</v>
      </c>
      <c r="K2201" s="10">
        <v>46025.0</v>
      </c>
      <c r="L2201" s="6">
        <v>2.0</v>
      </c>
      <c r="M2201" s="8">
        <f t="shared" si="3"/>
        <v>0.06</v>
      </c>
      <c r="P2201" s="9"/>
    </row>
    <row r="2202">
      <c r="A2202" s="6" t="s">
        <v>5357</v>
      </c>
      <c r="B2202" s="6" t="s">
        <v>138</v>
      </c>
      <c r="C2202" s="6" t="s">
        <v>43</v>
      </c>
      <c r="D2202" s="6" t="s">
        <v>5358</v>
      </c>
      <c r="E2202" s="6" t="s">
        <v>135</v>
      </c>
      <c r="F2202" s="6" t="s">
        <v>40</v>
      </c>
      <c r="G2202" s="7">
        <v>0.24</v>
      </c>
      <c r="H2202" s="6" t="s">
        <v>764</v>
      </c>
      <c r="I2202" s="6" t="s">
        <v>20</v>
      </c>
      <c r="J2202" s="6">
        <v>1999.0</v>
      </c>
      <c r="L2202" s="6">
        <v>1.0</v>
      </c>
      <c r="M2202" s="8">
        <f t="shared" si="3"/>
        <v>0.24</v>
      </c>
      <c r="P2202" s="9"/>
    </row>
    <row r="2203">
      <c r="A2203" s="6" t="s">
        <v>5359</v>
      </c>
      <c r="B2203" s="6" t="s">
        <v>829</v>
      </c>
      <c r="C2203" s="6" t="s">
        <v>418</v>
      </c>
      <c r="D2203" s="6" t="s">
        <v>986</v>
      </c>
      <c r="E2203" s="6" t="s">
        <v>1137</v>
      </c>
      <c r="F2203" s="6" t="s">
        <v>312</v>
      </c>
      <c r="G2203" s="7">
        <v>1.1</v>
      </c>
      <c r="H2203" s="6" t="s">
        <v>217</v>
      </c>
      <c r="I2203" s="6" t="s">
        <v>20</v>
      </c>
      <c r="J2203" s="6">
        <v>2003.0</v>
      </c>
      <c r="K2203" s="6" t="s">
        <v>233</v>
      </c>
      <c r="L2203" s="6">
        <v>1.0</v>
      </c>
      <c r="M2203" s="8">
        <f t="shared" si="3"/>
        <v>1.1</v>
      </c>
      <c r="P2203" s="9"/>
    </row>
    <row r="2204">
      <c r="A2204" s="6" t="s">
        <v>5360</v>
      </c>
      <c r="B2204" s="6" t="s">
        <v>5361</v>
      </c>
      <c r="C2204" s="6" t="s">
        <v>43</v>
      </c>
      <c r="D2204" s="6" t="s">
        <v>5362</v>
      </c>
      <c r="E2204" s="6" t="s">
        <v>1137</v>
      </c>
      <c r="F2204" s="6" t="s">
        <v>26</v>
      </c>
      <c r="G2204" s="7">
        <v>2.7</v>
      </c>
      <c r="H2204" s="6" t="s">
        <v>453</v>
      </c>
      <c r="I2204" s="6" t="s">
        <v>20</v>
      </c>
      <c r="J2204" s="6">
        <v>1994.0</v>
      </c>
      <c r="K2204" s="6" t="s">
        <v>233</v>
      </c>
      <c r="L2204" s="6">
        <v>1.0</v>
      </c>
      <c r="M2204" s="8">
        <f t="shared" si="3"/>
        <v>2.7</v>
      </c>
      <c r="P2204" s="9"/>
    </row>
    <row r="2205">
      <c r="A2205" s="6" t="s">
        <v>5363</v>
      </c>
      <c r="B2205" s="6" t="s">
        <v>5364</v>
      </c>
      <c r="C2205" s="6" t="s">
        <v>43</v>
      </c>
      <c r="D2205" s="6" t="s">
        <v>5365</v>
      </c>
      <c r="E2205" s="6" t="s">
        <v>179</v>
      </c>
      <c r="F2205" s="6" t="s">
        <v>112</v>
      </c>
      <c r="G2205" s="7">
        <v>1.47</v>
      </c>
      <c r="H2205" s="6" t="s">
        <v>1277</v>
      </c>
      <c r="I2205" s="6" t="s">
        <v>20</v>
      </c>
      <c r="J2205" s="6">
        <v>2004.0</v>
      </c>
      <c r="K2205" s="10">
        <v>46023.0</v>
      </c>
      <c r="L2205" s="6">
        <v>1.0</v>
      </c>
      <c r="M2205" s="8">
        <f t="shared" si="3"/>
        <v>1.47</v>
      </c>
      <c r="P2205" s="9"/>
    </row>
    <row r="2206">
      <c r="A2206" s="6" t="s">
        <v>5366</v>
      </c>
      <c r="B2206" s="6" t="s">
        <v>5367</v>
      </c>
      <c r="C2206" s="6" t="s">
        <v>418</v>
      </c>
      <c r="D2206" s="6" t="s">
        <v>5368</v>
      </c>
      <c r="E2206" s="6" t="s">
        <v>164</v>
      </c>
      <c r="F2206" s="6" t="s">
        <v>112</v>
      </c>
      <c r="G2206" s="7">
        <v>0.03</v>
      </c>
      <c r="H2206" s="7" t="s">
        <v>1277</v>
      </c>
      <c r="I2206" s="6" t="s">
        <v>20</v>
      </c>
      <c r="J2206" s="6">
        <v>2004.0</v>
      </c>
      <c r="K2206" s="10">
        <v>46024.0</v>
      </c>
      <c r="L2206" s="6">
        <v>1.0</v>
      </c>
      <c r="M2206" s="8">
        <f t="shared" si="3"/>
        <v>0.03</v>
      </c>
      <c r="P2206" s="9"/>
    </row>
    <row r="2207">
      <c r="A2207" s="6" t="s">
        <v>5369</v>
      </c>
      <c r="B2207" s="6" t="s">
        <v>5370</v>
      </c>
      <c r="C2207" s="6" t="s">
        <v>377</v>
      </c>
      <c r="D2207" s="6" t="s">
        <v>5371</v>
      </c>
      <c r="E2207" s="6" t="s">
        <v>164</v>
      </c>
      <c r="F2207" s="6" t="s">
        <v>112</v>
      </c>
      <c r="G2207" s="7">
        <v>0.09</v>
      </c>
      <c r="H2207" s="6" t="s">
        <v>1277</v>
      </c>
      <c r="I2207" s="6" t="s">
        <v>20</v>
      </c>
      <c r="J2207" s="6">
        <v>2004.0</v>
      </c>
      <c r="K2207" s="10">
        <v>46054.0</v>
      </c>
      <c r="L2207" s="6">
        <v>2.0</v>
      </c>
      <c r="M2207" s="8">
        <f t="shared" si="3"/>
        <v>0.18</v>
      </c>
      <c r="P2207" s="9"/>
    </row>
    <row r="2208">
      <c r="A2208" s="6" t="s">
        <v>5372</v>
      </c>
      <c r="B2208" s="6" t="s">
        <v>480</v>
      </c>
      <c r="C2208" s="6" t="s">
        <v>43</v>
      </c>
      <c r="D2208" s="6" t="s">
        <v>5373</v>
      </c>
      <c r="E2208" s="6" t="s">
        <v>176</v>
      </c>
      <c r="F2208" s="6" t="s">
        <v>77</v>
      </c>
      <c r="G2208" s="7">
        <v>0.17</v>
      </c>
      <c r="H2208" s="6" t="s">
        <v>136</v>
      </c>
      <c r="I2208" s="6" t="s">
        <v>20</v>
      </c>
      <c r="J2208" s="6">
        <v>2026.0</v>
      </c>
      <c r="K2208" s="10">
        <v>46025.0</v>
      </c>
      <c r="L2208" s="6">
        <v>2.0</v>
      </c>
      <c r="M2208" s="8">
        <f t="shared" si="3"/>
        <v>0.34</v>
      </c>
      <c r="P2208" s="9"/>
    </row>
    <row r="2209">
      <c r="A2209" s="6" t="s">
        <v>5374</v>
      </c>
      <c r="B2209" s="6" t="s">
        <v>1438</v>
      </c>
      <c r="C2209" s="6" t="s">
        <v>37</v>
      </c>
      <c r="D2209" s="6" t="s">
        <v>5375</v>
      </c>
      <c r="E2209" s="6" t="s">
        <v>135</v>
      </c>
      <c r="F2209" s="6" t="s">
        <v>40</v>
      </c>
      <c r="G2209" s="7">
        <v>0.05</v>
      </c>
      <c r="H2209" s="6" t="s">
        <v>475</v>
      </c>
      <c r="I2209" s="6" t="s">
        <v>20</v>
      </c>
      <c r="J2209" s="6">
        <v>2024.0</v>
      </c>
      <c r="K2209" s="10">
        <v>46024.0</v>
      </c>
      <c r="L2209" s="6">
        <v>1.0</v>
      </c>
      <c r="M2209" s="8">
        <f t="shared" si="3"/>
        <v>0.05</v>
      </c>
      <c r="P2209" s="9"/>
    </row>
    <row r="2210">
      <c r="A2210" s="6" t="s">
        <v>5376</v>
      </c>
      <c r="B2210" s="6" t="s">
        <v>721</v>
      </c>
      <c r="C2210" s="6" t="s">
        <v>43</v>
      </c>
      <c r="D2210" s="6" t="s">
        <v>5377</v>
      </c>
      <c r="F2210" s="6" t="s">
        <v>71</v>
      </c>
      <c r="G2210" s="7">
        <v>0.09</v>
      </c>
      <c r="H2210" s="6" t="s">
        <v>4785</v>
      </c>
      <c r="I2210" s="6" t="s">
        <v>20</v>
      </c>
      <c r="J2210" s="6">
        <v>2013.0</v>
      </c>
      <c r="L2210" s="6">
        <v>1.0</v>
      </c>
      <c r="M2210" s="8">
        <f t="shared" si="3"/>
        <v>0.09</v>
      </c>
      <c r="N2210" s="6" t="s">
        <v>374</v>
      </c>
      <c r="P2210" s="9"/>
    </row>
    <row r="2211">
      <c r="A2211" s="6" t="s">
        <v>5376</v>
      </c>
      <c r="B2211" s="6" t="s">
        <v>721</v>
      </c>
      <c r="C2211" s="6" t="s">
        <v>43</v>
      </c>
      <c r="D2211" s="6" t="s">
        <v>5377</v>
      </c>
      <c r="F2211" s="6" t="s">
        <v>71</v>
      </c>
      <c r="G2211" s="7">
        <v>0.09</v>
      </c>
      <c r="H2211" s="6" t="s">
        <v>431</v>
      </c>
      <c r="I2211" s="6" t="s">
        <v>20</v>
      </c>
      <c r="J2211" s="6">
        <v>2019.0</v>
      </c>
      <c r="L2211" s="6">
        <v>2.0</v>
      </c>
      <c r="M2211" s="8">
        <f t="shared" si="3"/>
        <v>0.18</v>
      </c>
      <c r="P2211" s="9"/>
    </row>
    <row r="2212">
      <c r="A2212" s="6" t="s">
        <v>5378</v>
      </c>
      <c r="B2212" s="6" t="s">
        <v>5379</v>
      </c>
      <c r="C2212" s="6" t="s">
        <v>37</v>
      </c>
      <c r="D2212" s="6" t="s">
        <v>5380</v>
      </c>
      <c r="E2212" s="6" t="s">
        <v>3679</v>
      </c>
      <c r="F2212" s="6" t="s">
        <v>71</v>
      </c>
      <c r="G2212" s="7">
        <v>0.23</v>
      </c>
      <c r="H2212" s="6" t="s">
        <v>270</v>
      </c>
      <c r="I2212" s="6" t="s">
        <v>45</v>
      </c>
      <c r="J2212" s="6">
        <v>2022.0</v>
      </c>
      <c r="K2212" s="10">
        <v>46023.0</v>
      </c>
      <c r="L2212" s="6">
        <v>1.0</v>
      </c>
      <c r="M2212" s="8">
        <f t="shared" si="3"/>
        <v>0.23</v>
      </c>
      <c r="P2212" s="9"/>
    </row>
    <row r="2213">
      <c r="A2213" s="6" t="s">
        <v>5381</v>
      </c>
      <c r="B2213" s="6" t="s">
        <v>5382</v>
      </c>
      <c r="C2213" s="6" t="s">
        <v>15</v>
      </c>
      <c r="D2213" s="6" t="s">
        <v>5383</v>
      </c>
      <c r="E2213" s="6" t="s">
        <v>5137</v>
      </c>
      <c r="F2213" s="6" t="s">
        <v>26</v>
      </c>
      <c r="G2213" s="7">
        <v>0.85</v>
      </c>
      <c r="H2213" s="6" t="s">
        <v>19</v>
      </c>
      <c r="I2213" s="6" t="s">
        <v>20</v>
      </c>
      <c r="J2213" s="6">
        <v>2023.0</v>
      </c>
      <c r="L2213" s="6">
        <v>1.0</v>
      </c>
      <c r="M2213" s="8">
        <f t="shared" si="3"/>
        <v>0.85</v>
      </c>
      <c r="P2213" s="9"/>
    </row>
    <row r="2214">
      <c r="A2214" s="6" t="s">
        <v>5384</v>
      </c>
      <c r="B2214" s="6" t="s">
        <v>396</v>
      </c>
      <c r="C2214" s="6" t="s">
        <v>37</v>
      </c>
      <c r="D2214" s="6" t="s">
        <v>5385</v>
      </c>
      <c r="E2214" s="6" t="s">
        <v>25</v>
      </c>
      <c r="F2214" s="6" t="s">
        <v>26</v>
      </c>
      <c r="G2214" s="7">
        <v>0.09</v>
      </c>
      <c r="H2214" s="6" t="s">
        <v>121</v>
      </c>
      <c r="I2214" s="6" t="s">
        <v>20</v>
      </c>
      <c r="J2214" s="6">
        <v>2021.0</v>
      </c>
      <c r="L2214" s="6">
        <v>1.0</v>
      </c>
      <c r="M2214" s="8">
        <f t="shared" si="3"/>
        <v>0.09</v>
      </c>
      <c r="P2214" s="9"/>
    </row>
    <row r="2215">
      <c r="A2215" s="6" t="s">
        <v>5386</v>
      </c>
      <c r="B2215" s="6" t="s">
        <v>5387</v>
      </c>
      <c r="C2215" s="6" t="s">
        <v>43</v>
      </c>
      <c r="D2215" s="6" t="s">
        <v>5388</v>
      </c>
      <c r="E2215" s="6" t="s">
        <v>329</v>
      </c>
      <c r="F2215" s="6" t="s">
        <v>112</v>
      </c>
      <c r="G2215" s="7">
        <v>0.08</v>
      </c>
      <c r="H2215" s="6" t="s">
        <v>34</v>
      </c>
      <c r="I2215" s="6" t="s">
        <v>20</v>
      </c>
      <c r="J2215" s="6">
        <v>2025.0</v>
      </c>
      <c r="K2215" s="10">
        <v>46025.0</v>
      </c>
      <c r="L2215" s="6">
        <v>3.0</v>
      </c>
      <c r="M2215" s="8">
        <f t="shared" si="3"/>
        <v>0.24</v>
      </c>
      <c r="P2215" s="9"/>
    </row>
    <row r="2216">
      <c r="A2216" s="6" t="s">
        <v>5389</v>
      </c>
      <c r="B2216" s="6" t="s">
        <v>5390</v>
      </c>
      <c r="C2216" s="6" t="s">
        <v>43</v>
      </c>
      <c r="D2216" s="6" t="s">
        <v>5391</v>
      </c>
      <c r="E2216" s="6" t="s">
        <v>107</v>
      </c>
      <c r="F2216" s="6" t="s">
        <v>18</v>
      </c>
      <c r="G2216" s="7">
        <v>0.1</v>
      </c>
      <c r="H2216" s="6" t="s">
        <v>34</v>
      </c>
      <c r="I2216" s="6" t="s">
        <v>20</v>
      </c>
      <c r="J2216" s="6">
        <v>2025.0</v>
      </c>
      <c r="K2216" s="10">
        <v>46024.0</v>
      </c>
      <c r="L2216" s="6">
        <v>1.0</v>
      </c>
      <c r="M2216" s="8">
        <f t="shared" si="3"/>
        <v>0.1</v>
      </c>
      <c r="P2216" s="9"/>
    </row>
    <row r="2217">
      <c r="A2217" s="6" t="s">
        <v>5392</v>
      </c>
      <c r="B2217" s="6" t="s">
        <v>74</v>
      </c>
      <c r="C2217" s="6" t="s">
        <v>43</v>
      </c>
      <c r="D2217" s="6" t="s">
        <v>5393</v>
      </c>
      <c r="E2217" s="6" t="s">
        <v>224</v>
      </c>
      <c r="F2217" s="6" t="s">
        <v>18</v>
      </c>
      <c r="G2217" s="7">
        <v>0.08</v>
      </c>
      <c r="H2217" s="6" t="s">
        <v>238</v>
      </c>
      <c r="I2217" s="6" t="s">
        <v>20</v>
      </c>
      <c r="J2217" s="6">
        <v>2024.0</v>
      </c>
      <c r="L2217" s="6">
        <v>1.0</v>
      </c>
      <c r="M2217" s="8">
        <f t="shared" si="3"/>
        <v>0.08</v>
      </c>
      <c r="P2217" s="9"/>
    </row>
    <row r="2218">
      <c r="A2218" s="6" t="s">
        <v>5394</v>
      </c>
      <c r="B2218" s="6" t="s">
        <v>5395</v>
      </c>
      <c r="C2218" s="6" t="s">
        <v>37</v>
      </c>
      <c r="D2218" s="6" t="s">
        <v>5396</v>
      </c>
      <c r="E2218" s="6" t="s">
        <v>329</v>
      </c>
      <c r="F2218" s="6" t="s">
        <v>112</v>
      </c>
      <c r="G2218" s="7">
        <v>0.1</v>
      </c>
      <c r="H2218" s="6" t="s">
        <v>160</v>
      </c>
      <c r="I2218" s="6" t="s">
        <v>20</v>
      </c>
      <c r="J2218" s="6">
        <v>2024.0</v>
      </c>
      <c r="K2218" s="10">
        <v>46054.0</v>
      </c>
      <c r="L2218" s="6">
        <v>2.0</v>
      </c>
      <c r="M2218" s="8">
        <f t="shared" si="3"/>
        <v>0.2</v>
      </c>
      <c r="P2218" s="9"/>
    </row>
    <row r="2219">
      <c r="A2219" s="6" t="s">
        <v>5397</v>
      </c>
      <c r="B2219" s="6" t="s">
        <v>138</v>
      </c>
      <c r="C2219" s="6" t="s">
        <v>15</v>
      </c>
      <c r="D2219" s="6" t="s">
        <v>5398</v>
      </c>
      <c r="E2219" s="6" t="s">
        <v>2959</v>
      </c>
      <c r="F2219" s="6" t="s">
        <v>1811</v>
      </c>
      <c r="G2219" s="7">
        <v>0.21</v>
      </c>
      <c r="H2219" s="6" t="s">
        <v>5399</v>
      </c>
      <c r="I2219" s="6" t="s">
        <v>20</v>
      </c>
      <c r="J2219" s="6">
        <v>2025.0</v>
      </c>
      <c r="L2219" s="6">
        <v>1.0</v>
      </c>
      <c r="M2219" s="8">
        <f t="shared" si="3"/>
        <v>0.21</v>
      </c>
      <c r="P2219" s="9"/>
    </row>
    <row r="2220">
      <c r="A2220" s="6" t="s">
        <v>5400</v>
      </c>
      <c r="B2220" s="6" t="s">
        <v>162</v>
      </c>
      <c r="C2220" s="6" t="s">
        <v>3325</v>
      </c>
      <c r="D2220" s="6" t="s">
        <v>5401</v>
      </c>
      <c r="E2220" s="6" t="s">
        <v>111</v>
      </c>
      <c r="F2220" s="6" t="s">
        <v>112</v>
      </c>
      <c r="G2220" s="7">
        <v>0.5</v>
      </c>
      <c r="H2220" s="6" t="s">
        <v>211</v>
      </c>
      <c r="I2220" s="6" t="s">
        <v>20</v>
      </c>
      <c r="J2220" s="6">
        <v>2010.0</v>
      </c>
      <c r="L2220" s="6">
        <v>1.0</v>
      </c>
      <c r="M2220" s="8">
        <f t="shared" si="3"/>
        <v>0.5</v>
      </c>
      <c r="P2220" s="9"/>
    </row>
    <row r="2221">
      <c r="A2221" s="6" t="s">
        <v>5402</v>
      </c>
      <c r="B2221" s="6" t="s">
        <v>5403</v>
      </c>
      <c r="C2221" s="6" t="s">
        <v>37</v>
      </c>
      <c r="D2221" s="6" t="s">
        <v>5404</v>
      </c>
      <c r="E2221" s="6" t="s">
        <v>179</v>
      </c>
      <c r="F2221" s="6" t="s">
        <v>112</v>
      </c>
      <c r="G2221" s="7">
        <v>0.35</v>
      </c>
      <c r="H2221" s="6" t="s">
        <v>113</v>
      </c>
      <c r="I2221" s="6" t="s">
        <v>20</v>
      </c>
      <c r="J2221" s="6">
        <v>2023.0</v>
      </c>
      <c r="K2221" s="10">
        <v>46054.0</v>
      </c>
      <c r="L2221" s="6">
        <v>1.0</v>
      </c>
      <c r="M2221" s="8">
        <f t="shared" si="3"/>
        <v>0.35</v>
      </c>
      <c r="P2221" s="9"/>
    </row>
    <row r="2222">
      <c r="A2222" s="6" t="s">
        <v>5405</v>
      </c>
      <c r="B2222" s="6" t="s">
        <v>1398</v>
      </c>
      <c r="C2222" s="6" t="s">
        <v>43</v>
      </c>
      <c r="D2222" s="6" t="s">
        <v>5406</v>
      </c>
      <c r="E2222" s="6" t="s">
        <v>25</v>
      </c>
      <c r="F2222" s="6" t="s">
        <v>26</v>
      </c>
      <c r="G2222" s="7">
        <v>0.06</v>
      </c>
      <c r="H2222" s="6" t="s">
        <v>104</v>
      </c>
      <c r="I2222" s="6" t="s">
        <v>20</v>
      </c>
      <c r="J2222" s="6">
        <v>2019.0</v>
      </c>
      <c r="L2222" s="6">
        <v>1.0</v>
      </c>
      <c r="M2222" s="8">
        <f t="shared" si="3"/>
        <v>0.06</v>
      </c>
      <c r="P2222" s="9"/>
    </row>
    <row r="2223">
      <c r="A2223" s="6" t="s">
        <v>5407</v>
      </c>
      <c r="B2223" s="6" t="s">
        <v>4612</v>
      </c>
      <c r="C2223" s="6" t="s">
        <v>43</v>
      </c>
      <c r="D2223" s="6" t="s">
        <v>5408</v>
      </c>
      <c r="E2223" s="6" t="s">
        <v>57</v>
      </c>
      <c r="F2223" s="6" t="s">
        <v>40</v>
      </c>
      <c r="G2223" s="7">
        <v>0.29</v>
      </c>
      <c r="H2223" s="6" t="s">
        <v>72</v>
      </c>
      <c r="I2223" s="6" t="s">
        <v>45</v>
      </c>
      <c r="J2223" s="6">
        <v>2026.0</v>
      </c>
      <c r="K2223" s="10">
        <v>46083.0</v>
      </c>
      <c r="L2223" s="6">
        <v>1.0</v>
      </c>
      <c r="M2223" s="8">
        <f t="shared" si="3"/>
        <v>0.29</v>
      </c>
      <c r="P2223" s="9"/>
    </row>
    <row r="2224">
      <c r="A2224" s="6" t="s">
        <v>5407</v>
      </c>
      <c r="B2224" s="6" t="s">
        <v>4612</v>
      </c>
      <c r="C2224" s="6" t="s">
        <v>43</v>
      </c>
      <c r="D2224" s="6" t="s">
        <v>5408</v>
      </c>
      <c r="E2224" s="6" t="s">
        <v>57</v>
      </c>
      <c r="F2224" s="6" t="s">
        <v>40</v>
      </c>
      <c r="G2224" s="7">
        <v>0.07</v>
      </c>
      <c r="H2224" s="6" t="s">
        <v>72</v>
      </c>
      <c r="I2224" s="6" t="s">
        <v>45</v>
      </c>
      <c r="J2224" s="6">
        <v>2026.0</v>
      </c>
      <c r="K2224" s="10">
        <v>46083.0</v>
      </c>
      <c r="L2224" s="6">
        <v>3.0</v>
      </c>
      <c r="M2224" s="8">
        <f t="shared" si="3"/>
        <v>0.21</v>
      </c>
      <c r="P2224" s="9"/>
    </row>
    <row r="2225">
      <c r="A2225" s="6" t="s">
        <v>5409</v>
      </c>
      <c r="B2225" s="6" t="s">
        <v>5410</v>
      </c>
      <c r="C2225" s="6" t="s">
        <v>43</v>
      </c>
      <c r="D2225" s="6" t="s">
        <v>5411</v>
      </c>
      <c r="E2225" s="6" t="s">
        <v>5412</v>
      </c>
      <c r="F2225" s="6" t="s">
        <v>71</v>
      </c>
      <c r="G2225" s="7">
        <v>0.05</v>
      </c>
      <c r="H2225" s="6" t="s">
        <v>4045</v>
      </c>
      <c r="I2225" s="6" t="s">
        <v>20</v>
      </c>
      <c r="J2225" s="6">
        <v>2021.0</v>
      </c>
      <c r="K2225" s="10">
        <v>46084.0</v>
      </c>
      <c r="L2225" s="6">
        <v>2.0</v>
      </c>
      <c r="M2225" s="8">
        <f t="shared" si="3"/>
        <v>0.1</v>
      </c>
      <c r="P2225" s="9"/>
    </row>
    <row r="2226">
      <c r="A2226" s="6" t="s">
        <v>5413</v>
      </c>
      <c r="B2226" s="6" t="s">
        <v>494</v>
      </c>
      <c r="C2226" s="6" t="s">
        <v>43</v>
      </c>
      <c r="D2226" s="6" t="s">
        <v>1184</v>
      </c>
      <c r="E2226" s="6" t="s">
        <v>135</v>
      </c>
      <c r="F2226" s="6" t="s">
        <v>40</v>
      </c>
      <c r="G2226" s="7">
        <v>0.06</v>
      </c>
      <c r="H2226" s="6" t="s">
        <v>336</v>
      </c>
      <c r="I2226" s="6" t="s">
        <v>20</v>
      </c>
      <c r="J2226" s="6">
        <v>2020.0</v>
      </c>
      <c r="L2226" s="6">
        <v>4.0</v>
      </c>
      <c r="M2226" s="8">
        <f t="shared" si="3"/>
        <v>0.24</v>
      </c>
      <c r="P2226" s="9"/>
    </row>
    <row r="2227">
      <c r="A2227" s="6" t="s">
        <v>5414</v>
      </c>
      <c r="B2227" s="6" t="s">
        <v>619</v>
      </c>
      <c r="C2227" s="6" t="s">
        <v>30</v>
      </c>
      <c r="D2227" s="6" t="s">
        <v>5415</v>
      </c>
      <c r="E2227" s="6" t="s">
        <v>1486</v>
      </c>
      <c r="F2227" s="6" t="s">
        <v>87</v>
      </c>
      <c r="G2227" s="7">
        <v>0.65</v>
      </c>
      <c r="H2227" s="6" t="s">
        <v>903</v>
      </c>
      <c r="I2227" s="6" t="s">
        <v>45</v>
      </c>
      <c r="J2227" s="6">
        <v>2016.0</v>
      </c>
      <c r="K2227" s="10">
        <v>46147.0</v>
      </c>
      <c r="L2227" s="6">
        <v>1.0</v>
      </c>
      <c r="M2227" s="8">
        <f t="shared" si="3"/>
        <v>0.65</v>
      </c>
      <c r="P2227" s="9"/>
    </row>
    <row r="2228">
      <c r="A2228" s="6" t="s">
        <v>5416</v>
      </c>
      <c r="B2228" s="6" t="s">
        <v>1548</v>
      </c>
      <c r="C2228" s="6" t="s">
        <v>366</v>
      </c>
      <c r="D2228" s="6" t="s">
        <v>5417</v>
      </c>
      <c r="E2228" s="6" t="s">
        <v>1131</v>
      </c>
      <c r="F2228" s="6" t="s">
        <v>87</v>
      </c>
      <c r="G2228" s="7">
        <v>0.72</v>
      </c>
      <c r="H2228" s="6" t="s">
        <v>780</v>
      </c>
      <c r="I2228" s="6" t="s">
        <v>20</v>
      </c>
      <c r="J2228" s="6">
        <v>2025.0</v>
      </c>
      <c r="L2228" s="6">
        <v>1.0</v>
      </c>
      <c r="M2228" s="8">
        <f t="shared" si="3"/>
        <v>0.72</v>
      </c>
      <c r="P2228" s="9"/>
    </row>
    <row r="2229">
      <c r="A2229" s="6" t="s">
        <v>5418</v>
      </c>
      <c r="B2229" s="6" t="s">
        <v>1174</v>
      </c>
      <c r="C2229" s="6" t="s">
        <v>37</v>
      </c>
      <c r="D2229" s="6" t="s">
        <v>5419</v>
      </c>
      <c r="E2229" s="6" t="s">
        <v>5420</v>
      </c>
      <c r="F2229" s="6" t="s">
        <v>87</v>
      </c>
      <c r="G2229" s="7">
        <v>0.1</v>
      </c>
      <c r="H2229" s="6" t="s">
        <v>475</v>
      </c>
      <c r="I2229" s="6" t="s">
        <v>20</v>
      </c>
      <c r="J2229" s="6">
        <v>2024.0</v>
      </c>
      <c r="L2229" s="6">
        <v>1.0</v>
      </c>
      <c r="M2229" s="8">
        <f t="shared" si="3"/>
        <v>0.1</v>
      </c>
      <c r="P2229" s="9"/>
    </row>
    <row r="2230">
      <c r="A2230" s="6" t="s">
        <v>5421</v>
      </c>
      <c r="B2230" s="6" t="s">
        <v>789</v>
      </c>
      <c r="C2230" s="6" t="s">
        <v>23</v>
      </c>
      <c r="D2230" s="6" t="s">
        <v>5422</v>
      </c>
      <c r="E2230" s="6" t="s">
        <v>2010</v>
      </c>
      <c r="F2230" s="6" t="s">
        <v>40</v>
      </c>
      <c r="G2230" s="7">
        <v>0.4</v>
      </c>
      <c r="H2230" s="6" t="s">
        <v>3143</v>
      </c>
      <c r="I2230" s="6" t="s">
        <v>45</v>
      </c>
      <c r="J2230" s="6">
        <v>2025.0</v>
      </c>
      <c r="L2230" s="6">
        <v>1.0</v>
      </c>
      <c r="M2230" s="8">
        <f t="shared" si="3"/>
        <v>0.4</v>
      </c>
      <c r="P2230" s="9"/>
    </row>
    <row r="2231">
      <c r="A2231" s="6" t="s">
        <v>5421</v>
      </c>
      <c r="B2231" s="6" t="s">
        <v>789</v>
      </c>
      <c r="C2231" s="6" t="s">
        <v>23</v>
      </c>
      <c r="D2231" s="6" t="s">
        <v>5422</v>
      </c>
      <c r="E2231" s="6" t="s">
        <v>2010</v>
      </c>
      <c r="F2231" s="6" t="s">
        <v>40</v>
      </c>
      <c r="G2231" s="7">
        <v>0.05</v>
      </c>
      <c r="H2231" s="6" t="s">
        <v>3143</v>
      </c>
      <c r="I2231" s="6" t="s">
        <v>5423</v>
      </c>
      <c r="J2231" s="6">
        <v>2025.0</v>
      </c>
      <c r="L2231" s="6">
        <v>11.0</v>
      </c>
      <c r="M2231" s="8">
        <f t="shared" si="3"/>
        <v>0.55</v>
      </c>
      <c r="P2231" s="9"/>
    </row>
    <row r="2232">
      <c r="A2232" s="6" t="s">
        <v>5424</v>
      </c>
      <c r="B2232" s="6" t="s">
        <v>138</v>
      </c>
      <c r="C2232" s="6" t="s">
        <v>43</v>
      </c>
      <c r="D2232" s="6" t="s">
        <v>5425</v>
      </c>
      <c r="E2232" s="6" t="s">
        <v>140</v>
      </c>
      <c r="F2232" s="6" t="s">
        <v>87</v>
      </c>
      <c r="G2232" s="7">
        <v>0.05</v>
      </c>
      <c r="H2232" s="6" t="s">
        <v>187</v>
      </c>
      <c r="I2232" s="6" t="s">
        <v>20</v>
      </c>
      <c r="J2232" s="6">
        <v>1995.0</v>
      </c>
      <c r="L2232" s="6">
        <v>3.0</v>
      </c>
      <c r="M2232" s="8">
        <f t="shared" si="3"/>
        <v>0.15</v>
      </c>
      <c r="P2232" s="9"/>
    </row>
    <row r="2233">
      <c r="A2233" s="6" t="s">
        <v>5426</v>
      </c>
      <c r="B2233" s="6" t="s">
        <v>219</v>
      </c>
      <c r="C2233" s="6" t="s">
        <v>43</v>
      </c>
      <c r="D2233" s="6" t="s">
        <v>5427</v>
      </c>
      <c r="E2233" s="6" t="s">
        <v>185</v>
      </c>
      <c r="F2233" s="6" t="s">
        <v>26</v>
      </c>
      <c r="G2233" s="7">
        <v>0.06</v>
      </c>
      <c r="H2233" s="6" t="s">
        <v>382</v>
      </c>
      <c r="I2233" s="6" t="s">
        <v>20</v>
      </c>
      <c r="J2233" s="6">
        <v>2020.0</v>
      </c>
      <c r="L2233" s="6">
        <v>1.0</v>
      </c>
      <c r="M2233" s="8">
        <f t="shared" si="3"/>
        <v>0.06</v>
      </c>
      <c r="P2233" s="9"/>
    </row>
    <row r="2234">
      <c r="A2234" s="6" t="s">
        <v>5428</v>
      </c>
      <c r="B2234" s="6" t="s">
        <v>254</v>
      </c>
      <c r="C2234" s="6" t="s">
        <v>43</v>
      </c>
      <c r="D2234" s="6" t="s">
        <v>5429</v>
      </c>
      <c r="E2234" s="6" t="s">
        <v>117</v>
      </c>
      <c r="F2234" s="6" t="s">
        <v>77</v>
      </c>
      <c r="G2234" s="7">
        <v>0.05</v>
      </c>
      <c r="H2234" s="6" t="s">
        <v>83</v>
      </c>
      <c r="I2234" s="6" t="s">
        <v>20</v>
      </c>
      <c r="J2234" s="6">
        <v>1995.0</v>
      </c>
      <c r="L2234" s="6">
        <v>2.0</v>
      </c>
      <c r="M2234" s="8">
        <f t="shared" si="3"/>
        <v>0.1</v>
      </c>
      <c r="P2234" s="9"/>
    </row>
    <row r="2235">
      <c r="A2235" s="6" t="s">
        <v>5428</v>
      </c>
      <c r="B2235" s="6" t="s">
        <v>254</v>
      </c>
      <c r="C2235" s="6" t="s">
        <v>43</v>
      </c>
      <c r="D2235" s="6" t="s">
        <v>5429</v>
      </c>
      <c r="E2235" s="6" t="s">
        <v>117</v>
      </c>
      <c r="F2235" s="6" t="s">
        <v>77</v>
      </c>
      <c r="G2235" s="7">
        <v>0.12</v>
      </c>
      <c r="H2235" s="6" t="s">
        <v>1064</v>
      </c>
      <c r="I2235" s="6" t="s">
        <v>20</v>
      </c>
      <c r="J2235" s="6">
        <v>1995.0</v>
      </c>
      <c r="L2235" s="6">
        <v>2.0</v>
      </c>
      <c r="M2235" s="8">
        <f t="shared" si="3"/>
        <v>0.24</v>
      </c>
      <c r="P2235" s="9"/>
    </row>
    <row r="2236">
      <c r="A2236" s="6" t="s">
        <v>5428</v>
      </c>
      <c r="B2236" s="6" t="s">
        <v>254</v>
      </c>
      <c r="C2236" s="6" t="s">
        <v>43</v>
      </c>
      <c r="D2236" s="6" t="s">
        <v>5429</v>
      </c>
      <c r="E2236" s="6" t="s">
        <v>117</v>
      </c>
      <c r="F2236" s="6" t="s">
        <v>77</v>
      </c>
      <c r="G2236" s="7">
        <v>0.48</v>
      </c>
      <c r="H2236" s="6" t="s">
        <v>453</v>
      </c>
      <c r="I2236" s="6" t="s">
        <v>20</v>
      </c>
      <c r="J2236" s="6">
        <v>1994.0</v>
      </c>
      <c r="L2236" s="6">
        <v>2.0</v>
      </c>
      <c r="M2236" s="8">
        <f t="shared" si="3"/>
        <v>0.96</v>
      </c>
      <c r="P2236" s="9"/>
    </row>
    <row r="2237">
      <c r="A2237" s="6" t="s">
        <v>5430</v>
      </c>
      <c r="B2237" s="6" t="s">
        <v>5431</v>
      </c>
      <c r="C2237" s="6" t="s">
        <v>37</v>
      </c>
      <c r="D2237" s="6" t="s">
        <v>5432</v>
      </c>
      <c r="E2237" s="6" t="s">
        <v>76</v>
      </c>
      <c r="F2237" s="6" t="s">
        <v>77</v>
      </c>
      <c r="G2237" s="7">
        <v>0.16</v>
      </c>
      <c r="H2237" s="6" t="s">
        <v>136</v>
      </c>
      <c r="I2237" s="6" t="s">
        <v>20</v>
      </c>
      <c r="J2237" s="6">
        <v>2026.0</v>
      </c>
      <c r="K2237" s="10">
        <v>46055.0</v>
      </c>
      <c r="L2237" s="6">
        <v>2.0</v>
      </c>
      <c r="M2237" s="8">
        <f t="shared" si="3"/>
        <v>0.32</v>
      </c>
      <c r="P2237" s="9"/>
    </row>
    <row r="2238">
      <c r="A2238" s="6" t="s">
        <v>5433</v>
      </c>
      <c r="B2238" s="6" t="s">
        <v>371</v>
      </c>
      <c r="C2238" s="6" t="s">
        <v>43</v>
      </c>
      <c r="D2238" s="6" t="s">
        <v>5434</v>
      </c>
      <c r="E2238" s="6" t="s">
        <v>135</v>
      </c>
      <c r="F2238" s="6" t="s">
        <v>40</v>
      </c>
      <c r="G2238" s="7">
        <v>0.06</v>
      </c>
      <c r="H2238" s="6" t="s">
        <v>89</v>
      </c>
      <c r="I2238" s="6" t="s">
        <v>20</v>
      </c>
      <c r="J2238" s="6">
        <v>2021.0</v>
      </c>
      <c r="K2238" s="10">
        <v>46054.0</v>
      </c>
      <c r="L2238" s="6">
        <v>1.0</v>
      </c>
      <c r="M2238" s="8">
        <f t="shared" si="3"/>
        <v>0.06</v>
      </c>
      <c r="P2238" s="9"/>
    </row>
    <row r="2239">
      <c r="A2239" s="6" t="s">
        <v>5435</v>
      </c>
      <c r="B2239" s="6" t="s">
        <v>5436</v>
      </c>
      <c r="C2239" s="6" t="s">
        <v>37</v>
      </c>
      <c r="D2239" s="6" t="s">
        <v>5437</v>
      </c>
      <c r="E2239" s="6" t="s">
        <v>248</v>
      </c>
      <c r="F2239" s="6" t="s">
        <v>77</v>
      </c>
      <c r="G2239" s="7">
        <v>0.14</v>
      </c>
      <c r="H2239" s="6" t="s">
        <v>651</v>
      </c>
      <c r="I2239" s="6" t="s">
        <v>20</v>
      </c>
      <c r="J2239" s="6">
        <v>2022.0</v>
      </c>
      <c r="K2239" s="10">
        <v>46055.0</v>
      </c>
      <c r="L2239" s="6">
        <v>1.0</v>
      </c>
      <c r="M2239" s="8">
        <f t="shared" si="3"/>
        <v>0.14</v>
      </c>
      <c r="P2239" s="9"/>
    </row>
    <row r="2240">
      <c r="A2240" s="6" t="s">
        <v>5438</v>
      </c>
      <c r="B2240" s="6" t="s">
        <v>254</v>
      </c>
      <c r="C2240" s="6" t="s">
        <v>43</v>
      </c>
      <c r="D2240" s="6" t="s">
        <v>5439</v>
      </c>
      <c r="E2240" s="6" t="s">
        <v>135</v>
      </c>
      <c r="F2240" s="6" t="s">
        <v>40</v>
      </c>
      <c r="G2240" s="7">
        <v>0.05</v>
      </c>
      <c r="H2240" s="6" t="s">
        <v>34</v>
      </c>
      <c r="I2240" s="6" t="s">
        <v>20</v>
      </c>
      <c r="J2240" s="6">
        <v>2025.0</v>
      </c>
      <c r="L2240" s="6">
        <v>1.0</v>
      </c>
      <c r="M2240" s="8">
        <f t="shared" si="3"/>
        <v>0.05</v>
      </c>
      <c r="P2240" s="9"/>
    </row>
    <row r="2241">
      <c r="A2241" s="6" t="s">
        <v>5438</v>
      </c>
      <c r="B2241" s="6" t="s">
        <v>254</v>
      </c>
      <c r="C2241" s="6" t="s">
        <v>43</v>
      </c>
      <c r="D2241" s="6" t="s">
        <v>5439</v>
      </c>
      <c r="E2241" s="6" t="s">
        <v>135</v>
      </c>
      <c r="F2241" s="6" t="s">
        <v>40</v>
      </c>
      <c r="G2241" s="7">
        <v>0.05</v>
      </c>
      <c r="H2241" s="6" t="s">
        <v>34</v>
      </c>
      <c r="I2241" s="6" t="s">
        <v>20</v>
      </c>
      <c r="J2241" s="6">
        <v>2025.0</v>
      </c>
      <c r="L2241" s="6">
        <v>3.0</v>
      </c>
      <c r="M2241" s="8">
        <f t="shared" si="3"/>
        <v>0.15</v>
      </c>
      <c r="P2241" s="9"/>
    </row>
    <row r="2242">
      <c r="A2242" s="6" t="s">
        <v>5440</v>
      </c>
      <c r="B2242" s="6" t="s">
        <v>74</v>
      </c>
      <c r="C2242" s="6" t="s">
        <v>43</v>
      </c>
      <c r="D2242" s="6" t="s">
        <v>5441</v>
      </c>
      <c r="E2242" s="6" t="s">
        <v>39</v>
      </c>
      <c r="F2242" s="6" t="s">
        <v>40</v>
      </c>
      <c r="G2242" s="7">
        <v>0.41</v>
      </c>
      <c r="H2242" s="6" t="s">
        <v>1185</v>
      </c>
      <c r="I2242" s="6" t="s">
        <v>20</v>
      </c>
      <c r="J2242" s="6">
        <v>2007.0</v>
      </c>
      <c r="L2242" s="6">
        <v>2.0</v>
      </c>
      <c r="M2242" s="8">
        <f t="shared" si="3"/>
        <v>0.82</v>
      </c>
      <c r="P2242" s="9"/>
    </row>
    <row r="2243">
      <c r="A2243" s="6" t="s">
        <v>5442</v>
      </c>
      <c r="B2243" s="6" t="s">
        <v>74</v>
      </c>
      <c r="C2243" s="6" t="s">
        <v>43</v>
      </c>
      <c r="D2243" s="6" t="s">
        <v>5443</v>
      </c>
      <c r="E2243" s="6" t="s">
        <v>125</v>
      </c>
      <c r="F2243" s="6" t="s">
        <v>40</v>
      </c>
      <c r="G2243" s="7">
        <v>0.05</v>
      </c>
      <c r="H2243" s="6" t="s">
        <v>283</v>
      </c>
      <c r="I2243" s="6" t="s">
        <v>20</v>
      </c>
      <c r="J2243" s="6">
        <v>2013.0</v>
      </c>
      <c r="L2243" s="6">
        <v>1.0</v>
      </c>
      <c r="M2243" s="8">
        <f t="shared" si="3"/>
        <v>0.05</v>
      </c>
      <c r="P2243" s="9"/>
    </row>
    <row r="2244">
      <c r="A2244" s="6" t="s">
        <v>5444</v>
      </c>
      <c r="B2244" s="6" t="s">
        <v>1359</v>
      </c>
      <c r="C2244" s="6" t="s">
        <v>43</v>
      </c>
      <c r="D2244" s="6" t="s">
        <v>5445</v>
      </c>
      <c r="E2244" s="6" t="s">
        <v>57</v>
      </c>
      <c r="F2244" s="6" t="s">
        <v>40</v>
      </c>
      <c r="G2244" s="7">
        <v>0.17</v>
      </c>
      <c r="H2244" s="6" t="s">
        <v>313</v>
      </c>
      <c r="I2244" s="6" t="s">
        <v>20</v>
      </c>
      <c r="J2244" s="6">
        <v>1995.0</v>
      </c>
      <c r="K2244" s="10">
        <v>46055.0</v>
      </c>
      <c r="L2244" s="6">
        <v>1.0</v>
      </c>
      <c r="M2244" s="8">
        <f t="shared" si="3"/>
        <v>0.17</v>
      </c>
      <c r="P2244" s="9"/>
    </row>
    <row r="2245">
      <c r="A2245" s="6" t="s">
        <v>5446</v>
      </c>
      <c r="B2245" s="6" t="s">
        <v>219</v>
      </c>
      <c r="C2245" s="6" t="s">
        <v>43</v>
      </c>
      <c r="D2245" s="6" t="s">
        <v>5447</v>
      </c>
      <c r="E2245" s="6" t="s">
        <v>526</v>
      </c>
      <c r="F2245" s="6" t="s">
        <v>26</v>
      </c>
      <c r="G2245" s="7">
        <v>0.07</v>
      </c>
      <c r="H2245" s="6" t="s">
        <v>582</v>
      </c>
      <c r="I2245" s="6" t="s">
        <v>20</v>
      </c>
      <c r="J2245" s="6">
        <v>2023.0</v>
      </c>
      <c r="L2245" s="6">
        <v>1.0</v>
      </c>
      <c r="M2245" s="8">
        <f t="shared" si="3"/>
        <v>0.07</v>
      </c>
      <c r="P2245" s="9"/>
    </row>
    <row r="2246">
      <c r="A2246" s="6" t="s">
        <v>5448</v>
      </c>
      <c r="B2246" s="6" t="s">
        <v>1095</v>
      </c>
      <c r="C2246" s="6" t="s">
        <v>37</v>
      </c>
      <c r="D2246" s="6" t="s">
        <v>5449</v>
      </c>
      <c r="E2246" s="6" t="s">
        <v>579</v>
      </c>
      <c r="F2246" s="6" t="s">
        <v>112</v>
      </c>
      <c r="G2246" s="7">
        <v>0.03</v>
      </c>
      <c r="H2246" s="6" t="s">
        <v>1776</v>
      </c>
      <c r="I2246" s="6" t="s">
        <v>20</v>
      </c>
      <c r="J2246" s="6">
        <v>2017.0</v>
      </c>
      <c r="K2246" s="10">
        <v>46056.0</v>
      </c>
      <c r="L2246" s="6">
        <v>1.0</v>
      </c>
      <c r="M2246" s="8">
        <f t="shared" si="3"/>
        <v>0.03</v>
      </c>
      <c r="P2246" s="9"/>
    </row>
    <row r="2247">
      <c r="A2247" s="6" t="s">
        <v>5450</v>
      </c>
      <c r="B2247" s="6" t="s">
        <v>219</v>
      </c>
      <c r="C2247" s="6" t="s">
        <v>30</v>
      </c>
      <c r="D2247" s="6" t="s">
        <v>5451</v>
      </c>
      <c r="E2247" s="6" t="s">
        <v>994</v>
      </c>
      <c r="F2247" s="6" t="s">
        <v>26</v>
      </c>
      <c r="G2247" s="7">
        <v>0.31</v>
      </c>
      <c r="H2247" s="6" t="s">
        <v>187</v>
      </c>
      <c r="I2247" s="6" t="s">
        <v>20</v>
      </c>
      <c r="J2247" s="6">
        <v>1995.0</v>
      </c>
      <c r="L2247" s="6">
        <v>1.0</v>
      </c>
      <c r="M2247" s="8">
        <f t="shared" si="3"/>
        <v>0.31</v>
      </c>
      <c r="P2247" s="9"/>
    </row>
    <row r="2248">
      <c r="A2248" s="6" t="s">
        <v>5452</v>
      </c>
      <c r="B2248" s="6" t="s">
        <v>292</v>
      </c>
      <c r="C2248" s="6" t="s">
        <v>183</v>
      </c>
      <c r="D2248" s="6" t="s">
        <v>5453</v>
      </c>
      <c r="E2248" s="6" t="s">
        <v>5454</v>
      </c>
      <c r="F2248" s="6" t="s">
        <v>5455</v>
      </c>
      <c r="G2248" s="7">
        <v>0.08</v>
      </c>
      <c r="H2248" s="6" t="s">
        <v>4785</v>
      </c>
      <c r="I2248" s="6" t="s">
        <v>20</v>
      </c>
      <c r="J2248" s="6">
        <v>2013.0</v>
      </c>
      <c r="L2248" s="6">
        <v>2.0</v>
      </c>
      <c r="M2248" s="8">
        <f t="shared" si="3"/>
        <v>0.16</v>
      </c>
      <c r="P2248" s="9"/>
    </row>
    <row r="2249">
      <c r="A2249" s="6" t="s">
        <v>5456</v>
      </c>
      <c r="B2249" s="6" t="s">
        <v>4836</v>
      </c>
      <c r="C2249" s="6" t="s">
        <v>15</v>
      </c>
      <c r="D2249" s="6" t="s">
        <v>5457</v>
      </c>
      <c r="E2249" s="6" t="s">
        <v>457</v>
      </c>
      <c r="F2249" s="6" t="s">
        <v>112</v>
      </c>
      <c r="G2249" s="7">
        <v>1.01</v>
      </c>
      <c r="H2249" s="6" t="s">
        <v>19</v>
      </c>
      <c r="I2249" s="6" t="s">
        <v>20</v>
      </c>
      <c r="J2249" s="6">
        <v>2023.0</v>
      </c>
      <c r="K2249" s="10">
        <v>46083.0</v>
      </c>
      <c r="L2249" s="6">
        <v>2.0</v>
      </c>
      <c r="M2249" s="8">
        <f t="shared" si="3"/>
        <v>2.02</v>
      </c>
      <c r="P2249" s="9"/>
    </row>
    <row r="2250">
      <c r="A2250" s="6" t="s">
        <v>5458</v>
      </c>
      <c r="B2250" s="6" t="s">
        <v>462</v>
      </c>
      <c r="C2250" s="6" t="s">
        <v>418</v>
      </c>
      <c r="D2250" s="6" t="s">
        <v>5459</v>
      </c>
      <c r="E2250" s="6" t="s">
        <v>248</v>
      </c>
      <c r="F2250" s="6" t="s">
        <v>77</v>
      </c>
      <c r="G2250" s="7">
        <v>0.08</v>
      </c>
      <c r="H2250" s="6" t="s">
        <v>471</v>
      </c>
      <c r="I2250" s="6" t="s">
        <v>20</v>
      </c>
      <c r="J2250" s="6">
        <v>2026.0</v>
      </c>
      <c r="L2250" s="6">
        <v>1.0</v>
      </c>
      <c r="M2250" s="8">
        <f t="shared" si="3"/>
        <v>0.08</v>
      </c>
      <c r="P2250" s="9"/>
    </row>
    <row r="2251">
      <c r="A2251" s="6" t="s">
        <v>5460</v>
      </c>
      <c r="B2251" s="6" t="s">
        <v>5461</v>
      </c>
      <c r="C2251" s="6" t="s">
        <v>30</v>
      </c>
      <c r="D2251" s="6" t="s">
        <v>5462</v>
      </c>
      <c r="E2251" s="6" t="s">
        <v>654</v>
      </c>
      <c r="F2251" s="6" t="s">
        <v>18</v>
      </c>
      <c r="G2251" s="7">
        <v>0.4</v>
      </c>
      <c r="H2251" s="6" t="s">
        <v>1511</v>
      </c>
      <c r="I2251" s="6" t="s">
        <v>20</v>
      </c>
      <c r="J2251" s="6">
        <v>2014.0</v>
      </c>
      <c r="K2251" s="10">
        <v>46084.0</v>
      </c>
      <c r="L2251" s="6">
        <v>1.0</v>
      </c>
      <c r="M2251" s="8">
        <f t="shared" si="3"/>
        <v>0.4</v>
      </c>
      <c r="P2251" s="9"/>
    </row>
    <row r="2252">
      <c r="A2252" s="6" t="s">
        <v>5463</v>
      </c>
      <c r="B2252" s="6" t="s">
        <v>5464</v>
      </c>
      <c r="C2252" s="6" t="s">
        <v>37</v>
      </c>
      <c r="D2252" s="6" t="s">
        <v>5465</v>
      </c>
      <c r="E2252" s="6" t="s">
        <v>76</v>
      </c>
      <c r="F2252" s="6" t="s">
        <v>77</v>
      </c>
      <c r="G2252" s="7">
        <v>0.15</v>
      </c>
      <c r="H2252" s="6" t="s">
        <v>746</v>
      </c>
      <c r="I2252" s="6" t="s">
        <v>20</v>
      </c>
      <c r="J2252" s="6">
        <v>2024.0</v>
      </c>
      <c r="K2252" s="10">
        <v>46025.0</v>
      </c>
      <c r="L2252" s="6">
        <v>1.0</v>
      </c>
      <c r="M2252" s="8">
        <f t="shared" si="3"/>
        <v>0.15</v>
      </c>
      <c r="P2252" s="9"/>
    </row>
    <row r="2253">
      <c r="A2253" s="6" t="s">
        <v>5466</v>
      </c>
      <c r="B2253" s="6" t="s">
        <v>1816</v>
      </c>
      <c r="C2253" s="6" t="s">
        <v>43</v>
      </c>
      <c r="D2253" s="6" t="s">
        <v>5467</v>
      </c>
      <c r="E2253" s="6" t="s">
        <v>107</v>
      </c>
      <c r="F2253" s="6" t="s">
        <v>18</v>
      </c>
      <c r="G2253" s="7">
        <v>0.57</v>
      </c>
      <c r="H2253" s="6" t="s">
        <v>597</v>
      </c>
      <c r="I2253" s="6" t="s">
        <v>20</v>
      </c>
      <c r="J2253" s="6">
        <v>2024.0</v>
      </c>
      <c r="K2253" s="10">
        <v>46082.0</v>
      </c>
      <c r="L2253" s="6">
        <v>1.0</v>
      </c>
      <c r="M2253" s="8">
        <f t="shared" si="3"/>
        <v>0.57</v>
      </c>
      <c r="P2253" s="9"/>
    </row>
    <row r="2254">
      <c r="A2254" s="6" t="s">
        <v>5468</v>
      </c>
      <c r="B2254" s="6" t="s">
        <v>2368</v>
      </c>
      <c r="C2254" s="6" t="s">
        <v>43</v>
      </c>
      <c r="D2254" s="6" t="s">
        <v>5469</v>
      </c>
      <c r="E2254" s="6" t="s">
        <v>117</v>
      </c>
      <c r="F2254" s="6" t="s">
        <v>77</v>
      </c>
      <c r="G2254" s="7">
        <v>0.1</v>
      </c>
      <c r="H2254" s="6" t="s">
        <v>89</v>
      </c>
      <c r="I2254" s="6" t="s">
        <v>20</v>
      </c>
      <c r="J2254" s="6">
        <v>2021.0</v>
      </c>
      <c r="K2254" s="10">
        <v>46023.0</v>
      </c>
      <c r="L2254" s="6">
        <v>1.0</v>
      </c>
      <c r="M2254" s="8">
        <f t="shared" si="3"/>
        <v>0.1</v>
      </c>
      <c r="P2254" s="9"/>
    </row>
    <row r="2255">
      <c r="A2255" s="6" t="s">
        <v>5470</v>
      </c>
      <c r="B2255" s="6" t="s">
        <v>138</v>
      </c>
      <c r="C2255" s="6" t="s">
        <v>37</v>
      </c>
      <c r="D2255" s="6" t="s">
        <v>5471</v>
      </c>
      <c r="E2255" s="6" t="s">
        <v>135</v>
      </c>
      <c r="F2255" s="6" t="s">
        <v>40</v>
      </c>
      <c r="G2255" s="7">
        <v>0.07</v>
      </c>
      <c r="H2255" s="6" t="s">
        <v>471</v>
      </c>
      <c r="I2255" s="6" t="s">
        <v>20</v>
      </c>
      <c r="J2255" s="6">
        <v>2026.0</v>
      </c>
      <c r="L2255" s="6">
        <v>1.0</v>
      </c>
      <c r="M2255" s="8">
        <f t="shared" si="3"/>
        <v>0.07</v>
      </c>
      <c r="P2255" s="9"/>
    </row>
    <row r="2256">
      <c r="A2256" s="6" t="s">
        <v>5472</v>
      </c>
      <c r="B2256" s="6" t="s">
        <v>5473</v>
      </c>
      <c r="C2256" s="6" t="s">
        <v>204</v>
      </c>
      <c r="D2256" s="6" t="s">
        <v>5474</v>
      </c>
      <c r="E2256" s="6" t="s">
        <v>190</v>
      </c>
      <c r="F2256" s="6" t="s">
        <v>18</v>
      </c>
      <c r="G2256" s="7">
        <v>0.2</v>
      </c>
      <c r="H2256" s="6" t="s">
        <v>297</v>
      </c>
      <c r="I2256" s="6" t="s">
        <v>20</v>
      </c>
      <c r="J2256" s="6">
        <v>2022.0</v>
      </c>
      <c r="K2256" s="10">
        <v>46023.0</v>
      </c>
      <c r="L2256" s="6">
        <v>1.0</v>
      </c>
      <c r="M2256" s="8">
        <f t="shared" si="3"/>
        <v>0.2</v>
      </c>
      <c r="P2256" s="9"/>
    </row>
    <row r="2257">
      <c r="A2257" s="6" t="s">
        <v>5475</v>
      </c>
      <c r="B2257" s="6" t="s">
        <v>5476</v>
      </c>
      <c r="C2257" s="6" t="s">
        <v>37</v>
      </c>
      <c r="D2257" s="6" t="s">
        <v>5477</v>
      </c>
      <c r="E2257" s="6" t="s">
        <v>579</v>
      </c>
      <c r="F2257" s="6" t="s">
        <v>112</v>
      </c>
      <c r="G2257" s="7">
        <v>0.4</v>
      </c>
      <c r="H2257" s="6" t="s">
        <v>148</v>
      </c>
      <c r="I2257" s="6" t="s">
        <v>45</v>
      </c>
      <c r="J2257" s="6">
        <v>2026.0</v>
      </c>
      <c r="K2257" s="10">
        <v>46116.0</v>
      </c>
      <c r="L2257" s="6">
        <v>1.0</v>
      </c>
      <c r="M2257" s="8">
        <f t="shared" si="3"/>
        <v>0.4</v>
      </c>
      <c r="P2257" s="9"/>
    </row>
    <row r="2258">
      <c r="A2258" s="6" t="s">
        <v>5478</v>
      </c>
      <c r="B2258" s="6" t="s">
        <v>440</v>
      </c>
      <c r="C2258" s="6" t="s">
        <v>23</v>
      </c>
      <c r="D2258" s="6" t="s">
        <v>5479</v>
      </c>
      <c r="E2258" s="6" t="s">
        <v>93</v>
      </c>
      <c r="F2258" s="6" t="s">
        <v>77</v>
      </c>
      <c r="G2258" s="7">
        <v>3.12</v>
      </c>
      <c r="H2258" s="6" t="s">
        <v>934</v>
      </c>
      <c r="I2258" s="6" t="s">
        <v>20</v>
      </c>
      <c r="J2258" s="6">
        <v>1993.0</v>
      </c>
      <c r="L2258" s="6">
        <v>2.0</v>
      </c>
      <c r="M2258" s="8">
        <f t="shared" si="3"/>
        <v>6.24</v>
      </c>
      <c r="P2258" s="9"/>
    </row>
    <row r="2259">
      <c r="A2259" s="6" t="s">
        <v>5478</v>
      </c>
      <c r="B2259" s="6" t="s">
        <v>440</v>
      </c>
      <c r="C2259" s="6" t="s">
        <v>43</v>
      </c>
      <c r="D2259" s="6" t="s">
        <v>5480</v>
      </c>
      <c r="E2259" s="6" t="s">
        <v>93</v>
      </c>
      <c r="F2259" s="6" t="s">
        <v>77</v>
      </c>
      <c r="G2259" s="7">
        <v>0.99</v>
      </c>
      <c r="H2259" s="6" t="s">
        <v>5481</v>
      </c>
      <c r="I2259" s="6" t="s">
        <v>20</v>
      </c>
      <c r="J2259" s="6">
        <v>1995.0</v>
      </c>
      <c r="L2259" s="6">
        <v>3.0</v>
      </c>
      <c r="M2259" s="8">
        <f t="shared" si="3"/>
        <v>2.97</v>
      </c>
      <c r="P2259" s="9"/>
    </row>
    <row r="2260">
      <c r="A2260" s="6" t="s">
        <v>5478</v>
      </c>
      <c r="B2260" s="6" t="s">
        <v>440</v>
      </c>
      <c r="C2260" s="6" t="s">
        <v>43</v>
      </c>
      <c r="D2260" s="6" t="s">
        <v>5480</v>
      </c>
      <c r="E2260" s="6" t="s">
        <v>93</v>
      </c>
      <c r="F2260" s="6" t="s">
        <v>77</v>
      </c>
      <c r="G2260" s="7">
        <v>3.12</v>
      </c>
      <c r="H2260" s="6" t="s">
        <v>453</v>
      </c>
      <c r="I2260" s="6" t="s">
        <v>20</v>
      </c>
      <c r="J2260" s="6">
        <v>1993.0</v>
      </c>
      <c r="L2260" s="6">
        <v>1.0</v>
      </c>
      <c r="M2260" s="8">
        <f t="shared" si="3"/>
        <v>3.12</v>
      </c>
      <c r="P2260" s="9"/>
    </row>
    <row r="2261">
      <c r="A2261" s="6" t="s">
        <v>5478</v>
      </c>
      <c r="B2261" s="6" t="s">
        <v>440</v>
      </c>
      <c r="C2261" s="6" t="s">
        <v>43</v>
      </c>
      <c r="D2261" s="6" t="s">
        <v>5480</v>
      </c>
      <c r="E2261" s="6" t="s">
        <v>93</v>
      </c>
      <c r="F2261" s="6" t="s">
        <v>77</v>
      </c>
      <c r="G2261" s="7">
        <v>1.25</v>
      </c>
      <c r="H2261" s="6" t="s">
        <v>1388</v>
      </c>
      <c r="I2261" s="6" t="s">
        <v>20</v>
      </c>
      <c r="J2261" s="6">
        <v>1998.0</v>
      </c>
      <c r="L2261" s="6">
        <v>1.0</v>
      </c>
      <c r="M2261" s="8">
        <f t="shared" si="3"/>
        <v>1.25</v>
      </c>
      <c r="P2261" s="9"/>
    </row>
    <row r="2262">
      <c r="A2262" s="6" t="s">
        <v>5482</v>
      </c>
      <c r="B2262" s="6" t="s">
        <v>1106</v>
      </c>
      <c r="C2262" s="6" t="s">
        <v>43</v>
      </c>
      <c r="D2262" s="6" t="s">
        <v>5483</v>
      </c>
      <c r="E2262" s="6" t="s">
        <v>176</v>
      </c>
      <c r="F2262" s="6" t="s">
        <v>77</v>
      </c>
      <c r="G2262" s="7">
        <v>0.4</v>
      </c>
      <c r="H2262" s="6" t="s">
        <v>187</v>
      </c>
      <c r="I2262" s="6" t="s">
        <v>20</v>
      </c>
      <c r="J2262" s="6">
        <v>1995.0</v>
      </c>
      <c r="K2262" s="6" t="s">
        <v>2310</v>
      </c>
      <c r="L2262" s="6">
        <v>1.0</v>
      </c>
      <c r="M2262" s="8">
        <f t="shared" si="3"/>
        <v>0.4</v>
      </c>
      <c r="P2262" s="9"/>
    </row>
    <row r="2263">
      <c r="A2263" s="6" t="s">
        <v>5484</v>
      </c>
      <c r="B2263" s="6" t="s">
        <v>5485</v>
      </c>
      <c r="C2263" s="6" t="s">
        <v>37</v>
      </c>
      <c r="D2263" s="6" t="s">
        <v>5486</v>
      </c>
      <c r="E2263" s="6" t="s">
        <v>57</v>
      </c>
      <c r="F2263" s="6" t="s">
        <v>40</v>
      </c>
      <c r="G2263" s="7">
        <v>0.16</v>
      </c>
      <c r="H2263" s="6" t="s">
        <v>918</v>
      </c>
      <c r="I2263" s="6" t="s">
        <v>20</v>
      </c>
      <c r="J2263" s="6">
        <v>2023.0</v>
      </c>
      <c r="K2263" s="10">
        <v>46055.0</v>
      </c>
      <c r="L2263" s="6">
        <v>1.0</v>
      </c>
      <c r="M2263" s="8">
        <f t="shared" si="3"/>
        <v>0.16</v>
      </c>
      <c r="P2263" s="9"/>
    </row>
    <row r="2264">
      <c r="A2264" s="6" t="s">
        <v>5487</v>
      </c>
      <c r="B2264" s="6" t="s">
        <v>74</v>
      </c>
      <c r="C2264" s="6" t="s">
        <v>37</v>
      </c>
      <c r="D2264" s="6" t="s">
        <v>5488</v>
      </c>
      <c r="E2264" s="6" t="s">
        <v>57</v>
      </c>
      <c r="F2264" s="6" t="s">
        <v>40</v>
      </c>
      <c r="G2264" s="7">
        <v>0.05</v>
      </c>
      <c r="H2264" s="6" t="s">
        <v>249</v>
      </c>
      <c r="I2264" s="6" t="s">
        <v>20</v>
      </c>
      <c r="J2264" s="6">
        <v>2014.0</v>
      </c>
      <c r="L2264" s="6">
        <v>1.0</v>
      </c>
      <c r="M2264" s="8">
        <f t="shared" si="3"/>
        <v>0.05</v>
      </c>
      <c r="P2264" s="9"/>
    </row>
    <row r="2265">
      <c r="A2265" s="6" t="s">
        <v>5489</v>
      </c>
      <c r="B2265" s="6" t="s">
        <v>167</v>
      </c>
      <c r="C2265" s="6" t="s">
        <v>15</v>
      </c>
      <c r="D2265" s="6" t="s">
        <v>5490</v>
      </c>
      <c r="E2265" s="6" t="s">
        <v>1550</v>
      </c>
      <c r="F2265" s="6" t="s">
        <v>77</v>
      </c>
      <c r="G2265" s="7">
        <v>0.22</v>
      </c>
      <c r="H2265" s="6" t="s">
        <v>153</v>
      </c>
      <c r="I2265" s="6" t="s">
        <v>20</v>
      </c>
      <c r="J2265" s="6">
        <v>2025.0</v>
      </c>
      <c r="K2265" s="10">
        <v>46116.0</v>
      </c>
      <c r="L2265" s="6">
        <v>1.0</v>
      </c>
      <c r="M2265" s="8">
        <f t="shared" si="3"/>
        <v>0.22</v>
      </c>
      <c r="P2265" s="9"/>
    </row>
    <row r="2266">
      <c r="A2266" s="6" t="s">
        <v>5491</v>
      </c>
      <c r="B2266" s="6" t="s">
        <v>861</v>
      </c>
      <c r="C2266" s="6" t="s">
        <v>43</v>
      </c>
      <c r="D2266" s="6" t="s">
        <v>5492</v>
      </c>
      <c r="E2266" s="6" t="s">
        <v>356</v>
      </c>
      <c r="F2266" s="6" t="s">
        <v>87</v>
      </c>
      <c r="G2266" s="7">
        <v>0.03</v>
      </c>
      <c r="H2266" s="6" t="s">
        <v>1511</v>
      </c>
      <c r="I2266" s="6" t="s">
        <v>20</v>
      </c>
      <c r="J2266" s="6">
        <v>2014.0</v>
      </c>
      <c r="K2266" s="10">
        <v>46084.0</v>
      </c>
      <c r="L2266" s="6">
        <v>1.0</v>
      </c>
      <c r="M2266" s="8">
        <f t="shared" si="3"/>
        <v>0.03</v>
      </c>
      <c r="P2266" s="9"/>
    </row>
    <row r="2267">
      <c r="A2267" s="6" t="s">
        <v>5493</v>
      </c>
      <c r="B2267" s="6" t="s">
        <v>5494</v>
      </c>
      <c r="C2267" s="6" t="s">
        <v>1488</v>
      </c>
      <c r="D2267" s="6" t="s">
        <v>5495</v>
      </c>
      <c r="E2267" s="6" t="s">
        <v>5032</v>
      </c>
      <c r="F2267" s="6" t="s">
        <v>159</v>
      </c>
      <c r="G2267" s="7">
        <v>29.5</v>
      </c>
      <c r="H2267" s="6" t="s">
        <v>249</v>
      </c>
      <c r="I2267" s="6" t="s">
        <v>45</v>
      </c>
      <c r="J2267" s="6">
        <v>2014.0</v>
      </c>
      <c r="K2267" s="10">
        <v>46147.0</v>
      </c>
      <c r="L2267" s="6">
        <v>1.0</v>
      </c>
      <c r="M2267" s="8">
        <f t="shared" si="3"/>
        <v>29.5</v>
      </c>
      <c r="P2267" s="9"/>
    </row>
    <row r="2268">
      <c r="A2268" s="6" t="s">
        <v>5496</v>
      </c>
      <c r="B2268" s="6" t="s">
        <v>5217</v>
      </c>
      <c r="C2268" s="6" t="s">
        <v>43</v>
      </c>
      <c r="D2268" s="6" t="s">
        <v>5497</v>
      </c>
      <c r="E2268" s="6" t="s">
        <v>117</v>
      </c>
      <c r="F2268" s="6" t="s">
        <v>77</v>
      </c>
      <c r="G2268" s="7">
        <v>0.06</v>
      </c>
      <c r="H2268" s="6" t="s">
        <v>249</v>
      </c>
      <c r="I2268" s="6" t="s">
        <v>20</v>
      </c>
      <c r="J2268" s="6">
        <v>2014.0</v>
      </c>
      <c r="K2268" s="10">
        <v>46023.0</v>
      </c>
      <c r="L2268" s="6">
        <v>3.0</v>
      </c>
      <c r="M2268" s="8">
        <f t="shared" si="3"/>
        <v>0.18</v>
      </c>
      <c r="P2268" s="9"/>
    </row>
    <row r="2269">
      <c r="A2269" s="6" t="s">
        <v>5498</v>
      </c>
      <c r="B2269" s="6" t="s">
        <v>1455</v>
      </c>
      <c r="C2269" s="6" t="s">
        <v>43</v>
      </c>
      <c r="D2269" s="6" t="s">
        <v>5499</v>
      </c>
      <c r="E2269" s="6" t="s">
        <v>448</v>
      </c>
      <c r="F2269" s="6" t="s">
        <v>112</v>
      </c>
      <c r="G2269" s="7">
        <v>0.03</v>
      </c>
      <c r="H2269" s="6" t="s">
        <v>249</v>
      </c>
      <c r="I2269" s="6" t="s">
        <v>20</v>
      </c>
      <c r="J2269" s="6">
        <v>2014.0</v>
      </c>
      <c r="K2269" s="10">
        <v>46115.0</v>
      </c>
      <c r="L2269" s="6">
        <v>1.0</v>
      </c>
      <c r="M2269" s="8">
        <f t="shared" si="3"/>
        <v>0.03</v>
      </c>
      <c r="P2269" s="9"/>
    </row>
    <row r="2270">
      <c r="A2270" s="6" t="s">
        <v>5500</v>
      </c>
      <c r="B2270" s="6" t="s">
        <v>213</v>
      </c>
      <c r="C2270" s="6" t="s">
        <v>15</v>
      </c>
      <c r="D2270" s="6" t="s">
        <v>5501</v>
      </c>
      <c r="E2270" s="6" t="s">
        <v>125</v>
      </c>
      <c r="F2270" s="6" t="s">
        <v>40</v>
      </c>
      <c r="G2270" s="7">
        <v>0.2</v>
      </c>
      <c r="H2270" s="6" t="s">
        <v>153</v>
      </c>
      <c r="I2270" s="6" t="s">
        <v>20</v>
      </c>
      <c r="J2270" s="6">
        <v>2025.0</v>
      </c>
      <c r="L2270" s="6">
        <v>1.0</v>
      </c>
      <c r="M2270" s="8">
        <f t="shared" si="3"/>
        <v>0.2</v>
      </c>
      <c r="P2270" s="9"/>
    </row>
    <row r="2271">
      <c r="A2271" s="6" t="s">
        <v>5500</v>
      </c>
      <c r="B2271" s="6" t="s">
        <v>213</v>
      </c>
      <c r="C2271" s="6" t="s">
        <v>15</v>
      </c>
      <c r="D2271" s="6" t="s">
        <v>5501</v>
      </c>
      <c r="E2271" s="6" t="s">
        <v>125</v>
      </c>
      <c r="F2271" s="6" t="s">
        <v>40</v>
      </c>
      <c r="G2271" s="7">
        <v>0.85</v>
      </c>
      <c r="H2271" s="6" t="s">
        <v>153</v>
      </c>
      <c r="I2271" s="6" t="s">
        <v>45</v>
      </c>
      <c r="J2271" s="6">
        <v>2025.0</v>
      </c>
      <c r="L2271" s="6">
        <v>1.0</v>
      </c>
      <c r="M2271" s="8">
        <f t="shared" si="3"/>
        <v>0.85</v>
      </c>
      <c r="P2271" s="9"/>
    </row>
    <row r="2272">
      <c r="A2272" s="6" t="s">
        <v>5502</v>
      </c>
      <c r="B2272" s="6" t="s">
        <v>5503</v>
      </c>
      <c r="C2272" s="6" t="s">
        <v>43</v>
      </c>
      <c r="D2272" s="6" t="s">
        <v>5504</v>
      </c>
      <c r="E2272" s="6" t="s">
        <v>248</v>
      </c>
      <c r="F2272" s="6" t="s">
        <v>77</v>
      </c>
      <c r="G2272" s="7">
        <v>0.04</v>
      </c>
      <c r="H2272" s="6" t="s">
        <v>488</v>
      </c>
      <c r="I2272" s="6" t="s">
        <v>20</v>
      </c>
      <c r="J2272" s="6">
        <v>2023.0</v>
      </c>
      <c r="K2272" s="10">
        <v>46055.0</v>
      </c>
      <c r="L2272" s="6">
        <v>1.0</v>
      </c>
      <c r="M2272" s="8">
        <f t="shared" si="3"/>
        <v>0.04</v>
      </c>
      <c r="P2272" s="9"/>
    </row>
    <row r="2273">
      <c r="A2273" s="6" t="s">
        <v>5505</v>
      </c>
      <c r="B2273" s="6" t="s">
        <v>5506</v>
      </c>
      <c r="C2273" s="6" t="s">
        <v>43</v>
      </c>
      <c r="D2273" s="6" t="s">
        <v>5507</v>
      </c>
      <c r="E2273" s="6" t="s">
        <v>176</v>
      </c>
      <c r="F2273" s="6" t="s">
        <v>77</v>
      </c>
      <c r="G2273" s="7">
        <v>0.1</v>
      </c>
      <c r="H2273" s="6" t="s">
        <v>99</v>
      </c>
      <c r="I2273" s="6" t="s">
        <v>20</v>
      </c>
      <c r="J2273" s="6">
        <v>2022.0</v>
      </c>
      <c r="K2273" s="10">
        <v>46055.0</v>
      </c>
      <c r="L2273" s="6">
        <v>1.0</v>
      </c>
      <c r="M2273" s="8">
        <f t="shared" si="3"/>
        <v>0.1</v>
      </c>
      <c r="P2273" s="9"/>
    </row>
    <row r="2274">
      <c r="A2274" s="6" t="s">
        <v>5508</v>
      </c>
      <c r="B2274" s="6" t="s">
        <v>5509</v>
      </c>
      <c r="C2274" s="6" t="s">
        <v>37</v>
      </c>
      <c r="D2274" s="6" t="s">
        <v>5510</v>
      </c>
      <c r="E2274" s="6" t="s">
        <v>554</v>
      </c>
      <c r="F2274" s="6" t="s">
        <v>40</v>
      </c>
      <c r="G2274" s="7">
        <v>0.2</v>
      </c>
      <c r="H2274" s="6" t="s">
        <v>113</v>
      </c>
      <c r="I2274" s="6" t="s">
        <v>20</v>
      </c>
      <c r="J2274" s="6">
        <v>2023.0</v>
      </c>
      <c r="K2274" s="10">
        <v>46055.0</v>
      </c>
      <c r="L2274" s="6">
        <v>1.0</v>
      </c>
      <c r="M2274" s="8">
        <f t="shared" si="3"/>
        <v>0.2</v>
      </c>
      <c r="P2274" s="9"/>
    </row>
    <row r="2275">
      <c r="A2275" s="6" t="s">
        <v>5511</v>
      </c>
      <c r="B2275" s="6" t="s">
        <v>5512</v>
      </c>
      <c r="C2275" s="6" t="s">
        <v>37</v>
      </c>
      <c r="D2275" s="6" t="s">
        <v>5513</v>
      </c>
      <c r="E2275" s="6" t="s">
        <v>5514</v>
      </c>
      <c r="F2275" s="6" t="s">
        <v>18</v>
      </c>
      <c r="G2275" s="7">
        <v>0.47</v>
      </c>
      <c r="H2275" s="6" t="s">
        <v>918</v>
      </c>
      <c r="I2275" s="6" t="s">
        <v>20</v>
      </c>
      <c r="J2275" s="6">
        <v>2023.0</v>
      </c>
      <c r="K2275" s="10">
        <v>46082.0</v>
      </c>
      <c r="L2275" s="6">
        <v>3.0</v>
      </c>
      <c r="M2275" s="8">
        <f t="shared" si="3"/>
        <v>1.41</v>
      </c>
      <c r="P2275" s="9"/>
    </row>
    <row r="2276">
      <c r="A2276" s="6" t="s">
        <v>5515</v>
      </c>
      <c r="B2276" s="6" t="s">
        <v>74</v>
      </c>
      <c r="C2276" s="6" t="s">
        <v>43</v>
      </c>
      <c r="D2276" s="6" t="s">
        <v>5516</v>
      </c>
      <c r="E2276" s="6" t="s">
        <v>57</v>
      </c>
      <c r="F2276" s="6" t="s">
        <v>40</v>
      </c>
      <c r="G2276" s="7">
        <v>0.14</v>
      </c>
      <c r="H2276" s="6" t="s">
        <v>187</v>
      </c>
      <c r="I2276" s="6" t="s">
        <v>20</v>
      </c>
      <c r="J2276" s="6">
        <v>1995.0</v>
      </c>
      <c r="L2276" s="6">
        <v>1.0</v>
      </c>
      <c r="M2276" s="8">
        <f t="shared" si="3"/>
        <v>0.14</v>
      </c>
      <c r="P2276" s="9"/>
    </row>
    <row r="2277">
      <c r="A2277" s="6" t="s">
        <v>5517</v>
      </c>
      <c r="B2277" s="6" t="s">
        <v>292</v>
      </c>
      <c r="C2277" s="6" t="s">
        <v>204</v>
      </c>
      <c r="D2277" s="6" t="s">
        <v>5518</v>
      </c>
      <c r="E2277" s="6" t="s">
        <v>57</v>
      </c>
      <c r="F2277" s="6" t="s">
        <v>40</v>
      </c>
      <c r="G2277" s="7">
        <v>0.09</v>
      </c>
      <c r="H2277" s="6" t="s">
        <v>324</v>
      </c>
      <c r="I2277" s="6" t="s">
        <v>20</v>
      </c>
      <c r="J2277" s="6">
        <v>1995.0</v>
      </c>
      <c r="L2277" s="6">
        <v>3.0</v>
      </c>
      <c r="M2277" s="8">
        <f t="shared" si="3"/>
        <v>0.27</v>
      </c>
      <c r="P2277" s="9"/>
    </row>
    <row r="2278">
      <c r="A2278" s="6" t="s">
        <v>5517</v>
      </c>
      <c r="B2278" s="6" t="s">
        <v>292</v>
      </c>
      <c r="C2278" s="6" t="s">
        <v>204</v>
      </c>
      <c r="D2278" s="6" t="s">
        <v>5518</v>
      </c>
      <c r="E2278" s="6" t="s">
        <v>57</v>
      </c>
      <c r="F2278" s="6" t="s">
        <v>40</v>
      </c>
      <c r="G2278" s="7">
        <v>0.14</v>
      </c>
      <c r="H2278" s="6" t="s">
        <v>316</v>
      </c>
      <c r="I2278" s="6" t="s">
        <v>20</v>
      </c>
      <c r="J2278" s="6">
        <v>1995.0</v>
      </c>
      <c r="L2278" s="6">
        <v>3.0</v>
      </c>
      <c r="M2278" s="8">
        <f t="shared" si="3"/>
        <v>0.42</v>
      </c>
      <c r="P2278" s="9"/>
    </row>
    <row r="2279">
      <c r="A2279" s="6" t="s">
        <v>5519</v>
      </c>
      <c r="B2279" s="6" t="s">
        <v>5520</v>
      </c>
      <c r="C2279" s="6" t="s">
        <v>37</v>
      </c>
      <c r="D2279" s="6" t="s">
        <v>5521</v>
      </c>
      <c r="E2279" s="6" t="s">
        <v>86</v>
      </c>
      <c r="F2279" s="6" t="s">
        <v>87</v>
      </c>
      <c r="G2279" s="7">
        <v>0.15</v>
      </c>
      <c r="H2279" s="6" t="s">
        <v>475</v>
      </c>
      <c r="I2279" s="6" t="s">
        <v>20</v>
      </c>
      <c r="J2279" s="6">
        <v>2024.0</v>
      </c>
      <c r="K2279" s="10">
        <v>46056.0</v>
      </c>
      <c r="L2279" s="6">
        <v>1.0</v>
      </c>
      <c r="M2279" s="8">
        <f t="shared" si="3"/>
        <v>0.15</v>
      </c>
      <c r="P2279" s="9"/>
    </row>
    <row r="2280">
      <c r="A2280" s="6" t="s">
        <v>5522</v>
      </c>
      <c r="B2280" s="6" t="s">
        <v>1046</v>
      </c>
      <c r="C2280" s="6" t="s">
        <v>37</v>
      </c>
      <c r="D2280" s="6" t="s">
        <v>5523</v>
      </c>
      <c r="E2280" s="6" t="s">
        <v>117</v>
      </c>
      <c r="F2280" s="6" t="s">
        <v>77</v>
      </c>
      <c r="G2280" s="7">
        <v>0.06</v>
      </c>
      <c r="H2280" s="6" t="s">
        <v>1344</v>
      </c>
      <c r="I2280" s="6" t="s">
        <v>20</v>
      </c>
      <c r="J2280" s="6">
        <v>2018.0</v>
      </c>
      <c r="K2280" s="10">
        <v>46023.0</v>
      </c>
      <c r="L2280" s="6">
        <v>1.0</v>
      </c>
      <c r="M2280" s="8">
        <f t="shared" si="3"/>
        <v>0.06</v>
      </c>
      <c r="N2280" s="6" t="s">
        <v>374</v>
      </c>
      <c r="P2280" s="9"/>
    </row>
    <row r="2281">
      <c r="A2281" s="6" t="s">
        <v>5524</v>
      </c>
      <c r="B2281" s="6" t="s">
        <v>5525</v>
      </c>
      <c r="C2281" s="6" t="s">
        <v>43</v>
      </c>
      <c r="D2281" s="6" t="s">
        <v>5526</v>
      </c>
      <c r="E2281" s="6" t="s">
        <v>57</v>
      </c>
      <c r="F2281" s="6" t="s">
        <v>40</v>
      </c>
      <c r="G2281" s="7">
        <v>3.5</v>
      </c>
      <c r="H2281" s="6" t="s">
        <v>1442</v>
      </c>
      <c r="I2281" s="6" t="s">
        <v>45</v>
      </c>
      <c r="J2281" s="6">
        <v>2001.0</v>
      </c>
      <c r="K2281" s="10">
        <v>46082.0</v>
      </c>
      <c r="L2281" s="6">
        <v>1.0</v>
      </c>
      <c r="M2281" s="8">
        <f t="shared" si="3"/>
        <v>3.5</v>
      </c>
      <c r="N2281" s="6" t="s">
        <v>122</v>
      </c>
      <c r="P2281" s="9"/>
    </row>
    <row r="2282">
      <c r="A2282" s="6" t="s">
        <v>5527</v>
      </c>
      <c r="B2282" s="6" t="s">
        <v>138</v>
      </c>
      <c r="C2282" s="6" t="s">
        <v>43</v>
      </c>
      <c r="D2282" s="6" t="s">
        <v>5528</v>
      </c>
      <c r="E2282" s="6" t="s">
        <v>179</v>
      </c>
      <c r="F2282" s="6" t="s">
        <v>112</v>
      </c>
      <c r="G2282" s="7">
        <v>0.08</v>
      </c>
      <c r="H2282" s="6" t="s">
        <v>34</v>
      </c>
      <c r="I2282" s="6" t="s">
        <v>20</v>
      </c>
      <c r="J2282" s="6">
        <v>2025.0</v>
      </c>
      <c r="L2282" s="6">
        <v>3.0</v>
      </c>
      <c r="M2282" s="8">
        <f t="shared" si="3"/>
        <v>0.24</v>
      </c>
      <c r="P2282" s="9"/>
    </row>
    <row r="2283">
      <c r="A2283" s="6" t="s">
        <v>5527</v>
      </c>
      <c r="B2283" s="6" t="s">
        <v>138</v>
      </c>
      <c r="C2283" s="6" t="s">
        <v>43</v>
      </c>
      <c r="D2283" s="6" t="s">
        <v>5528</v>
      </c>
      <c r="E2283" s="6" t="s">
        <v>179</v>
      </c>
      <c r="F2283" s="6" t="s">
        <v>112</v>
      </c>
      <c r="G2283" s="7">
        <v>0.25</v>
      </c>
      <c r="H2283" s="6" t="s">
        <v>34</v>
      </c>
      <c r="I2283" s="6" t="s">
        <v>45</v>
      </c>
      <c r="J2283" s="6">
        <v>2025.0</v>
      </c>
      <c r="L2283" s="6">
        <v>1.0</v>
      </c>
      <c r="M2283" s="8">
        <f t="shared" si="3"/>
        <v>0.25</v>
      </c>
      <c r="P2283" s="9"/>
    </row>
    <row r="2284">
      <c r="A2284" s="6" t="s">
        <v>5529</v>
      </c>
      <c r="B2284" s="6" t="s">
        <v>115</v>
      </c>
      <c r="C2284" s="6" t="s">
        <v>23</v>
      </c>
      <c r="D2284" s="6" t="s">
        <v>5530</v>
      </c>
      <c r="E2284" s="6" t="s">
        <v>140</v>
      </c>
      <c r="F2284" s="6" t="s">
        <v>87</v>
      </c>
      <c r="G2284" s="7">
        <v>0.33</v>
      </c>
      <c r="H2284" s="6" t="s">
        <v>5531</v>
      </c>
      <c r="I2284" s="6" t="s">
        <v>20</v>
      </c>
      <c r="J2284" s="6">
        <v>2012.0</v>
      </c>
      <c r="L2284" s="6">
        <v>1.0</v>
      </c>
      <c r="M2284" s="8">
        <f t="shared" si="3"/>
        <v>0.33</v>
      </c>
      <c r="P2284" s="9"/>
    </row>
    <row r="2285">
      <c r="A2285" s="6" t="s">
        <v>5532</v>
      </c>
      <c r="B2285" s="6" t="s">
        <v>5533</v>
      </c>
      <c r="C2285" s="6" t="s">
        <v>204</v>
      </c>
      <c r="D2285" s="6" t="s">
        <v>5534</v>
      </c>
      <c r="E2285" s="6" t="s">
        <v>135</v>
      </c>
      <c r="F2285" s="6" t="s">
        <v>40</v>
      </c>
      <c r="G2285" s="7">
        <v>0.08</v>
      </c>
      <c r="H2285" s="6" t="s">
        <v>324</v>
      </c>
      <c r="I2285" s="6" t="s">
        <v>20</v>
      </c>
      <c r="J2285" s="6">
        <v>1995.0</v>
      </c>
      <c r="K2285" s="10">
        <v>46023.0</v>
      </c>
      <c r="L2285" s="6">
        <v>6.0</v>
      </c>
      <c r="M2285" s="8">
        <f t="shared" si="3"/>
        <v>0.48</v>
      </c>
      <c r="P2285" s="9"/>
    </row>
    <row r="2286">
      <c r="A2286" s="6" t="s">
        <v>5532</v>
      </c>
      <c r="B2286" s="6" t="s">
        <v>5533</v>
      </c>
      <c r="C2286" s="6" t="s">
        <v>204</v>
      </c>
      <c r="D2286" s="6" t="s">
        <v>5534</v>
      </c>
      <c r="E2286" s="6" t="s">
        <v>135</v>
      </c>
      <c r="F2286" s="6" t="s">
        <v>40</v>
      </c>
      <c r="G2286" s="7">
        <v>0.13</v>
      </c>
      <c r="H2286" s="6" t="s">
        <v>316</v>
      </c>
      <c r="I2286" s="6" t="s">
        <v>20</v>
      </c>
      <c r="J2286" s="6">
        <v>1995.0</v>
      </c>
      <c r="K2286" s="10">
        <v>46023.0</v>
      </c>
      <c r="L2286" s="6">
        <v>6.0</v>
      </c>
      <c r="M2286" s="8">
        <f t="shared" si="3"/>
        <v>0.78</v>
      </c>
      <c r="P2286" s="9"/>
    </row>
    <row r="2287">
      <c r="A2287" s="6" t="s">
        <v>5535</v>
      </c>
      <c r="B2287" s="6" t="s">
        <v>5536</v>
      </c>
      <c r="C2287" s="6" t="s">
        <v>43</v>
      </c>
      <c r="D2287" s="6" t="s">
        <v>5537</v>
      </c>
      <c r="E2287" s="6" t="s">
        <v>176</v>
      </c>
      <c r="F2287" s="6" t="s">
        <v>77</v>
      </c>
      <c r="G2287" s="7">
        <v>0.05</v>
      </c>
      <c r="H2287" s="6" t="s">
        <v>83</v>
      </c>
      <c r="I2287" s="6" t="s">
        <v>20</v>
      </c>
      <c r="J2287" s="6">
        <v>1995.0</v>
      </c>
      <c r="K2287" s="10">
        <v>46023.0</v>
      </c>
      <c r="L2287" s="6">
        <v>4.0</v>
      </c>
      <c r="M2287" s="8">
        <f t="shared" si="3"/>
        <v>0.2</v>
      </c>
      <c r="P2287" s="9"/>
    </row>
    <row r="2288">
      <c r="A2288" s="6" t="s">
        <v>5535</v>
      </c>
      <c r="B2288" s="6" t="s">
        <v>5536</v>
      </c>
      <c r="C2288" s="6" t="s">
        <v>43</v>
      </c>
      <c r="D2288" s="6" t="s">
        <v>5537</v>
      </c>
      <c r="E2288" s="6" t="s">
        <v>176</v>
      </c>
      <c r="F2288" s="6" t="s">
        <v>77</v>
      </c>
      <c r="G2288" s="7">
        <v>0.08</v>
      </c>
      <c r="H2288" s="6" t="s">
        <v>1064</v>
      </c>
      <c r="I2288" s="6" t="s">
        <v>20</v>
      </c>
      <c r="J2288" s="6">
        <v>1995.0</v>
      </c>
      <c r="K2288" s="10">
        <v>46023.0</v>
      </c>
      <c r="L2288" s="6">
        <v>1.0</v>
      </c>
      <c r="M2288" s="8">
        <f t="shared" si="3"/>
        <v>0.08</v>
      </c>
      <c r="P2288" s="9"/>
    </row>
    <row r="2289">
      <c r="A2289" s="6" t="s">
        <v>5538</v>
      </c>
      <c r="B2289" s="6" t="s">
        <v>5539</v>
      </c>
      <c r="C2289" s="6" t="s">
        <v>37</v>
      </c>
      <c r="D2289" s="6" t="s">
        <v>5540</v>
      </c>
      <c r="E2289" s="6" t="s">
        <v>1417</v>
      </c>
      <c r="F2289" s="6" t="s">
        <v>71</v>
      </c>
      <c r="G2289" s="7">
        <v>0.13</v>
      </c>
      <c r="H2289" s="6" t="s">
        <v>431</v>
      </c>
      <c r="I2289" s="6" t="s">
        <v>20</v>
      </c>
      <c r="J2289" s="6">
        <v>2019.0</v>
      </c>
      <c r="K2289" s="10">
        <v>46055.0</v>
      </c>
      <c r="L2289" s="6">
        <v>4.0</v>
      </c>
      <c r="M2289" s="8">
        <f t="shared" si="3"/>
        <v>0.52</v>
      </c>
      <c r="P2289" s="9"/>
    </row>
    <row r="2290">
      <c r="A2290" s="6" t="s">
        <v>5541</v>
      </c>
      <c r="B2290" s="6" t="s">
        <v>5542</v>
      </c>
      <c r="C2290" s="6" t="s">
        <v>43</v>
      </c>
      <c r="D2290" s="6" t="s">
        <v>5543</v>
      </c>
      <c r="E2290" s="6" t="s">
        <v>248</v>
      </c>
      <c r="F2290" s="6" t="s">
        <v>77</v>
      </c>
      <c r="G2290" s="7">
        <v>0.03</v>
      </c>
      <c r="H2290" s="6" t="s">
        <v>531</v>
      </c>
      <c r="I2290" s="6" t="s">
        <v>20</v>
      </c>
      <c r="J2290" s="6">
        <v>2017.0</v>
      </c>
      <c r="K2290" s="10">
        <v>46057.0</v>
      </c>
      <c r="L2290" s="6">
        <v>1.0</v>
      </c>
      <c r="M2290" s="8">
        <f t="shared" si="3"/>
        <v>0.03</v>
      </c>
      <c r="P2290" s="9"/>
    </row>
    <row r="2291">
      <c r="A2291" s="6" t="s">
        <v>5544</v>
      </c>
      <c r="B2291" s="6" t="s">
        <v>5545</v>
      </c>
      <c r="C2291" s="6" t="s">
        <v>37</v>
      </c>
      <c r="D2291" s="6" t="s">
        <v>5546</v>
      </c>
      <c r="E2291" s="6" t="s">
        <v>4977</v>
      </c>
      <c r="F2291" s="6" t="s">
        <v>159</v>
      </c>
      <c r="G2291" s="7">
        <v>0.24</v>
      </c>
      <c r="H2291" s="6" t="s">
        <v>136</v>
      </c>
      <c r="I2291" s="6" t="s">
        <v>45</v>
      </c>
      <c r="J2291" s="6">
        <v>2026.0</v>
      </c>
      <c r="K2291" s="10">
        <v>46114.0</v>
      </c>
      <c r="L2291" s="6">
        <v>1.0</v>
      </c>
      <c r="M2291" s="8">
        <f t="shared" si="3"/>
        <v>0.24</v>
      </c>
      <c r="P2291" s="9"/>
    </row>
    <row r="2292">
      <c r="A2292" s="6" t="s">
        <v>5547</v>
      </c>
      <c r="B2292" s="6" t="s">
        <v>1394</v>
      </c>
      <c r="C2292" s="6" t="s">
        <v>43</v>
      </c>
      <c r="D2292" s="6" t="s">
        <v>5548</v>
      </c>
      <c r="E2292" s="6" t="s">
        <v>117</v>
      </c>
      <c r="F2292" s="6" t="s">
        <v>77</v>
      </c>
      <c r="G2292" s="7">
        <v>0.09</v>
      </c>
      <c r="H2292" s="6" t="s">
        <v>350</v>
      </c>
      <c r="I2292" s="6" t="s">
        <v>45</v>
      </c>
      <c r="J2292" s="6">
        <v>2003.0</v>
      </c>
      <c r="K2292" s="10">
        <v>46023.0</v>
      </c>
      <c r="L2292" s="6">
        <v>1.0</v>
      </c>
      <c r="M2292" s="8">
        <f t="shared" si="3"/>
        <v>0.09</v>
      </c>
      <c r="P2292" s="9"/>
    </row>
    <row r="2293">
      <c r="A2293" s="6" t="s">
        <v>5549</v>
      </c>
      <c r="B2293" s="6" t="s">
        <v>1106</v>
      </c>
      <c r="C2293" s="6" t="s">
        <v>43</v>
      </c>
      <c r="D2293" s="6" t="s">
        <v>5550</v>
      </c>
      <c r="E2293" s="6" t="s">
        <v>176</v>
      </c>
      <c r="F2293" s="6" t="s">
        <v>77</v>
      </c>
      <c r="G2293" s="7">
        <v>0.08</v>
      </c>
      <c r="H2293" s="6" t="s">
        <v>83</v>
      </c>
      <c r="I2293" s="6" t="s">
        <v>20</v>
      </c>
      <c r="J2293" s="6">
        <v>1995.0</v>
      </c>
      <c r="K2293" s="6" t="s">
        <v>66</v>
      </c>
      <c r="L2293" s="6">
        <v>1.0</v>
      </c>
      <c r="M2293" s="8">
        <f t="shared" si="3"/>
        <v>0.08</v>
      </c>
      <c r="P2293" s="9"/>
    </row>
    <row r="2294">
      <c r="A2294" s="6" t="s">
        <v>5549</v>
      </c>
      <c r="B2294" s="6" t="s">
        <v>1106</v>
      </c>
      <c r="C2294" s="6" t="s">
        <v>43</v>
      </c>
      <c r="D2294" s="6" t="s">
        <v>5550</v>
      </c>
      <c r="E2294" s="6" t="s">
        <v>176</v>
      </c>
      <c r="F2294" s="6" t="s">
        <v>77</v>
      </c>
      <c r="G2294" s="7">
        <v>0.22</v>
      </c>
      <c r="H2294" s="6" t="s">
        <v>1064</v>
      </c>
      <c r="I2294" s="6" t="s">
        <v>20</v>
      </c>
      <c r="J2294" s="6">
        <v>1995.0</v>
      </c>
      <c r="K2294" s="6" t="s">
        <v>66</v>
      </c>
      <c r="L2294" s="6">
        <v>2.0</v>
      </c>
      <c r="M2294" s="8">
        <f t="shared" si="3"/>
        <v>0.44</v>
      </c>
      <c r="P2294" s="9"/>
    </row>
    <row r="2295">
      <c r="A2295" s="6" t="s">
        <v>5551</v>
      </c>
      <c r="B2295" s="6" t="s">
        <v>5552</v>
      </c>
      <c r="C2295" s="6" t="s">
        <v>43</v>
      </c>
      <c r="D2295" s="6" t="s">
        <v>5553</v>
      </c>
      <c r="F2295" s="6" t="s">
        <v>40</v>
      </c>
      <c r="G2295" s="7">
        <v>0.45</v>
      </c>
      <c r="H2295" s="6" t="s">
        <v>5554</v>
      </c>
      <c r="I2295" s="6" t="s">
        <v>45</v>
      </c>
      <c r="J2295" s="6">
        <v>2020.0</v>
      </c>
      <c r="L2295" s="6">
        <v>1.0</v>
      </c>
      <c r="M2295" s="8">
        <f t="shared" si="3"/>
        <v>0.45</v>
      </c>
      <c r="N2295" s="6" t="s">
        <v>374</v>
      </c>
      <c r="P2295" s="9"/>
    </row>
    <row r="2296">
      <c r="A2296" s="6" t="s">
        <v>5551</v>
      </c>
      <c r="B2296" s="6" t="s">
        <v>5552</v>
      </c>
      <c r="C2296" s="6" t="s">
        <v>43</v>
      </c>
      <c r="D2296" s="6" t="s">
        <v>5553</v>
      </c>
      <c r="F2296" s="6" t="s">
        <v>40</v>
      </c>
      <c r="G2296" s="7">
        <v>0.2</v>
      </c>
      <c r="H2296" s="6" t="s">
        <v>249</v>
      </c>
      <c r="I2296" s="6" t="s">
        <v>20</v>
      </c>
      <c r="J2296" s="6">
        <v>2014.0</v>
      </c>
      <c r="L2296" s="6">
        <v>1.0</v>
      </c>
      <c r="M2296" s="8">
        <f t="shared" si="3"/>
        <v>0.2</v>
      </c>
      <c r="P2296" s="9"/>
    </row>
    <row r="2297">
      <c r="A2297" s="6" t="s">
        <v>5551</v>
      </c>
      <c r="B2297" s="6" t="s">
        <v>5552</v>
      </c>
      <c r="C2297" s="6" t="s">
        <v>43</v>
      </c>
      <c r="D2297" s="6" t="s">
        <v>5553</v>
      </c>
      <c r="F2297" s="6" t="s">
        <v>40</v>
      </c>
      <c r="G2297" s="7">
        <v>0.35</v>
      </c>
      <c r="H2297" s="6" t="s">
        <v>249</v>
      </c>
      <c r="I2297" s="6" t="s">
        <v>20</v>
      </c>
      <c r="J2297" s="6">
        <v>2014.0</v>
      </c>
      <c r="L2297" s="6">
        <v>1.0</v>
      </c>
      <c r="M2297" s="8">
        <f t="shared" si="3"/>
        <v>0.35</v>
      </c>
      <c r="P2297" s="9"/>
    </row>
    <row r="2298">
      <c r="A2298" s="6" t="s">
        <v>5555</v>
      </c>
      <c r="B2298" s="6" t="s">
        <v>115</v>
      </c>
      <c r="C2298" s="6" t="s">
        <v>23</v>
      </c>
      <c r="D2298" s="6" t="s">
        <v>5556</v>
      </c>
      <c r="E2298" s="6" t="s">
        <v>140</v>
      </c>
      <c r="F2298" s="6" t="s">
        <v>87</v>
      </c>
      <c r="G2298" s="7">
        <v>0.05</v>
      </c>
      <c r="H2298" s="6" t="s">
        <v>780</v>
      </c>
      <c r="I2298" s="6" t="s">
        <v>20</v>
      </c>
      <c r="J2298" s="6">
        <v>2025.0</v>
      </c>
      <c r="L2298" s="6">
        <v>2.0</v>
      </c>
      <c r="M2298" s="8">
        <f t="shared" si="3"/>
        <v>0.1</v>
      </c>
      <c r="P2298" s="9"/>
    </row>
    <row r="2299">
      <c r="A2299" s="6" t="s">
        <v>5557</v>
      </c>
      <c r="B2299" s="6" t="s">
        <v>5558</v>
      </c>
      <c r="C2299" s="6" t="s">
        <v>43</v>
      </c>
      <c r="D2299" s="6" t="s">
        <v>5559</v>
      </c>
      <c r="E2299" s="6" t="s">
        <v>5560</v>
      </c>
      <c r="F2299" s="6" t="s">
        <v>977</v>
      </c>
      <c r="G2299" s="7">
        <v>0.05</v>
      </c>
      <c r="H2299" s="6" t="s">
        <v>34</v>
      </c>
      <c r="I2299" s="6" t="s">
        <v>20</v>
      </c>
      <c r="J2299" s="6">
        <v>2025.0</v>
      </c>
      <c r="K2299" s="10">
        <v>46083.0</v>
      </c>
      <c r="L2299" s="6">
        <v>3.0</v>
      </c>
      <c r="M2299" s="8">
        <f t="shared" si="3"/>
        <v>0.15</v>
      </c>
      <c r="P2299" s="9"/>
    </row>
    <row r="2300">
      <c r="A2300" s="6" t="s">
        <v>5561</v>
      </c>
      <c r="B2300" s="6" t="s">
        <v>74</v>
      </c>
      <c r="C2300" s="6" t="s">
        <v>43</v>
      </c>
      <c r="D2300" s="6" t="s">
        <v>5562</v>
      </c>
      <c r="E2300" s="6" t="s">
        <v>164</v>
      </c>
      <c r="F2300" s="6" t="s">
        <v>112</v>
      </c>
      <c r="G2300" s="7">
        <v>0.05</v>
      </c>
      <c r="H2300" s="6" t="s">
        <v>1287</v>
      </c>
      <c r="I2300" s="6" t="s">
        <v>20</v>
      </c>
      <c r="J2300" s="6">
        <v>2021.0</v>
      </c>
      <c r="L2300" s="6">
        <v>1.0</v>
      </c>
      <c r="M2300" s="8">
        <f t="shared" si="3"/>
        <v>0.05</v>
      </c>
      <c r="P2300" s="9"/>
    </row>
    <row r="2301">
      <c r="A2301" s="6" t="s">
        <v>5563</v>
      </c>
      <c r="B2301" s="6" t="s">
        <v>1214</v>
      </c>
      <c r="C2301" s="6" t="s">
        <v>43</v>
      </c>
      <c r="D2301" s="6" t="s">
        <v>5564</v>
      </c>
      <c r="E2301" s="6" t="s">
        <v>256</v>
      </c>
      <c r="F2301" s="6" t="s">
        <v>87</v>
      </c>
      <c r="G2301" s="7">
        <v>0.1</v>
      </c>
      <c r="H2301" s="6" t="s">
        <v>582</v>
      </c>
      <c r="I2301" s="6" t="s">
        <v>20</v>
      </c>
      <c r="J2301" s="6">
        <v>2023.0</v>
      </c>
      <c r="K2301" s="10">
        <v>46056.0</v>
      </c>
      <c r="L2301" s="6">
        <v>1.0</v>
      </c>
      <c r="M2301" s="8">
        <f t="shared" si="3"/>
        <v>0.1</v>
      </c>
      <c r="P2301" s="9"/>
    </row>
    <row r="2302">
      <c r="A2302" s="6" t="s">
        <v>5565</v>
      </c>
      <c r="B2302" s="6" t="s">
        <v>4949</v>
      </c>
      <c r="C2302" s="6" t="s">
        <v>30</v>
      </c>
      <c r="D2302" s="6" t="s">
        <v>5566</v>
      </c>
      <c r="E2302" s="6" t="s">
        <v>681</v>
      </c>
      <c r="F2302" s="6" t="s">
        <v>26</v>
      </c>
      <c r="G2302" s="7">
        <v>0.38</v>
      </c>
      <c r="H2302" s="6" t="s">
        <v>1511</v>
      </c>
      <c r="I2302" s="6" t="s">
        <v>20</v>
      </c>
      <c r="J2302" s="6">
        <v>2014.0</v>
      </c>
      <c r="L2302" s="6">
        <v>1.0</v>
      </c>
      <c r="M2302" s="8">
        <f t="shared" si="3"/>
        <v>0.38</v>
      </c>
      <c r="P2302" s="9"/>
    </row>
    <row r="2303">
      <c r="A2303" s="6" t="s">
        <v>5567</v>
      </c>
      <c r="B2303" s="6" t="s">
        <v>115</v>
      </c>
      <c r="C2303" s="6" t="s">
        <v>15</v>
      </c>
      <c r="D2303" s="6" t="s">
        <v>5568</v>
      </c>
      <c r="E2303" s="6" t="s">
        <v>1998</v>
      </c>
      <c r="F2303" s="6" t="s">
        <v>77</v>
      </c>
      <c r="G2303" s="7">
        <v>0.2</v>
      </c>
      <c r="H2303" s="6" t="s">
        <v>153</v>
      </c>
      <c r="I2303" s="6" t="s">
        <v>20</v>
      </c>
      <c r="J2303" s="6">
        <v>2025.0</v>
      </c>
      <c r="L2303" s="6">
        <v>1.0</v>
      </c>
      <c r="M2303" s="8">
        <f t="shared" si="3"/>
        <v>0.2</v>
      </c>
      <c r="P2303" s="9"/>
    </row>
    <row r="2304">
      <c r="A2304" s="6" t="s">
        <v>5569</v>
      </c>
      <c r="B2304" s="6" t="s">
        <v>1095</v>
      </c>
      <c r="C2304" s="6" t="s">
        <v>43</v>
      </c>
      <c r="D2304" s="6" t="s">
        <v>5570</v>
      </c>
      <c r="E2304" s="6" t="s">
        <v>164</v>
      </c>
      <c r="F2304" s="6" t="s">
        <v>112</v>
      </c>
      <c r="G2304" s="7">
        <v>0.2</v>
      </c>
      <c r="H2304" s="6" t="s">
        <v>113</v>
      </c>
      <c r="I2304" s="6" t="s">
        <v>20</v>
      </c>
      <c r="J2304" s="6">
        <v>2023.0</v>
      </c>
      <c r="K2304" s="10">
        <v>46023.0</v>
      </c>
      <c r="L2304" s="6">
        <v>1.0</v>
      </c>
      <c r="M2304" s="8">
        <f t="shared" si="3"/>
        <v>0.2</v>
      </c>
      <c r="P2304" s="9"/>
    </row>
    <row r="2305">
      <c r="A2305" s="6" t="s">
        <v>5571</v>
      </c>
      <c r="B2305" s="6" t="s">
        <v>5572</v>
      </c>
      <c r="C2305" s="6" t="s">
        <v>23</v>
      </c>
      <c r="D2305" s="6" t="s">
        <v>5573</v>
      </c>
      <c r="E2305" s="6" t="s">
        <v>4037</v>
      </c>
      <c r="F2305" s="6" t="s">
        <v>18</v>
      </c>
      <c r="G2305" s="7">
        <v>0.03</v>
      </c>
      <c r="H2305" s="6" t="s">
        <v>342</v>
      </c>
      <c r="I2305" s="6" t="s">
        <v>20</v>
      </c>
      <c r="J2305" s="6">
        <v>2014.0</v>
      </c>
      <c r="K2305" s="10">
        <v>46147.0</v>
      </c>
      <c r="L2305" s="6">
        <v>2.0</v>
      </c>
      <c r="M2305" s="8">
        <f t="shared" si="3"/>
        <v>0.06</v>
      </c>
      <c r="P2305" s="9"/>
    </row>
    <row r="2306">
      <c r="A2306" s="6" t="s">
        <v>5574</v>
      </c>
      <c r="B2306" s="6" t="s">
        <v>1651</v>
      </c>
      <c r="C2306" s="6" t="s">
        <v>30</v>
      </c>
      <c r="D2306" s="6" t="s">
        <v>5575</v>
      </c>
      <c r="E2306" s="6" t="s">
        <v>86</v>
      </c>
      <c r="F2306" s="6" t="s">
        <v>87</v>
      </c>
      <c r="G2306" s="7">
        <v>0.21</v>
      </c>
      <c r="H2306" s="6" t="s">
        <v>651</v>
      </c>
      <c r="I2306" s="6" t="s">
        <v>20</v>
      </c>
      <c r="J2306" s="6">
        <v>2022.0</v>
      </c>
      <c r="L2306" s="6">
        <v>1.0</v>
      </c>
      <c r="M2306" s="8">
        <f t="shared" si="3"/>
        <v>0.21</v>
      </c>
      <c r="P2306" s="9"/>
    </row>
    <row r="2307">
      <c r="A2307" s="6" t="s">
        <v>5576</v>
      </c>
      <c r="B2307" s="6" t="s">
        <v>5577</v>
      </c>
      <c r="C2307" s="6" t="s">
        <v>37</v>
      </c>
      <c r="D2307" s="6" t="s">
        <v>5578</v>
      </c>
      <c r="E2307" s="6" t="s">
        <v>39</v>
      </c>
      <c r="F2307" s="6" t="s">
        <v>40</v>
      </c>
      <c r="G2307" s="7">
        <v>0.04</v>
      </c>
      <c r="H2307" s="6" t="s">
        <v>787</v>
      </c>
      <c r="I2307" s="6" t="s">
        <v>20</v>
      </c>
      <c r="J2307" s="6">
        <v>2023.0</v>
      </c>
      <c r="K2307" s="10">
        <v>46083.0</v>
      </c>
      <c r="L2307" s="6">
        <v>1.0</v>
      </c>
      <c r="M2307" s="8">
        <f t="shared" si="3"/>
        <v>0.04</v>
      </c>
      <c r="P2307" s="9"/>
    </row>
    <row r="2308">
      <c r="A2308" s="6" t="s">
        <v>5579</v>
      </c>
      <c r="B2308" s="6" t="s">
        <v>606</v>
      </c>
      <c r="C2308" s="6" t="s">
        <v>23</v>
      </c>
      <c r="D2308" s="6" t="s">
        <v>5580</v>
      </c>
      <c r="E2308" s="6" t="s">
        <v>1010</v>
      </c>
      <c r="F2308" s="6" t="s">
        <v>87</v>
      </c>
      <c r="G2308" s="7">
        <v>0.15</v>
      </c>
      <c r="H2308" s="6" t="s">
        <v>19</v>
      </c>
      <c r="I2308" s="6" t="s">
        <v>20</v>
      </c>
      <c r="J2308" s="6">
        <v>2023.0</v>
      </c>
      <c r="L2308" s="6">
        <v>1.0</v>
      </c>
      <c r="M2308" s="8">
        <f t="shared" si="3"/>
        <v>0.15</v>
      </c>
      <c r="P2308" s="9"/>
    </row>
    <row r="2309">
      <c r="A2309" s="6" t="s">
        <v>5581</v>
      </c>
      <c r="B2309" s="6" t="s">
        <v>208</v>
      </c>
      <c r="C2309" s="6" t="s">
        <v>37</v>
      </c>
      <c r="D2309" s="6" t="s">
        <v>5582</v>
      </c>
      <c r="E2309" s="6" t="s">
        <v>98</v>
      </c>
      <c r="F2309" s="6" t="s">
        <v>18</v>
      </c>
      <c r="G2309" s="7">
        <v>0.17</v>
      </c>
      <c r="H2309" s="6" t="s">
        <v>113</v>
      </c>
      <c r="I2309" s="6" t="s">
        <v>20</v>
      </c>
      <c r="J2309" s="6">
        <v>2023.0</v>
      </c>
      <c r="K2309" s="10">
        <v>46055.0</v>
      </c>
      <c r="L2309" s="6">
        <v>1.0</v>
      </c>
      <c r="M2309" s="8">
        <f t="shared" si="3"/>
        <v>0.17</v>
      </c>
      <c r="P2309" s="9"/>
    </row>
    <row r="2310">
      <c r="A2310" s="6" t="s">
        <v>5583</v>
      </c>
      <c r="B2310" s="6" t="s">
        <v>1577</v>
      </c>
      <c r="C2310" s="6" t="s">
        <v>43</v>
      </c>
      <c r="D2310" s="6" t="s">
        <v>5584</v>
      </c>
      <c r="F2310" s="6" t="s">
        <v>26</v>
      </c>
      <c r="G2310" s="7">
        <v>0.09</v>
      </c>
      <c r="H2310" s="6" t="s">
        <v>131</v>
      </c>
      <c r="I2310" s="6" t="s">
        <v>20</v>
      </c>
      <c r="J2310" s="6">
        <v>2019.0</v>
      </c>
      <c r="L2310" s="6">
        <v>3.0</v>
      </c>
      <c r="M2310" s="8">
        <f t="shared" si="3"/>
        <v>0.27</v>
      </c>
      <c r="P2310" s="9"/>
    </row>
    <row r="2311">
      <c r="A2311" s="6" t="s">
        <v>5585</v>
      </c>
      <c r="B2311" s="6" t="s">
        <v>1577</v>
      </c>
      <c r="C2311" s="6" t="s">
        <v>43</v>
      </c>
      <c r="D2311" s="6" t="s">
        <v>5584</v>
      </c>
      <c r="F2311" s="6" t="s">
        <v>26</v>
      </c>
      <c r="G2311" s="7">
        <v>0.1</v>
      </c>
      <c r="H2311" s="6" t="s">
        <v>131</v>
      </c>
      <c r="I2311" s="6" t="s">
        <v>20</v>
      </c>
      <c r="J2311" s="6">
        <v>2019.0</v>
      </c>
      <c r="L2311" s="6">
        <v>2.0</v>
      </c>
      <c r="M2311" s="8">
        <f t="shared" si="3"/>
        <v>0.2</v>
      </c>
      <c r="P2311" s="9"/>
    </row>
    <row r="2312">
      <c r="A2312" s="6" t="s">
        <v>5585</v>
      </c>
      <c r="B2312" s="6" t="s">
        <v>1577</v>
      </c>
      <c r="C2312" s="6" t="s">
        <v>43</v>
      </c>
      <c r="D2312" s="6" t="s">
        <v>5584</v>
      </c>
      <c r="F2312" s="6" t="s">
        <v>26</v>
      </c>
      <c r="G2312" s="7">
        <v>0.15</v>
      </c>
      <c r="H2312" s="6" t="s">
        <v>131</v>
      </c>
      <c r="I2312" s="6" t="s">
        <v>20</v>
      </c>
      <c r="J2312" s="6">
        <v>2019.0</v>
      </c>
      <c r="L2312" s="6">
        <v>2.0</v>
      </c>
      <c r="M2312" s="8">
        <f t="shared" si="3"/>
        <v>0.3</v>
      </c>
      <c r="P2312" s="9"/>
    </row>
    <row r="2313">
      <c r="A2313" s="6" t="s">
        <v>5586</v>
      </c>
      <c r="B2313" s="6" t="s">
        <v>162</v>
      </c>
      <c r="C2313" s="6" t="s">
        <v>43</v>
      </c>
      <c r="D2313" s="6" t="s">
        <v>5587</v>
      </c>
      <c r="E2313" s="6" t="s">
        <v>389</v>
      </c>
      <c r="F2313" s="6" t="s">
        <v>87</v>
      </c>
      <c r="G2313" s="7">
        <v>0.03</v>
      </c>
      <c r="H2313" s="6" t="s">
        <v>382</v>
      </c>
      <c r="I2313" s="6" t="s">
        <v>20</v>
      </c>
      <c r="J2313" s="6">
        <v>2020.0</v>
      </c>
      <c r="L2313" s="6">
        <v>1.0</v>
      </c>
      <c r="M2313" s="8">
        <f t="shared" si="3"/>
        <v>0.03</v>
      </c>
      <c r="P2313" s="9"/>
    </row>
    <row r="2314">
      <c r="A2314" s="6" t="s">
        <v>5588</v>
      </c>
      <c r="B2314" s="6" t="s">
        <v>5054</v>
      </c>
      <c r="C2314" s="6" t="s">
        <v>43</v>
      </c>
      <c r="D2314" s="6" t="s">
        <v>5589</v>
      </c>
      <c r="E2314" s="6" t="s">
        <v>125</v>
      </c>
      <c r="F2314" s="6" t="s">
        <v>40</v>
      </c>
      <c r="G2314" s="7">
        <v>0.05</v>
      </c>
      <c r="H2314" s="6" t="s">
        <v>475</v>
      </c>
      <c r="I2314" s="6" t="s">
        <v>20</v>
      </c>
      <c r="J2314" s="6">
        <v>2024.0</v>
      </c>
      <c r="K2314" s="10">
        <v>46023.0</v>
      </c>
      <c r="L2314" s="6">
        <v>1.0</v>
      </c>
      <c r="M2314" s="8">
        <f t="shared" si="3"/>
        <v>0.05</v>
      </c>
      <c r="P2314" s="9"/>
    </row>
    <row r="2315">
      <c r="A2315" s="6" t="s">
        <v>5590</v>
      </c>
      <c r="B2315" s="6" t="s">
        <v>5591</v>
      </c>
      <c r="C2315" s="6" t="s">
        <v>43</v>
      </c>
      <c r="D2315" s="6" t="s">
        <v>5592</v>
      </c>
      <c r="E2315" s="6" t="s">
        <v>329</v>
      </c>
      <c r="F2315" s="6" t="s">
        <v>112</v>
      </c>
      <c r="G2315" s="7">
        <v>0.05</v>
      </c>
      <c r="H2315" s="6" t="s">
        <v>228</v>
      </c>
      <c r="I2315" s="6" t="s">
        <v>20</v>
      </c>
      <c r="J2315" s="6">
        <v>2025.0</v>
      </c>
      <c r="K2315" s="10">
        <v>46083.0</v>
      </c>
      <c r="L2315" s="6">
        <v>1.0</v>
      </c>
      <c r="M2315" s="8">
        <f t="shared" si="3"/>
        <v>0.05</v>
      </c>
      <c r="P2315" s="9"/>
    </row>
    <row r="2316">
      <c r="A2316" s="6" t="s">
        <v>5593</v>
      </c>
      <c r="B2316" s="6" t="s">
        <v>4844</v>
      </c>
      <c r="C2316" s="6" t="s">
        <v>309</v>
      </c>
      <c r="D2316" s="6" t="s">
        <v>5594</v>
      </c>
      <c r="E2316" s="6" t="s">
        <v>176</v>
      </c>
      <c r="F2316" s="6" t="s">
        <v>77</v>
      </c>
      <c r="G2316" s="7">
        <v>0.3</v>
      </c>
      <c r="H2316" s="6" t="s">
        <v>2041</v>
      </c>
      <c r="I2316" s="6" t="s">
        <v>20</v>
      </c>
      <c r="J2316" s="6">
        <v>1998.0</v>
      </c>
      <c r="K2316" s="10">
        <v>46023.0</v>
      </c>
      <c r="L2316" s="6">
        <v>2.0</v>
      </c>
      <c r="M2316" s="8">
        <f t="shared" si="3"/>
        <v>0.6</v>
      </c>
      <c r="P2316" s="9"/>
    </row>
    <row r="2317">
      <c r="A2317" s="6" t="s">
        <v>5595</v>
      </c>
      <c r="B2317" s="6" t="s">
        <v>192</v>
      </c>
      <c r="C2317" s="6" t="s">
        <v>37</v>
      </c>
      <c r="D2317" s="6" t="s">
        <v>5596</v>
      </c>
      <c r="E2317" s="6" t="s">
        <v>994</v>
      </c>
      <c r="F2317" s="6" t="s">
        <v>26</v>
      </c>
      <c r="G2317" s="7">
        <v>0.09</v>
      </c>
      <c r="H2317" s="6" t="s">
        <v>421</v>
      </c>
      <c r="I2317" s="6" t="s">
        <v>20</v>
      </c>
      <c r="J2317" s="6">
        <v>2000.0</v>
      </c>
      <c r="L2317" s="6">
        <v>1.0</v>
      </c>
      <c r="M2317" s="8">
        <f t="shared" si="3"/>
        <v>0.09</v>
      </c>
      <c r="P2317" s="9"/>
    </row>
    <row r="2318">
      <c r="A2318" s="6" t="s">
        <v>5597</v>
      </c>
      <c r="B2318" s="6" t="s">
        <v>5598</v>
      </c>
      <c r="C2318" s="6" t="s">
        <v>23</v>
      </c>
      <c r="D2318" s="6" t="s">
        <v>5599</v>
      </c>
      <c r="E2318" s="6" t="s">
        <v>457</v>
      </c>
      <c r="F2318" s="6" t="s">
        <v>112</v>
      </c>
      <c r="G2318" s="7">
        <v>0.13</v>
      </c>
      <c r="H2318" s="6" t="s">
        <v>27</v>
      </c>
      <c r="I2318" s="6" t="s">
        <v>20</v>
      </c>
      <c r="J2318" s="6">
        <v>2026.0</v>
      </c>
      <c r="K2318" s="10">
        <v>46084.0</v>
      </c>
      <c r="L2318" s="6">
        <v>4.0</v>
      </c>
      <c r="M2318" s="8">
        <f t="shared" si="3"/>
        <v>0.52</v>
      </c>
      <c r="P2318" s="9"/>
    </row>
    <row r="2319">
      <c r="A2319" s="6" t="s">
        <v>5597</v>
      </c>
      <c r="B2319" s="6" t="s">
        <v>5598</v>
      </c>
      <c r="C2319" s="6" t="s">
        <v>23</v>
      </c>
      <c r="D2319" s="6" t="s">
        <v>5599</v>
      </c>
      <c r="E2319" s="6" t="s">
        <v>457</v>
      </c>
      <c r="F2319" s="6" t="s">
        <v>112</v>
      </c>
      <c r="G2319" s="7">
        <v>0.84</v>
      </c>
      <c r="H2319" s="6" t="s">
        <v>27</v>
      </c>
      <c r="I2319" s="6" t="s">
        <v>20</v>
      </c>
      <c r="J2319" s="6">
        <v>2026.0</v>
      </c>
      <c r="K2319" s="10">
        <v>46084.0</v>
      </c>
      <c r="L2319" s="6">
        <v>1.0</v>
      </c>
      <c r="M2319" s="8">
        <f t="shared" si="3"/>
        <v>0.84</v>
      </c>
      <c r="P2319" s="9"/>
    </row>
    <row r="2320">
      <c r="A2320" s="6" t="s">
        <v>5597</v>
      </c>
      <c r="B2320" s="6" t="s">
        <v>5598</v>
      </c>
      <c r="C2320" s="6" t="s">
        <v>23</v>
      </c>
      <c r="D2320" s="6" t="s">
        <v>5599</v>
      </c>
      <c r="E2320" s="6" t="s">
        <v>457</v>
      </c>
      <c r="F2320" s="6" t="s">
        <v>112</v>
      </c>
      <c r="G2320" s="7">
        <v>0.13</v>
      </c>
      <c r="H2320" s="6" t="s">
        <v>27</v>
      </c>
      <c r="I2320" s="6" t="s">
        <v>20</v>
      </c>
      <c r="J2320" s="6">
        <v>2026.0</v>
      </c>
      <c r="K2320" s="10">
        <v>46084.0</v>
      </c>
      <c r="L2320" s="6">
        <v>2.0</v>
      </c>
      <c r="M2320" s="8">
        <f t="shared" si="3"/>
        <v>0.26</v>
      </c>
      <c r="P2320" s="9"/>
    </row>
    <row r="2321">
      <c r="A2321" s="6" t="s">
        <v>5597</v>
      </c>
      <c r="B2321" s="6" t="s">
        <v>5598</v>
      </c>
      <c r="C2321" s="6" t="s">
        <v>23</v>
      </c>
      <c r="D2321" s="6" t="s">
        <v>5599</v>
      </c>
      <c r="E2321" s="6" t="s">
        <v>457</v>
      </c>
      <c r="F2321" s="6" t="s">
        <v>112</v>
      </c>
      <c r="G2321" s="7">
        <v>0.34</v>
      </c>
      <c r="H2321" s="6" t="s">
        <v>27</v>
      </c>
      <c r="I2321" s="6" t="s">
        <v>45</v>
      </c>
      <c r="J2321" s="6">
        <v>2026.0</v>
      </c>
      <c r="K2321" s="10">
        <v>46084.0</v>
      </c>
      <c r="L2321" s="6">
        <v>1.0</v>
      </c>
      <c r="M2321" s="8">
        <f t="shared" si="3"/>
        <v>0.34</v>
      </c>
      <c r="P2321" s="9"/>
    </row>
    <row r="2322">
      <c r="A2322" s="6" t="s">
        <v>5600</v>
      </c>
      <c r="B2322" s="6" t="s">
        <v>74</v>
      </c>
      <c r="C2322" s="6" t="s">
        <v>43</v>
      </c>
      <c r="D2322" s="6" t="s">
        <v>5601</v>
      </c>
      <c r="E2322" s="6" t="s">
        <v>140</v>
      </c>
      <c r="F2322" s="6" t="s">
        <v>87</v>
      </c>
      <c r="G2322" s="7">
        <v>0.03</v>
      </c>
      <c r="H2322" s="6" t="s">
        <v>1776</v>
      </c>
      <c r="I2322" s="6" t="s">
        <v>20</v>
      </c>
      <c r="J2322" s="6">
        <v>2017.0</v>
      </c>
      <c r="L2322" s="6">
        <v>1.0</v>
      </c>
      <c r="M2322" s="8">
        <f t="shared" si="3"/>
        <v>0.03</v>
      </c>
      <c r="P2322" s="9"/>
    </row>
    <row r="2323">
      <c r="A2323" s="6" t="s">
        <v>5602</v>
      </c>
      <c r="B2323" s="6" t="s">
        <v>146</v>
      </c>
      <c r="C2323" s="6" t="s">
        <v>30</v>
      </c>
      <c r="D2323" s="6" t="s">
        <v>5603</v>
      </c>
      <c r="E2323" s="6" t="s">
        <v>224</v>
      </c>
      <c r="F2323" s="6" t="s">
        <v>18</v>
      </c>
      <c r="G2323" s="7">
        <v>0.35</v>
      </c>
      <c r="H2323" s="6" t="s">
        <v>144</v>
      </c>
      <c r="I2323" s="6" t="s">
        <v>20</v>
      </c>
      <c r="J2323" s="6">
        <v>2018.0</v>
      </c>
      <c r="L2323" s="6">
        <v>1.0</v>
      </c>
      <c r="M2323" s="8">
        <f t="shared" si="3"/>
        <v>0.35</v>
      </c>
      <c r="P2323" s="9"/>
    </row>
    <row r="2324">
      <c r="A2324" s="6" t="s">
        <v>5604</v>
      </c>
      <c r="B2324" s="6" t="s">
        <v>5605</v>
      </c>
      <c r="C2324" s="6" t="s">
        <v>30</v>
      </c>
      <c r="D2324" s="6" t="s">
        <v>5606</v>
      </c>
      <c r="E2324" s="6" t="s">
        <v>681</v>
      </c>
      <c r="F2324" s="6" t="s">
        <v>26</v>
      </c>
      <c r="G2324" s="7">
        <v>0.5</v>
      </c>
      <c r="H2324" s="6" t="s">
        <v>5607</v>
      </c>
      <c r="I2324" s="6" t="s">
        <v>20</v>
      </c>
      <c r="J2324" s="6">
        <v>2014.0</v>
      </c>
      <c r="L2324" s="6">
        <v>1.0</v>
      </c>
      <c r="M2324" s="8">
        <f t="shared" si="3"/>
        <v>0.5</v>
      </c>
      <c r="P2324" s="9"/>
    </row>
    <row r="2325">
      <c r="A2325" s="6" t="s">
        <v>5608</v>
      </c>
      <c r="B2325" s="6" t="s">
        <v>5609</v>
      </c>
      <c r="C2325" s="6" t="s">
        <v>23</v>
      </c>
      <c r="D2325" s="6" t="s">
        <v>5610</v>
      </c>
      <c r="E2325" s="6" t="s">
        <v>5611</v>
      </c>
      <c r="F2325" s="6" t="s">
        <v>112</v>
      </c>
      <c r="G2325" s="7">
        <v>0.2</v>
      </c>
      <c r="H2325" s="6" t="s">
        <v>1784</v>
      </c>
      <c r="I2325" s="6" t="s">
        <v>20</v>
      </c>
      <c r="J2325" s="6">
        <v>2026.0</v>
      </c>
      <c r="K2325" s="10">
        <v>46146.0</v>
      </c>
      <c r="L2325" s="6">
        <v>3.0</v>
      </c>
      <c r="M2325" s="8">
        <f t="shared" si="3"/>
        <v>0.6</v>
      </c>
      <c r="P2325" s="9"/>
    </row>
    <row r="2326">
      <c r="A2326" s="6" t="s">
        <v>5612</v>
      </c>
      <c r="B2326" s="6" t="s">
        <v>2175</v>
      </c>
      <c r="C2326" s="6" t="s">
        <v>43</v>
      </c>
      <c r="D2326" s="6" t="s">
        <v>5613</v>
      </c>
      <c r="E2326" s="6" t="s">
        <v>4910</v>
      </c>
      <c r="F2326" s="6" t="s">
        <v>71</v>
      </c>
      <c r="G2326" s="7">
        <v>0.25</v>
      </c>
      <c r="H2326" s="6" t="s">
        <v>34</v>
      </c>
      <c r="I2326" s="6" t="s">
        <v>45</v>
      </c>
      <c r="J2326" s="6">
        <v>2025.0</v>
      </c>
      <c r="K2326" s="10">
        <v>46024.0</v>
      </c>
      <c r="L2326" s="6">
        <v>1.0</v>
      </c>
      <c r="M2326" s="8">
        <f t="shared" si="3"/>
        <v>0.25</v>
      </c>
      <c r="P2326" s="9"/>
    </row>
    <row r="2327">
      <c r="A2327" s="6" t="s">
        <v>5614</v>
      </c>
      <c r="B2327" s="6" t="s">
        <v>1619</v>
      </c>
      <c r="C2327" s="6" t="s">
        <v>15</v>
      </c>
      <c r="D2327" s="6" t="s">
        <v>5615</v>
      </c>
      <c r="E2327" s="6" t="s">
        <v>172</v>
      </c>
      <c r="F2327" s="6" t="s">
        <v>112</v>
      </c>
      <c r="G2327" s="7">
        <v>0.15</v>
      </c>
      <c r="H2327" s="6" t="s">
        <v>153</v>
      </c>
      <c r="I2327" s="6" t="s">
        <v>20</v>
      </c>
      <c r="J2327" s="6">
        <v>2025.0</v>
      </c>
      <c r="K2327" s="10">
        <v>46055.0</v>
      </c>
      <c r="L2327" s="6">
        <v>1.0</v>
      </c>
      <c r="M2327" s="8">
        <f t="shared" si="3"/>
        <v>0.15</v>
      </c>
      <c r="P2327" s="9"/>
    </row>
    <row r="2328">
      <c r="A2328" s="6" t="s">
        <v>5616</v>
      </c>
      <c r="B2328" s="6" t="s">
        <v>657</v>
      </c>
      <c r="C2328" s="6" t="s">
        <v>23</v>
      </c>
      <c r="D2328" s="6" t="s">
        <v>5617</v>
      </c>
      <c r="E2328" s="6" t="s">
        <v>1998</v>
      </c>
      <c r="F2328" s="6" t="s">
        <v>77</v>
      </c>
      <c r="G2328" s="7">
        <v>0.75</v>
      </c>
      <c r="H2328" s="6" t="s">
        <v>153</v>
      </c>
      <c r="I2328" s="6" t="s">
        <v>20</v>
      </c>
      <c r="J2328" s="6">
        <v>2025.0</v>
      </c>
      <c r="L2328" s="6">
        <v>11.0</v>
      </c>
      <c r="M2328" s="8">
        <f t="shared" si="3"/>
        <v>8.25</v>
      </c>
      <c r="P2328" s="9"/>
    </row>
    <row r="2329">
      <c r="A2329" s="6" t="s">
        <v>5618</v>
      </c>
      <c r="B2329" s="6" t="s">
        <v>511</v>
      </c>
      <c r="C2329" s="6" t="s">
        <v>15</v>
      </c>
      <c r="D2329" s="6" t="s">
        <v>5619</v>
      </c>
      <c r="E2329" s="6" t="s">
        <v>5620</v>
      </c>
      <c r="F2329" s="6" t="s">
        <v>2640</v>
      </c>
      <c r="G2329" s="7">
        <v>2.99</v>
      </c>
      <c r="H2329" s="6" t="s">
        <v>153</v>
      </c>
      <c r="I2329" s="6" t="s">
        <v>45</v>
      </c>
      <c r="J2329" s="6">
        <v>2025.0</v>
      </c>
      <c r="K2329" s="10">
        <v>46055.0</v>
      </c>
      <c r="L2329" s="6">
        <v>1.0</v>
      </c>
      <c r="M2329" s="8">
        <f t="shared" si="3"/>
        <v>2.99</v>
      </c>
      <c r="P2329" s="9"/>
    </row>
    <row r="2330">
      <c r="A2330" s="6" t="s">
        <v>5621</v>
      </c>
      <c r="B2330" s="6" t="s">
        <v>162</v>
      </c>
      <c r="C2330" s="6" t="s">
        <v>43</v>
      </c>
      <c r="D2330" s="6" t="s">
        <v>5622</v>
      </c>
      <c r="E2330" s="6" t="s">
        <v>179</v>
      </c>
      <c r="F2330" s="6" t="s">
        <v>112</v>
      </c>
      <c r="G2330" s="7">
        <v>0.05</v>
      </c>
      <c r="H2330" s="6" t="s">
        <v>895</v>
      </c>
      <c r="I2330" s="6" t="s">
        <v>20</v>
      </c>
      <c r="J2330" s="6">
        <v>2018.0</v>
      </c>
      <c r="L2330" s="6">
        <v>1.0</v>
      </c>
      <c r="M2330" s="8">
        <f t="shared" si="3"/>
        <v>0.05</v>
      </c>
      <c r="P2330" s="9"/>
    </row>
    <row r="2331">
      <c r="A2331" s="6" t="s">
        <v>5623</v>
      </c>
      <c r="B2331" s="6" t="s">
        <v>42</v>
      </c>
      <c r="C2331" s="6" t="s">
        <v>37</v>
      </c>
      <c r="D2331" s="6" t="s">
        <v>5624</v>
      </c>
      <c r="E2331" s="6" t="s">
        <v>86</v>
      </c>
      <c r="F2331" s="6" t="s">
        <v>87</v>
      </c>
      <c r="G2331" s="7">
        <v>0.25</v>
      </c>
      <c r="H2331" s="6" t="s">
        <v>34</v>
      </c>
      <c r="I2331" s="6" t="s">
        <v>20</v>
      </c>
      <c r="J2331" s="6">
        <v>2025.0</v>
      </c>
      <c r="L2331" s="6">
        <v>1.0</v>
      </c>
      <c r="M2331" s="8">
        <f t="shared" si="3"/>
        <v>0.25</v>
      </c>
      <c r="P2331" s="9"/>
    </row>
    <row r="2332">
      <c r="A2332" s="6" t="s">
        <v>5623</v>
      </c>
      <c r="B2332" s="6" t="s">
        <v>42</v>
      </c>
      <c r="C2332" s="6" t="s">
        <v>37</v>
      </c>
      <c r="D2332" s="6" t="s">
        <v>5624</v>
      </c>
      <c r="E2332" s="6" t="s">
        <v>86</v>
      </c>
      <c r="F2332" s="6" t="s">
        <v>87</v>
      </c>
      <c r="G2332" s="7">
        <v>2.97</v>
      </c>
      <c r="H2332" s="6" t="s">
        <v>34</v>
      </c>
      <c r="I2332" s="6" t="s">
        <v>45</v>
      </c>
      <c r="J2332" s="6">
        <v>2025.0</v>
      </c>
      <c r="L2332" s="6">
        <v>1.0</v>
      </c>
      <c r="M2332" s="8">
        <f t="shared" si="3"/>
        <v>2.97</v>
      </c>
      <c r="P2332" s="9"/>
    </row>
    <row r="2333">
      <c r="A2333" s="6" t="s">
        <v>5625</v>
      </c>
      <c r="B2333" s="6" t="s">
        <v>3592</v>
      </c>
      <c r="C2333" s="6" t="s">
        <v>43</v>
      </c>
      <c r="D2333" s="6" t="s">
        <v>5626</v>
      </c>
      <c r="E2333" s="6" t="s">
        <v>117</v>
      </c>
      <c r="F2333" s="6" t="s">
        <v>77</v>
      </c>
      <c r="G2333" s="7">
        <v>0.17</v>
      </c>
      <c r="H2333" s="6" t="s">
        <v>2157</v>
      </c>
      <c r="I2333" s="6" t="s">
        <v>20</v>
      </c>
      <c r="J2333" s="6">
        <v>2008.0</v>
      </c>
      <c r="K2333" s="10">
        <v>46023.0</v>
      </c>
      <c r="L2333" s="6">
        <v>4.0</v>
      </c>
      <c r="M2333" s="8">
        <f t="shared" si="3"/>
        <v>0.68</v>
      </c>
      <c r="P2333" s="9"/>
    </row>
    <row r="2334">
      <c r="A2334" s="6" t="s">
        <v>5627</v>
      </c>
      <c r="B2334" s="6" t="s">
        <v>1533</v>
      </c>
      <c r="C2334" s="6" t="s">
        <v>43</v>
      </c>
      <c r="D2334" s="6" t="s">
        <v>5628</v>
      </c>
      <c r="E2334" s="6" t="s">
        <v>3021</v>
      </c>
      <c r="F2334" s="6" t="s">
        <v>71</v>
      </c>
      <c r="G2334" s="7">
        <v>0.1</v>
      </c>
      <c r="H2334" s="6" t="s">
        <v>471</v>
      </c>
      <c r="I2334" s="6" t="s">
        <v>20</v>
      </c>
      <c r="J2334" s="6">
        <v>2026.0</v>
      </c>
      <c r="K2334" s="10">
        <v>46083.0</v>
      </c>
      <c r="L2334" s="6">
        <v>1.0</v>
      </c>
      <c r="M2334" s="8">
        <f t="shared" si="3"/>
        <v>0.1</v>
      </c>
      <c r="P2334" s="9"/>
    </row>
    <row r="2335">
      <c r="A2335" s="6" t="s">
        <v>5629</v>
      </c>
      <c r="B2335" s="6" t="s">
        <v>685</v>
      </c>
      <c r="C2335" s="6" t="s">
        <v>37</v>
      </c>
      <c r="D2335" s="6" t="s">
        <v>5630</v>
      </c>
      <c r="E2335" s="6" t="s">
        <v>82</v>
      </c>
      <c r="F2335" s="6" t="s">
        <v>77</v>
      </c>
      <c r="G2335" s="7">
        <v>0.19</v>
      </c>
      <c r="H2335" s="6" t="s">
        <v>113</v>
      </c>
      <c r="I2335" s="6" t="s">
        <v>20</v>
      </c>
      <c r="J2335" s="6">
        <v>2023.0</v>
      </c>
      <c r="K2335" s="10">
        <v>46055.0</v>
      </c>
      <c r="L2335" s="6">
        <v>1.0</v>
      </c>
      <c r="M2335" s="8">
        <f t="shared" si="3"/>
        <v>0.19</v>
      </c>
      <c r="P2335" s="9"/>
    </row>
    <row r="2336">
      <c r="A2336" s="6" t="s">
        <v>5629</v>
      </c>
      <c r="B2336" s="6" t="s">
        <v>685</v>
      </c>
      <c r="C2336" s="6" t="s">
        <v>30</v>
      </c>
      <c r="D2336" s="6" t="s">
        <v>5630</v>
      </c>
      <c r="E2336" s="6" t="s">
        <v>82</v>
      </c>
      <c r="F2336" s="6" t="s">
        <v>77</v>
      </c>
      <c r="G2336" s="7">
        <v>0.25</v>
      </c>
      <c r="H2336" s="6" t="s">
        <v>373</v>
      </c>
      <c r="I2336" s="6" t="s">
        <v>20</v>
      </c>
      <c r="J2336" s="6">
        <v>2015.0</v>
      </c>
      <c r="K2336" s="10">
        <v>46055.0</v>
      </c>
      <c r="L2336" s="6">
        <v>1.0</v>
      </c>
      <c r="M2336" s="8">
        <f t="shared" si="3"/>
        <v>0.25</v>
      </c>
      <c r="P2336" s="9"/>
    </row>
    <row r="2337">
      <c r="A2337" s="6" t="s">
        <v>5631</v>
      </c>
      <c r="B2337" s="6" t="s">
        <v>5632</v>
      </c>
      <c r="C2337" s="6" t="s">
        <v>43</v>
      </c>
      <c r="D2337" s="6" t="s">
        <v>5633</v>
      </c>
      <c r="E2337" s="6" t="s">
        <v>76</v>
      </c>
      <c r="F2337" s="6" t="s">
        <v>77</v>
      </c>
      <c r="G2337" s="7">
        <v>0.06</v>
      </c>
      <c r="H2337" s="6" t="s">
        <v>674</v>
      </c>
      <c r="I2337" s="6" t="s">
        <v>20</v>
      </c>
      <c r="J2337" s="6">
        <v>2021.0</v>
      </c>
      <c r="K2337" s="6" t="s">
        <v>445</v>
      </c>
      <c r="L2337" s="6">
        <v>1.0</v>
      </c>
      <c r="M2337" s="8">
        <f t="shared" si="3"/>
        <v>0.06</v>
      </c>
      <c r="P2337" s="9"/>
    </row>
    <row r="2338">
      <c r="A2338" s="6" t="s">
        <v>5634</v>
      </c>
      <c r="B2338" s="6" t="s">
        <v>5635</v>
      </c>
      <c r="C2338" s="6" t="s">
        <v>43</v>
      </c>
      <c r="D2338" s="6" t="s">
        <v>5636</v>
      </c>
      <c r="E2338" s="6" t="s">
        <v>994</v>
      </c>
      <c r="F2338" s="6" t="s">
        <v>26</v>
      </c>
      <c r="G2338" s="7">
        <v>0.09</v>
      </c>
      <c r="H2338" s="6" t="s">
        <v>1833</v>
      </c>
      <c r="I2338" s="6" t="s">
        <v>20</v>
      </c>
      <c r="J2338" s="6">
        <v>2018.0</v>
      </c>
      <c r="K2338" s="6" t="s">
        <v>66</v>
      </c>
      <c r="L2338" s="6">
        <v>1.0</v>
      </c>
      <c r="M2338" s="8">
        <f t="shared" si="3"/>
        <v>0.09</v>
      </c>
      <c r="P2338" s="9"/>
    </row>
    <row r="2339">
      <c r="A2339" s="6" t="s">
        <v>5637</v>
      </c>
      <c r="B2339" s="6" t="s">
        <v>778</v>
      </c>
      <c r="C2339" s="6" t="s">
        <v>15</v>
      </c>
      <c r="D2339" s="6" t="s">
        <v>5638</v>
      </c>
      <c r="E2339" s="6" t="s">
        <v>616</v>
      </c>
      <c r="F2339" s="6" t="s">
        <v>40</v>
      </c>
      <c r="G2339" s="7">
        <v>0.28</v>
      </c>
      <c r="H2339" s="6" t="s">
        <v>617</v>
      </c>
      <c r="I2339" s="6" t="s">
        <v>20</v>
      </c>
      <c r="J2339" s="6">
        <v>2026.0</v>
      </c>
      <c r="L2339" s="6">
        <v>1.0</v>
      </c>
      <c r="M2339" s="8">
        <f t="shared" si="3"/>
        <v>0.28</v>
      </c>
      <c r="P2339" s="9"/>
    </row>
    <row r="2340">
      <c r="A2340" s="6" t="s">
        <v>5639</v>
      </c>
      <c r="B2340" s="6" t="s">
        <v>5640</v>
      </c>
      <c r="C2340" s="6" t="s">
        <v>43</v>
      </c>
      <c r="D2340" s="6" t="s">
        <v>5641</v>
      </c>
      <c r="E2340" s="6" t="s">
        <v>579</v>
      </c>
      <c r="F2340" s="6" t="s">
        <v>112</v>
      </c>
      <c r="G2340" s="7">
        <v>0.1</v>
      </c>
      <c r="H2340" s="6" t="s">
        <v>136</v>
      </c>
      <c r="I2340" s="6" t="s">
        <v>20</v>
      </c>
      <c r="J2340" s="6">
        <v>2026.0</v>
      </c>
      <c r="K2340" s="10">
        <v>46116.0</v>
      </c>
      <c r="L2340" s="6">
        <v>1.0</v>
      </c>
      <c r="M2340" s="8">
        <f t="shared" si="3"/>
        <v>0.1</v>
      </c>
      <c r="P2340" s="9"/>
    </row>
    <row r="2341">
      <c r="A2341" s="6" t="s">
        <v>5642</v>
      </c>
      <c r="B2341" s="6" t="s">
        <v>5643</v>
      </c>
      <c r="C2341" s="6" t="s">
        <v>43</v>
      </c>
      <c r="E2341" s="6" t="s">
        <v>1702</v>
      </c>
      <c r="F2341" s="6" t="s">
        <v>112</v>
      </c>
      <c r="G2341" s="7">
        <v>0.01</v>
      </c>
      <c r="H2341" s="6" t="s">
        <v>290</v>
      </c>
      <c r="I2341" s="6" t="s">
        <v>20</v>
      </c>
      <c r="J2341" s="6">
        <v>2019.0</v>
      </c>
      <c r="K2341" s="10">
        <v>46180.0</v>
      </c>
      <c r="L2341" s="6">
        <v>1.0</v>
      </c>
      <c r="M2341" s="8">
        <f t="shared" si="3"/>
        <v>0.01</v>
      </c>
      <c r="P2341" s="9"/>
    </row>
    <row r="2342">
      <c r="A2342" s="6" t="s">
        <v>5644</v>
      </c>
      <c r="B2342" s="6" t="s">
        <v>2574</v>
      </c>
      <c r="C2342" s="6" t="s">
        <v>37</v>
      </c>
      <c r="D2342" s="6" t="s">
        <v>5645</v>
      </c>
      <c r="E2342" s="6" t="s">
        <v>3445</v>
      </c>
      <c r="F2342" s="6" t="s">
        <v>717</v>
      </c>
      <c r="G2342" s="7">
        <v>0.18</v>
      </c>
      <c r="H2342" s="6" t="s">
        <v>19</v>
      </c>
      <c r="I2342" s="6" t="s">
        <v>20</v>
      </c>
      <c r="J2342" s="6">
        <v>2023.0</v>
      </c>
      <c r="K2342" s="10">
        <v>46055.0</v>
      </c>
      <c r="L2342" s="6">
        <v>1.0</v>
      </c>
      <c r="M2342" s="8">
        <f t="shared" si="3"/>
        <v>0.18</v>
      </c>
      <c r="P2342" s="9"/>
    </row>
    <row r="2343">
      <c r="A2343" s="6" t="s">
        <v>5646</v>
      </c>
      <c r="B2343" s="6" t="s">
        <v>2110</v>
      </c>
      <c r="C2343" s="6" t="s">
        <v>15</v>
      </c>
      <c r="D2343" s="6" t="s">
        <v>5647</v>
      </c>
      <c r="E2343" s="6" t="s">
        <v>3445</v>
      </c>
      <c r="F2343" s="6" t="s">
        <v>717</v>
      </c>
      <c r="G2343" s="7">
        <v>0.25</v>
      </c>
      <c r="H2343" s="6" t="s">
        <v>19</v>
      </c>
      <c r="I2343" s="6" t="s">
        <v>20</v>
      </c>
      <c r="J2343" s="6">
        <v>2023.0</v>
      </c>
      <c r="K2343" s="10">
        <v>46055.0</v>
      </c>
      <c r="L2343" s="6">
        <v>1.0</v>
      </c>
      <c r="M2343" s="8">
        <f t="shared" si="3"/>
        <v>0.25</v>
      </c>
      <c r="P2343" s="9"/>
    </row>
    <row r="2344">
      <c r="A2344" s="6" t="s">
        <v>5648</v>
      </c>
      <c r="B2344" s="6" t="s">
        <v>138</v>
      </c>
      <c r="C2344" s="6" t="s">
        <v>23</v>
      </c>
      <c r="D2344" s="6" t="s">
        <v>5649</v>
      </c>
      <c r="E2344" s="6" t="s">
        <v>277</v>
      </c>
      <c r="F2344" s="6" t="s">
        <v>112</v>
      </c>
      <c r="G2344" s="7">
        <v>0.1</v>
      </c>
      <c r="H2344" s="6" t="s">
        <v>2318</v>
      </c>
      <c r="I2344" s="6" t="s">
        <v>20</v>
      </c>
      <c r="J2344" s="6">
        <v>2025.0</v>
      </c>
      <c r="L2344" s="6">
        <v>11.0</v>
      </c>
      <c r="M2344" s="8">
        <f t="shared" si="3"/>
        <v>1.1</v>
      </c>
      <c r="P2344" s="9"/>
    </row>
    <row r="2345">
      <c r="A2345" s="6" t="s">
        <v>5648</v>
      </c>
      <c r="B2345" s="6" t="s">
        <v>138</v>
      </c>
      <c r="C2345" s="6" t="s">
        <v>23</v>
      </c>
      <c r="D2345" s="6" t="s">
        <v>5649</v>
      </c>
      <c r="E2345" s="6" t="s">
        <v>277</v>
      </c>
      <c r="F2345" s="6" t="s">
        <v>112</v>
      </c>
      <c r="G2345" s="7">
        <v>0.1</v>
      </c>
      <c r="H2345" s="6" t="s">
        <v>2318</v>
      </c>
      <c r="I2345" s="6" t="s">
        <v>45</v>
      </c>
      <c r="J2345" s="6">
        <v>2025.0</v>
      </c>
      <c r="L2345" s="6">
        <v>1.0</v>
      </c>
      <c r="M2345" s="8">
        <f t="shared" si="3"/>
        <v>0.1</v>
      </c>
      <c r="P2345" s="9"/>
    </row>
    <row r="2346">
      <c r="A2346" s="6" t="s">
        <v>5650</v>
      </c>
      <c r="B2346" s="6" t="s">
        <v>219</v>
      </c>
      <c r="C2346" s="6" t="s">
        <v>43</v>
      </c>
      <c r="D2346" s="6" t="s">
        <v>5651</v>
      </c>
      <c r="E2346" s="6" t="s">
        <v>25</v>
      </c>
      <c r="F2346" s="6" t="s">
        <v>26</v>
      </c>
      <c r="G2346" s="7">
        <v>0.2</v>
      </c>
      <c r="H2346" s="6" t="s">
        <v>113</v>
      </c>
      <c r="I2346" s="6" t="s">
        <v>20</v>
      </c>
      <c r="J2346" s="6">
        <v>2023.0</v>
      </c>
      <c r="L2346" s="6">
        <v>1.0</v>
      </c>
      <c r="M2346" s="8">
        <f t="shared" si="3"/>
        <v>0.2</v>
      </c>
      <c r="P2346" s="9"/>
    </row>
    <row r="2347">
      <c r="A2347" s="6" t="s">
        <v>5650</v>
      </c>
      <c r="B2347" s="6" t="s">
        <v>213</v>
      </c>
      <c r="C2347" s="6" t="s">
        <v>23</v>
      </c>
      <c r="D2347" s="6" t="s">
        <v>5652</v>
      </c>
      <c r="E2347" s="6" t="s">
        <v>25</v>
      </c>
      <c r="F2347" s="6" t="s">
        <v>26</v>
      </c>
      <c r="G2347" s="7">
        <v>0.09</v>
      </c>
      <c r="H2347" s="6" t="s">
        <v>506</v>
      </c>
      <c r="I2347" s="6" t="s">
        <v>20</v>
      </c>
      <c r="J2347" s="6">
        <v>2016.0</v>
      </c>
      <c r="L2347" s="6">
        <v>4.0</v>
      </c>
      <c r="M2347" s="8">
        <f t="shared" si="3"/>
        <v>0.36</v>
      </c>
      <c r="P2347" s="9"/>
    </row>
    <row r="2348">
      <c r="A2348" s="6" t="s">
        <v>5653</v>
      </c>
      <c r="B2348" s="6" t="s">
        <v>162</v>
      </c>
      <c r="C2348" s="6" t="s">
        <v>43</v>
      </c>
      <c r="D2348" s="6" t="s">
        <v>5654</v>
      </c>
      <c r="E2348" s="6" t="s">
        <v>125</v>
      </c>
      <c r="F2348" s="6" t="s">
        <v>40</v>
      </c>
      <c r="G2348" s="7">
        <v>0.45</v>
      </c>
      <c r="H2348" s="6" t="s">
        <v>2041</v>
      </c>
      <c r="I2348" s="6" t="s">
        <v>20</v>
      </c>
      <c r="J2348" s="6">
        <v>1998.0</v>
      </c>
      <c r="L2348" s="6">
        <v>1.0</v>
      </c>
      <c r="M2348" s="8">
        <f t="shared" si="3"/>
        <v>0.45</v>
      </c>
      <c r="P2348" s="9"/>
    </row>
    <row r="2349">
      <c r="A2349" s="6" t="s">
        <v>5655</v>
      </c>
      <c r="B2349" s="6" t="s">
        <v>146</v>
      </c>
      <c r="C2349" s="6" t="s">
        <v>37</v>
      </c>
      <c r="D2349" s="6" t="s">
        <v>5656</v>
      </c>
      <c r="E2349" s="6" t="s">
        <v>57</v>
      </c>
      <c r="F2349" s="6" t="s">
        <v>40</v>
      </c>
      <c r="G2349" s="7">
        <v>0.04</v>
      </c>
      <c r="H2349" s="6" t="s">
        <v>290</v>
      </c>
      <c r="I2349" s="6" t="s">
        <v>20</v>
      </c>
      <c r="J2349" s="6">
        <v>2019.0</v>
      </c>
      <c r="L2349" s="6">
        <v>1.0</v>
      </c>
      <c r="M2349" s="8">
        <f t="shared" si="3"/>
        <v>0.04</v>
      </c>
      <c r="P2349" s="9"/>
    </row>
    <row r="2350">
      <c r="A2350" s="6" t="s">
        <v>5657</v>
      </c>
      <c r="B2350" s="6" t="s">
        <v>192</v>
      </c>
      <c r="C2350" s="6" t="s">
        <v>37</v>
      </c>
      <c r="D2350" s="6" t="s">
        <v>5658</v>
      </c>
      <c r="E2350" s="6" t="s">
        <v>185</v>
      </c>
      <c r="F2350" s="6" t="s">
        <v>26</v>
      </c>
      <c r="G2350" s="7">
        <v>0.48</v>
      </c>
      <c r="H2350" s="6" t="s">
        <v>5659</v>
      </c>
      <c r="I2350" s="6" t="s">
        <v>20</v>
      </c>
      <c r="J2350" s="6">
        <v>2022.0</v>
      </c>
      <c r="L2350" s="6">
        <v>4.0</v>
      </c>
      <c r="M2350" s="8">
        <f t="shared" si="3"/>
        <v>1.92</v>
      </c>
      <c r="P2350" s="9"/>
    </row>
    <row r="2351">
      <c r="A2351" s="6" t="s">
        <v>5660</v>
      </c>
      <c r="B2351" s="6" t="s">
        <v>5661</v>
      </c>
      <c r="C2351" s="6" t="s">
        <v>37</v>
      </c>
      <c r="D2351" s="6" t="s">
        <v>5662</v>
      </c>
      <c r="E2351" s="6" t="s">
        <v>1559</v>
      </c>
      <c r="F2351" s="6" t="s">
        <v>519</v>
      </c>
      <c r="G2351" s="7">
        <v>0.09</v>
      </c>
      <c r="H2351" s="6" t="s">
        <v>238</v>
      </c>
      <c r="I2351" s="6" t="s">
        <v>20</v>
      </c>
      <c r="J2351" s="6">
        <v>2024.0</v>
      </c>
      <c r="K2351" s="10">
        <v>46084.0</v>
      </c>
      <c r="L2351" s="6">
        <v>1.0</v>
      </c>
      <c r="M2351" s="8">
        <f t="shared" si="3"/>
        <v>0.09</v>
      </c>
      <c r="P2351" s="9"/>
    </row>
    <row r="2352">
      <c r="A2352" s="6" t="s">
        <v>5663</v>
      </c>
      <c r="B2352" s="6" t="s">
        <v>219</v>
      </c>
      <c r="C2352" s="6" t="s">
        <v>43</v>
      </c>
      <c r="D2352" s="6" t="s">
        <v>5664</v>
      </c>
      <c r="E2352" s="6" t="s">
        <v>25</v>
      </c>
      <c r="F2352" s="6" t="s">
        <v>26</v>
      </c>
      <c r="G2352" s="7">
        <v>1.69</v>
      </c>
      <c r="H2352" s="6" t="s">
        <v>651</v>
      </c>
      <c r="I2352" s="6" t="s">
        <v>20</v>
      </c>
      <c r="J2352" s="6">
        <v>2022.0</v>
      </c>
      <c r="L2352" s="6">
        <v>1.0</v>
      </c>
      <c r="M2352" s="8">
        <f t="shared" si="3"/>
        <v>1.69</v>
      </c>
      <c r="N2352" s="6" t="s">
        <v>122</v>
      </c>
      <c r="P2352" s="9"/>
    </row>
    <row r="2353">
      <c r="A2353" s="6" t="s">
        <v>5665</v>
      </c>
      <c r="B2353" s="6" t="s">
        <v>4764</v>
      </c>
      <c r="C2353" s="6" t="s">
        <v>37</v>
      </c>
      <c r="D2353" s="6" t="s">
        <v>5666</v>
      </c>
      <c r="E2353" s="6" t="s">
        <v>5667</v>
      </c>
      <c r="F2353" s="6" t="s">
        <v>50</v>
      </c>
      <c r="G2353" s="7">
        <v>0.17</v>
      </c>
      <c r="H2353" s="6" t="s">
        <v>34</v>
      </c>
      <c r="I2353" s="6" t="s">
        <v>20</v>
      </c>
      <c r="J2353" s="6">
        <v>2025.0</v>
      </c>
      <c r="K2353" s="6" t="s">
        <v>1924</v>
      </c>
      <c r="L2353" s="6">
        <v>1.0</v>
      </c>
      <c r="M2353" s="8">
        <f t="shared" si="3"/>
        <v>0.17</v>
      </c>
      <c r="P2353" s="9"/>
    </row>
    <row r="2354">
      <c r="A2354" s="6" t="s">
        <v>5668</v>
      </c>
      <c r="B2354" s="6" t="s">
        <v>5669</v>
      </c>
      <c r="C2354" s="6" t="s">
        <v>23</v>
      </c>
      <c r="D2354" s="6" t="s">
        <v>5670</v>
      </c>
      <c r="E2354" s="6" t="s">
        <v>526</v>
      </c>
      <c r="F2354" s="6" t="s">
        <v>26</v>
      </c>
      <c r="G2354" s="7">
        <v>0.04</v>
      </c>
      <c r="H2354" s="6" t="s">
        <v>104</v>
      </c>
      <c r="I2354" s="6" t="s">
        <v>20</v>
      </c>
      <c r="J2354" s="6">
        <v>2019.0</v>
      </c>
      <c r="K2354" s="10">
        <v>46147.0</v>
      </c>
      <c r="L2354" s="6">
        <v>3.0</v>
      </c>
      <c r="M2354" s="8">
        <f t="shared" si="3"/>
        <v>0.12</v>
      </c>
      <c r="P2354" s="9"/>
    </row>
    <row r="2355">
      <c r="A2355" s="6" t="s">
        <v>5671</v>
      </c>
      <c r="B2355" s="6" t="s">
        <v>146</v>
      </c>
      <c r="C2355" s="6" t="s">
        <v>37</v>
      </c>
      <c r="D2355" s="6" t="s">
        <v>5672</v>
      </c>
      <c r="E2355" s="6" t="s">
        <v>57</v>
      </c>
      <c r="F2355" s="6" t="s">
        <v>40</v>
      </c>
      <c r="G2355" s="7">
        <v>0.75</v>
      </c>
      <c r="H2355" s="6" t="s">
        <v>1833</v>
      </c>
      <c r="I2355" s="6" t="s">
        <v>45</v>
      </c>
      <c r="J2355" s="6">
        <v>2018.0</v>
      </c>
      <c r="L2355" s="6">
        <v>1.0</v>
      </c>
      <c r="M2355" s="8">
        <f t="shared" si="3"/>
        <v>0.75</v>
      </c>
      <c r="P2355" s="9"/>
    </row>
    <row r="2356">
      <c r="A2356" s="6" t="s">
        <v>5673</v>
      </c>
      <c r="B2356" s="6" t="s">
        <v>2568</v>
      </c>
      <c r="C2356" s="6" t="s">
        <v>43</v>
      </c>
      <c r="D2356" s="6" t="s">
        <v>5674</v>
      </c>
      <c r="E2356" s="6" t="s">
        <v>179</v>
      </c>
      <c r="F2356" s="6" t="s">
        <v>112</v>
      </c>
      <c r="G2356" s="7">
        <v>0.09</v>
      </c>
      <c r="H2356" s="6" t="s">
        <v>1531</v>
      </c>
      <c r="I2356" s="6" t="s">
        <v>20</v>
      </c>
      <c r="J2356" s="6">
        <v>2005.0</v>
      </c>
      <c r="K2356" s="10">
        <v>46023.0</v>
      </c>
      <c r="L2356" s="6">
        <v>1.0</v>
      </c>
      <c r="M2356" s="8">
        <f t="shared" si="3"/>
        <v>0.09</v>
      </c>
      <c r="P2356" s="9"/>
    </row>
    <row r="2357">
      <c r="A2357" s="6" t="s">
        <v>5675</v>
      </c>
      <c r="B2357" s="6" t="s">
        <v>5676</v>
      </c>
      <c r="C2357" s="6" t="s">
        <v>15</v>
      </c>
      <c r="D2357" s="6" t="s">
        <v>5677</v>
      </c>
      <c r="E2357" s="6" t="s">
        <v>509</v>
      </c>
      <c r="F2357" s="6" t="s">
        <v>87</v>
      </c>
      <c r="G2357" s="7">
        <v>0.25</v>
      </c>
      <c r="H2357" s="6" t="s">
        <v>153</v>
      </c>
      <c r="I2357" s="6" t="s">
        <v>20</v>
      </c>
      <c r="J2357" s="6">
        <v>2025.0</v>
      </c>
      <c r="K2357" s="10">
        <v>46055.0</v>
      </c>
      <c r="L2357" s="6">
        <v>3.0</v>
      </c>
      <c r="M2357" s="8">
        <f t="shared" si="3"/>
        <v>0.75</v>
      </c>
      <c r="P2357" s="9"/>
    </row>
    <row r="2358">
      <c r="A2358" s="6" t="s">
        <v>5678</v>
      </c>
      <c r="B2358" s="6" t="s">
        <v>74</v>
      </c>
      <c r="C2358" s="6" t="s">
        <v>37</v>
      </c>
      <c r="D2358" s="6" t="s">
        <v>5679</v>
      </c>
      <c r="E2358" s="6" t="s">
        <v>859</v>
      </c>
      <c r="F2358" s="6" t="s">
        <v>50</v>
      </c>
      <c r="G2358" s="7">
        <v>0.17</v>
      </c>
      <c r="H2358" s="6" t="s">
        <v>270</v>
      </c>
      <c r="I2358" s="6" t="s">
        <v>20</v>
      </c>
      <c r="J2358" s="6">
        <v>2022.0</v>
      </c>
      <c r="L2358" s="6">
        <v>1.0</v>
      </c>
      <c r="M2358" s="8">
        <f t="shared" si="3"/>
        <v>0.17</v>
      </c>
      <c r="P2358" s="9"/>
    </row>
    <row r="2359">
      <c r="A2359" s="6" t="s">
        <v>5680</v>
      </c>
      <c r="B2359" s="6" t="s">
        <v>138</v>
      </c>
      <c r="C2359" s="6" t="s">
        <v>37</v>
      </c>
      <c r="D2359" s="6" t="s">
        <v>5681</v>
      </c>
      <c r="E2359" s="6" t="s">
        <v>57</v>
      </c>
      <c r="F2359" s="6" t="s">
        <v>40</v>
      </c>
      <c r="G2359" s="7">
        <v>0.06</v>
      </c>
      <c r="H2359" s="6" t="s">
        <v>471</v>
      </c>
      <c r="I2359" s="6" t="s">
        <v>20</v>
      </c>
      <c r="J2359" s="6">
        <v>2026.0</v>
      </c>
      <c r="L2359" s="6">
        <v>1.0</v>
      </c>
      <c r="M2359" s="8">
        <f t="shared" si="3"/>
        <v>0.06</v>
      </c>
      <c r="P2359" s="9"/>
    </row>
    <row r="2360">
      <c r="A2360" s="6" t="s">
        <v>5682</v>
      </c>
      <c r="B2360" s="6" t="s">
        <v>371</v>
      </c>
      <c r="C2360" s="6" t="s">
        <v>43</v>
      </c>
      <c r="D2360" s="6" t="s">
        <v>5683</v>
      </c>
      <c r="E2360" s="6" t="s">
        <v>39</v>
      </c>
      <c r="F2360" s="6" t="s">
        <v>40</v>
      </c>
      <c r="G2360" s="7">
        <v>0.08</v>
      </c>
      <c r="H2360" s="6" t="s">
        <v>19</v>
      </c>
      <c r="I2360" s="6" t="s">
        <v>20</v>
      </c>
      <c r="J2360" s="6">
        <v>2023.0</v>
      </c>
      <c r="K2360" s="10">
        <v>46084.0</v>
      </c>
      <c r="L2360" s="6">
        <v>1.0</v>
      </c>
      <c r="M2360" s="8">
        <f t="shared" si="3"/>
        <v>0.08</v>
      </c>
      <c r="P2360" s="9"/>
    </row>
    <row r="2361">
      <c r="A2361" s="6" t="s">
        <v>5684</v>
      </c>
      <c r="B2361" s="6" t="s">
        <v>1120</v>
      </c>
      <c r="C2361" s="6" t="s">
        <v>43</v>
      </c>
      <c r="D2361" s="6" t="s">
        <v>5685</v>
      </c>
      <c r="E2361" s="6" t="s">
        <v>86</v>
      </c>
      <c r="F2361" s="6" t="s">
        <v>87</v>
      </c>
      <c r="G2361" s="7">
        <v>0.1</v>
      </c>
      <c r="H2361" s="6" t="s">
        <v>228</v>
      </c>
      <c r="I2361" s="6" t="s">
        <v>20</v>
      </c>
      <c r="J2361" s="6">
        <v>2025.0</v>
      </c>
      <c r="K2361" s="10">
        <v>46024.0</v>
      </c>
      <c r="L2361" s="6">
        <v>1.0</v>
      </c>
      <c r="M2361" s="8">
        <f t="shared" si="3"/>
        <v>0.1</v>
      </c>
      <c r="P2361" s="9"/>
    </row>
    <row r="2362">
      <c r="A2362" s="6" t="s">
        <v>5686</v>
      </c>
      <c r="B2362" s="6" t="s">
        <v>1875</v>
      </c>
      <c r="C2362" s="6" t="s">
        <v>43</v>
      </c>
      <c r="D2362" s="6" t="s">
        <v>5687</v>
      </c>
      <c r="E2362" s="6" t="s">
        <v>98</v>
      </c>
      <c r="F2362" s="6" t="s">
        <v>18</v>
      </c>
      <c r="G2362" s="7">
        <v>0.04</v>
      </c>
      <c r="H2362" s="6" t="s">
        <v>734</v>
      </c>
      <c r="I2362" s="6" t="s">
        <v>20</v>
      </c>
      <c r="J2362" s="6">
        <v>2022.0</v>
      </c>
      <c r="K2362" s="6" t="s">
        <v>1924</v>
      </c>
      <c r="L2362" s="6">
        <v>1.0</v>
      </c>
      <c r="M2362" s="8">
        <f t="shared" si="3"/>
        <v>0.04</v>
      </c>
      <c r="P2362" s="9"/>
    </row>
    <row r="2363">
      <c r="A2363" s="6" t="s">
        <v>5688</v>
      </c>
      <c r="B2363" s="6" t="s">
        <v>462</v>
      </c>
      <c r="C2363" s="6" t="s">
        <v>43</v>
      </c>
      <c r="D2363" s="6" t="s">
        <v>5689</v>
      </c>
      <c r="E2363" s="6" t="s">
        <v>176</v>
      </c>
      <c r="F2363" s="6" t="s">
        <v>77</v>
      </c>
      <c r="G2363" s="7">
        <v>0.1</v>
      </c>
      <c r="H2363" s="6" t="s">
        <v>746</v>
      </c>
      <c r="I2363" s="6" t="s">
        <v>20</v>
      </c>
      <c r="J2363" s="6">
        <v>2024.0</v>
      </c>
      <c r="L2363" s="6">
        <v>1.0</v>
      </c>
      <c r="M2363" s="8">
        <f t="shared" si="3"/>
        <v>0.1</v>
      </c>
      <c r="P2363" s="9"/>
    </row>
    <row r="2364">
      <c r="A2364" s="6" t="s">
        <v>5690</v>
      </c>
      <c r="B2364" s="6" t="s">
        <v>5691</v>
      </c>
      <c r="C2364" s="6" t="s">
        <v>43</v>
      </c>
      <c r="D2364" s="6" t="s">
        <v>5692</v>
      </c>
      <c r="E2364" s="6" t="s">
        <v>5693</v>
      </c>
      <c r="F2364" s="6" t="s">
        <v>977</v>
      </c>
      <c r="G2364" s="7">
        <v>0.08</v>
      </c>
      <c r="H2364" s="6" t="s">
        <v>72</v>
      </c>
      <c r="I2364" s="6" t="s">
        <v>20</v>
      </c>
      <c r="J2364" s="6">
        <v>2026.0</v>
      </c>
      <c r="K2364" s="6" t="s">
        <v>5694</v>
      </c>
      <c r="L2364" s="6">
        <v>3.0</v>
      </c>
      <c r="M2364" s="8">
        <f t="shared" si="3"/>
        <v>0.24</v>
      </c>
      <c r="P2364" s="9"/>
    </row>
    <row r="2365">
      <c r="A2365" s="6" t="s">
        <v>5695</v>
      </c>
      <c r="B2365" s="6" t="s">
        <v>5696</v>
      </c>
      <c r="C2365" s="6" t="s">
        <v>37</v>
      </c>
      <c r="D2365" s="6" t="s">
        <v>5697</v>
      </c>
      <c r="E2365" s="6" t="s">
        <v>190</v>
      </c>
      <c r="F2365" s="6" t="s">
        <v>18</v>
      </c>
      <c r="G2365" s="7">
        <v>0.15</v>
      </c>
      <c r="H2365" s="6" t="s">
        <v>431</v>
      </c>
      <c r="I2365" s="6" t="s">
        <v>20</v>
      </c>
      <c r="J2365" s="6">
        <v>2019.0</v>
      </c>
      <c r="K2365" s="10">
        <v>46023.0</v>
      </c>
      <c r="L2365" s="6">
        <v>4.0</v>
      </c>
      <c r="M2365" s="8">
        <f t="shared" si="3"/>
        <v>0.6</v>
      </c>
      <c r="P2365" s="9"/>
    </row>
    <row r="2366">
      <c r="A2366" s="6" t="s">
        <v>5698</v>
      </c>
      <c r="B2366" s="6" t="s">
        <v>102</v>
      </c>
      <c r="C2366" s="6" t="s">
        <v>43</v>
      </c>
      <c r="D2366" s="6" t="s">
        <v>5699</v>
      </c>
      <c r="E2366" s="6" t="s">
        <v>39</v>
      </c>
      <c r="F2366" s="6" t="s">
        <v>40</v>
      </c>
      <c r="G2366" s="7">
        <v>0.03</v>
      </c>
      <c r="H2366" s="6" t="s">
        <v>709</v>
      </c>
      <c r="I2366" s="6" t="s">
        <v>20</v>
      </c>
      <c r="J2366" s="6">
        <v>2017.0</v>
      </c>
      <c r="K2366" s="10">
        <v>46084.0</v>
      </c>
      <c r="L2366" s="6">
        <v>3.0</v>
      </c>
      <c r="M2366" s="8">
        <f t="shared" si="3"/>
        <v>0.09</v>
      </c>
      <c r="P2366" s="9"/>
    </row>
    <row r="2367">
      <c r="A2367" s="6" t="s">
        <v>5700</v>
      </c>
      <c r="B2367" s="6" t="s">
        <v>192</v>
      </c>
      <c r="C2367" s="6" t="s">
        <v>37</v>
      </c>
      <c r="D2367" s="6" t="s">
        <v>5701</v>
      </c>
      <c r="E2367" s="6" t="s">
        <v>25</v>
      </c>
      <c r="F2367" s="6" t="s">
        <v>26</v>
      </c>
      <c r="G2367" s="7">
        <v>0.3</v>
      </c>
      <c r="H2367" s="6" t="s">
        <v>471</v>
      </c>
      <c r="I2367" s="6" t="s">
        <v>45</v>
      </c>
      <c r="J2367" s="6">
        <v>2026.0</v>
      </c>
      <c r="L2367" s="6">
        <v>1.0</v>
      </c>
      <c r="M2367" s="8">
        <f t="shared" si="3"/>
        <v>0.3</v>
      </c>
      <c r="P2367" s="9"/>
    </row>
    <row r="2368">
      <c r="A2368" s="6" t="s">
        <v>5700</v>
      </c>
      <c r="B2368" s="6" t="s">
        <v>192</v>
      </c>
      <c r="C2368" s="6" t="s">
        <v>37</v>
      </c>
      <c r="D2368" s="6" t="s">
        <v>5701</v>
      </c>
      <c r="E2368" s="6" t="s">
        <v>25</v>
      </c>
      <c r="F2368" s="6" t="s">
        <v>26</v>
      </c>
      <c r="G2368" s="7">
        <v>0.2</v>
      </c>
      <c r="H2368" s="6" t="s">
        <v>471</v>
      </c>
      <c r="I2368" s="6" t="s">
        <v>20</v>
      </c>
      <c r="J2368" s="6">
        <v>2026.0</v>
      </c>
      <c r="L2368" s="6">
        <v>1.0</v>
      </c>
      <c r="M2368" s="8">
        <f t="shared" si="3"/>
        <v>0.2</v>
      </c>
      <c r="P2368" s="9"/>
    </row>
    <row r="2369">
      <c r="A2369" s="6" t="s">
        <v>5702</v>
      </c>
      <c r="B2369" s="6" t="s">
        <v>115</v>
      </c>
      <c r="C2369" s="6" t="s">
        <v>366</v>
      </c>
      <c r="D2369" s="6" t="s">
        <v>5703</v>
      </c>
      <c r="E2369" s="6" t="s">
        <v>818</v>
      </c>
      <c r="F2369" s="6" t="s">
        <v>112</v>
      </c>
      <c r="G2369" s="7">
        <v>0.41</v>
      </c>
      <c r="H2369" s="6" t="s">
        <v>780</v>
      </c>
      <c r="I2369" s="6" t="s">
        <v>20</v>
      </c>
      <c r="J2369" s="6">
        <v>2025.0</v>
      </c>
      <c r="L2369" s="6">
        <v>1.0</v>
      </c>
      <c r="M2369" s="8">
        <f t="shared" si="3"/>
        <v>0.41</v>
      </c>
      <c r="P2369" s="9"/>
    </row>
    <row r="2370">
      <c r="A2370" s="6" t="s">
        <v>5704</v>
      </c>
      <c r="B2370" s="6" t="s">
        <v>5705</v>
      </c>
      <c r="C2370" s="6" t="s">
        <v>418</v>
      </c>
      <c r="D2370" s="6" t="s">
        <v>5706</v>
      </c>
      <c r="E2370" s="6" t="s">
        <v>448</v>
      </c>
      <c r="F2370" s="6" t="s">
        <v>112</v>
      </c>
      <c r="G2370" s="7">
        <v>0.2</v>
      </c>
      <c r="H2370" s="6" t="s">
        <v>471</v>
      </c>
      <c r="I2370" s="6" t="s">
        <v>20</v>
      </c>
      <c r="J2370" s="6">
        <v>2026.0</v>
      </c>
      <c r="K2370" s="10">
        <v>46116.0</v>
      </c>
      <c r="L2370" s="6">
        <v>1.0</v>
      </c>
      <c r="M2370" s="8">
        <f t="shared" si="3"/>
        <v>0.2</v>
      </c>
      <c r="P2370" s="9"/>
    </row>
    <row r="2371">
      <c r="A2371" s="6" t="s">
        <v>5707</v>
      </c>
      <c r="B2371" s="6" t="s">
        <v>5708</v>
      </c>
      <c r="C2371" s="6" t="s">
        <v>43</v>
      </c>
      <c r="D2371" s="6" t="s">
        <v>5709</v>
      </c>
      <c r="E2371" s="6" t="s">
        <v>5710</v>
      </c>
      <c r="F2371" s="6" t="s">
        <v>977</v>
      </c>
      <c r="G2371" s="7">
        <v>0.1</v>
      </c>
      <c r="H2371" s="6" t="s">
        <v>136</v>
      </c>
      <c r="I2371" s="6" t="s">
        <v>20</v>
      </c>
      <c r="J2371" s="6">
        <v>2026.0</v>
      </c>
      <c r="K2371" s="10">
        <v>46146.0</v>
      </c>
      <c r="L2371" s="6">
        <v>2.0</v>
      </c>
      <c r="M2371" s="8">
        <f t="shared" si="3"/>
        <v>0.2</v>
      </c>
      <c r="P2371" s="9"/>
    </row>
    <row r="2372">
      <c r="A2372" s="6" t="s">
        <v>5711</v>
      </c>
      <c r="B2372" s="6" t="s">
        <v>5712</v>
      </c>
      <c r="C2372" s="6" t="s">
        <v>15</v>
      </c>
      <c r="D2372" s="6" t="s">
        <v>5713</v>
      </c>
      <c r="E2372" s="6">
        <v>2.0</v>
      </c>
      <c r="F2372" s="6" t="s">
        <v>26</v>
      </c>
      <c r="G2372" s="7">
        <v>0.23</v>
      </c>
      <c r="H2372" s="6" t="s">
        <v>153</v>
      </c>
      <c r="I2372" s="6" t="s">
        <v>20</v>
      </c>
      <c r="J2372" s="6">
        <v>2025.0</v>
      </c>
      <c r="K2372" s="6" t="s">
        <v>445</v>
      </c>
      <c r="L2372" s="6">
        <v>1.0</v>
      </c>
      <c r="M2372" s="8">
        <f t="shared" si="3"/>
        <v>0.23</v>
      </c>
      <c r="P2372" s="9"/>
    </row>
    <row r="2373">
      <c r="A2373" s="6" t="s">
        <v>5714</v>
      </c>
      <c r="B2373" s="6" t="s">
        <v>162</v>
      </c>
      <c r="C2373" s="6" t="s">
        <v>43</v>
      </c>
      <c r="D2373" s="6" t="s">
        <v>5715</v>
      </c>
      <c r="E2373" s="6" t="s">
        <v>612</v>
      </c>
      <c r="F2373" s="6" t="s">
        <v>71</v>
      </c>
      <c r="G2373" s="7">
        <v>0.05</v>
      </c>
      <c r="H2373" s="6" t="s">
        <v>65</v>
      </c>
      <c r="I2373" s="6" t="s">
        <v>20</v>
      </c>
      <c r="J2373" s="6">
        <v>2013.0</v>
      </c>
      <c r="L2373" s="6">
        <v>5.0</v>
      </c>
      <c r="M2373" s="8">
        <f t="shared" si="3"/>
        <v>0.25</v>
      </c>
      <c r="P2373" s="9"/>
    </row>
    <row r="2374">
      <c r="A2374" s="6" t="s">
        <v>5716</v>
      </c>
      <c r="B2374" s="6" t="s">
        <v>322</v>
      </c>
      <c r="C2374" s="6" t="s">
        <v>43</v>
      </c>
      <c r="D2374" s="6" t="s">
        <v>5717</v>
      </c>
      <c r="E2374" s="6" t="s">
        <v>86</v>
      </c>
      <c r="F2374" s="6" t="s">
        <v>87</v>
      </c>
      <c r="G2374" s="7">
        <v>0.1</v>
      </c>
      <c r="H2374" s="6" t="s">
        <v>136</v>
      </c>
      <c r="I2374" s="6" t="s">
        <v>20</v>
      </c>
      <c r="J2374" s="6">
        <v>2026.0</v>
      </c>
      <c r="K2374" s="10">
        <v>46055.0</v>
      </c>
      <c r="L2374" s="6">
        <v>2.0</v>
      </c>
      <c r="M2374" s="8">
        <f t="shared" si="3"/>
        <v>0.2</v>
      </c>
      <c r="P2374" s="9"/>
    </row>
    <row r="2375">
      <c r="A2375" s="6" t="s">
        <v>5718</v>
      </c>
      <c r="B2375" s="6" t="s">
        <v>462</v>
      </c>
      <c r="C2375" s="6" t="s">
        <v>43</v>
      </c>
      <c r="D2375" s="6" t="s">
        <v>5719</v>
      </c>
      <c r="E2375" s="6" t="s">
        <v>2136</v>
      </c>
      <c r="F2375" s="6" t="s">
        <v>1000</v>
      </c>
      <c r="G2375" s="7">
        <v>0.4</v>
      </c>
      <c r="H2375" s="6" t="s">
        <v>72</v>
      </c>
      <c r="I2375" s="6" t="s">
        <v>20</v>
      </c>
      <c r="J2375" s="6">
        <v>2026.0</v>
      </c>
      <c r="L2375" s="6">
        <v>3.0</v>
      </c>
      <c r="M2375" s="8">
        <f t="shared" si="3"/>
        <v>1.2</v>
      </c>
      <c r="P2375" s="9"/>
    </row>
    <row r="2376">
      <c r="A2376" s="6" t="s">
        <v>5720</v>
      </c>
      <c r="B2376" s="6" t="s">
        <v>138</v>
      </c>
      <c r="C2376" s="6" t="s">
        <v>418</v>
      </c>
      <c r="D2376" s="6" t="s">
        <v>5721</v>
      </c>
      <c r="E2376" s="6" t="s">
        <v>2678</v>
      </c>
      <c r="F2376" s="6" t="s">
        <v>5722</v>
      </c>
      <c r="G2376" s="7">
        <v>0.1</v>
      </c>
      <c r="H2376" s="6" t="s">
        <v>1161</v>
      </c>
      <c r="I2376" s="6" t="s">
        <v>20</v>
      </c>
      <c r="J2376" s="6">
        <v>2005.0</v>
      </c>
      <c r="L2376" s="6">
        <v>1.0</v>
      </c>
      <c r="M2376" s="8">
        <f t="shared" si="3"/>
        <v>0.1</v>
      </c>
      <c r="P2376" s="9"/>
    </row>
    <row r="2377">
      <c r="A2377" s="6" t="s">
        <v>5723</v>
      </c>
      <c r="B2377" s="6" t="s">
        <v>5724</v>
      </c>
      <c r="C2377" s="6" t="s">
        <v>43</v>
      </c>
      <c r="D2377" s="6" t="s">
        <v>5725</v>
      </c>
      <c r="E2377" s="6" t="s">
        <v>5726</v>
      </c>
      <c r="F2377" s="6" t="s">
        <v>159</v>
      </c>
      <c r="G2377" s="7">
        <v>0.1</v>
      </c>
      <c r="H2377" s="6" t="s">
        <v>136</v>
      </c>
      <c r="I2377" s="6" t="s">
        <v>20</v>
      </c>
      <c r="J2377" s="6">
        <v>2026.0</v>
      </c>
      <c r="K2377" s="10">
        <v>46084.0</v>
      </c>
      <c r="L2377" s="6">
        <v>1.0</v>
      </c>
      <c r="M2377" s="8">
        <f t="shared" si="3"/>
        <v>0.1</v>
      </c>
      <c r="P2377" s="9"/>
    </row>
    <row r="2378">
      <c r="A2378" s="6" t="s">
        <v>5727</v>
      </c>
      <c r="B2378" s="6" t="s">
        <v>162</v>
      </c>
      <c r="C2378" s="6" t="s">
        <v>37</v>
      </c>
      <c r="D2378" s="6" t="s">
        <v>5728</v>
      </c>
      <c r="E2378" s="6" t="s">
        <v>86</v>
      </c>
      <c r="F2378" s="6" t="s">
        <v>87</v>
      </c>
      <c r="G2378" s="7">
        <v>0.71</v>
      </c>
      <c r="H2378" s="6" t="s">
        <v>1833</v>
      </c>
      <c r="I2378" s="6" t="s">
        <v>20</v>
      </c>
      <c r="J2378" s="6">
        <v>2018.0</v>
      </c>
      <c r="L2378" s="6">
        <v>1.0</v>
      </c>
      <c r="M2378" s="8">
        <f t="shared" si="3"/>
        <v>0.71</v>
      </c>
      <c r="P2378" s="9"/>
    </row>
    <row r="2379">
      <c r="A2379" s="6" t="s">
        <v>5729</v>
      </c>
      <c r="B2379" s="6" t="s">
        <v>162</v>
      </c>
      <c r="C2379" s="6" t="s">
        <v>43</v>
      </c>
      <c r="D2379" s="6" t="s">
        <v>5730</v>
      </c>
      <c r="E2379" s="6" t="s">
        <v>356</v>
      </c>
      <c r="F2379" s="6" t="s">
        <v>87</v>
      </c>
      <c r="G2379" s="7">
        <v>0.1</v>
      </c>
      <c r="H2379" s="6" t="s">
        <v>83</v>
      </c>
      <c r="I2379" s="6" t="s">
        <v>20</v>
      </c>
      <c r="J2379" s="6">
        <v>1995.0</v>
      </c>
      <c r="K2379" s="6">
        <v>0.1</v>
      </c>
      <c r="L2379" s="6">
        <v>1.0</v>
      </c>
      <c r="M2379" s="8">
        <f t="shared" si="3"/>
        <v>0.1</v>
      </c>
      <c r="P2379" s="9"/>
    </row>
    <row r="2380">
      <c r="A2380" s="6" t="s">
        <v>5731</v>
      </c>
      <c r="B2380" s="6" t="s">
        <v>138</v>
      </c>
      <c r="C2380" s="6" t="s">
        <v>37</v>
      </c>
      <c r="D2380" s="6" t="s">
        <v>5732</v>
      </c>
      <c r="E2380" s="6" t="s">
        <v>57</v>
      </c>
      <c r="F2380" s="6" t="s">
        <v>40</v>
      </c>
      <c r="G2380" s="7">
        <v>0.19</v>
      </c>
      <c r="H2380" s="6" t="s">
        <v>471</v>
      </c>
      <c r="I2380" s="6" t="s">
        <v>20</v>
      </c>
      <c r="J2380" s="6">
        <v>2026.0</v>
      </c>
      <c r="L2380" s="6">
        <v>1.0</v>
      </c>
      <c r="M2380" s="8">
        <f t="shared" si="3"/>
        <v>0.19</v>
      </c>
      <c r="P2380" s="9"/>
    </row>
    <row r="2381">
      <c r="A2381" s="6" t="s">
        <v>5733</v>
      </c>
      <c r="B2381" s="6" t="s">
        <v>5734</v>
      </c>
      <c r="C2381" s="6" t="s">
        <v>23</v>
      </c>
      <c r="D2381" s="6" t="s">
        <v>5735</v>
      </c>
      <c r="E2381" s="6" t="s">
        <v>1364</v>
      </c>
      <c r="F2381" s="6" t="s">
        <v>18</v>
      </c>
      <c r="G2381" s="7">
        <v>0.05</v>
      </c>
      <c r="H2381" s="6" t="s">
        <v>153</v>
      </c>
      <c r="I2381" s="6" t="s">
        <v>20</v>
      </c>
      <c r="J2381" s="6">
        <v>2025.0</v>
      </c>
      <c r="K2381" s="10">
        <v>46113.0</v>
      </c>
      <c r="L2381" s="6">
        <v>7.0</v>
      </c>
      <c r="M2381" s="8">
        <f t="shared" si="3"/>
        <v>0.35</v>
      </c>
      <c r="P2381" s="9"/>
    </row>
    <row r="2382">
      <c r="A2382" s="6" t="s">
        <v>5736</v>
      </c>
      <c r="B2382" s="6" t="s">
        <v>5737</v>
      </c>
      <c r="C2382" s="6" t="s">
        <v>37</v>
      </c>
      <c r="D2382" s="6" t="s">
        <v>5738</v>
      </c>
      <c r="E2382" s="6" t="s">
        <v>1634</v>
      </c>
      <c r="F2382" s="6" t="s">
        <v>87</v>
      </c>
      <c r="G2382" s="7">
        <v>0.11</v>
      </c>
      <c r="H2382" s="6" t="s">
        <v>746</v>
      </c>
      <c r="I2382" s="6" t="s">
        <v>20</v>
      </c>
      <c r="J2382" s="6">
        <v>2024.0</v>
      </c>
      <c r="K2382" s="10">
        <v>46147.0</v>
      </c>
      <c r="L2382" s="6">
        <v>1.0</v>
      </c>
      <c r="M2382" s="8">
        <f t="shared" si="3"/>
        <v>0.11</v>
      </c>
      <c r="P2382" s="9"/>
    </row>
    <row r="2383">
      <c r="A2383" s="6" t="s">
        <v>5739</v>
      </c>
      <c r="B2383" s="6" t="s">
        <v>606</v>
      </c>
      <c r="C2383" s="6" t="s">
        <v>15</v>
      </c>
      <c r="D2383" s="6" t="s">
        <v>5740</v>
      </c>
      <c r="E2383" s="6" t="s">
        <v>1939</v>
      </c>
      <c r="F2383" s="6" t="s">
        <v>665</v>
      </c>
      <c r="G2383" s="7">
        <v>0.37</v>
      </c>
      <c r="H2383" s="6" t="s">
        <v>617</v>
      </c>
      <c r="I2383" s="6" t="s">
        <v>20</v>
      </c>
      <c r="J2383" s="6">
        <v>2026.0</v>
      </c>
      <c r="L2383" s="6">
        <v>1.0</v>
      </c>
      <c r="M2383" s="8">
        <f t="shared" si="3"/>
        <v>0.37</v>
      </c>
      <c r="P2383" s="9"/>
    </row>
    <row r="2384">
      <c r="A2384" s="6" t="s">
        <v>5741</v>
      </c>
      <c r="B2384" s="6" t="s">
        <v>861</v>
      </c>
      <c r="C2384" s="6" t="s">
        <v>37</v>
      </c>
      <c r="D2384" s="6" t="s">
        <v>5742</v>
      </c>
      <c r="E2384" s="6" t="s">
        <v>4584</v>
      </c>
      <c r="F2384" s="6" t="s">
        <v>40</v>
      </c>
      <c r="G2384" s="7">
        <v>0.05</v>
      </c>
      <c r="H2384" s="6" t="s">
        <v>249</v>
      </c>
      <c r="I2384" s="6" t="s">
        <v>20</v>
      </c>
      <c r="J2384" s="6">
        <v>2014.0</v>
      </c>
      <c r="K2384" s="10">
        <v>46178.0</v>
      </c>
      <c r="L2384" s="6">
        <v>1.0</v>
      </c>
      <c r="M2384" s="8">
        <f t="shared" si="3"/>
        <v>0.05</v>
      </c>
      <c r="P2384" s="9"/>
    </row>
    <row r="2385">
      <c r="A2385" s="6" t="s">
        <v>5743</v>
      </c>
      <c r="B2385" s="6" t="s">
        <v>2110</v>
      </c>
      <c r="C2385" s="6" t="s">
        <v>15</v>
      </c>
      <c r="D2385" s="6" t="s">
        <v>5744</v>
      </c>
      <c r="E2385" s="6" t="s">
        <v>129</v>
      </c>
      <c r="F2385" s="6" t="s">
        <v>87</v>
      </c>
      <c r="G2385" s="7">
        <v>0.25</v>
      </c>
      <c r="H2385" s="6" t="s">
        <v>153</v>
      </c>
      <c r="I2385" s="6" t="s">
        <v>20</v>
      </c>
      <c r="J2385" s="6">
        <v>2025.0</v>
      </c>
      <c r="K2385" s="10">
        <v>46024.0</v>
      </c>
      <c r="L2385" s="6">
        <v>3.0</v>
      </c>
      <c r="M2385" s="8">
        <f t="shared" si="3"/>
        <v>0.75</v>
      </c>
      <c r="P2385" s="9"/>
    </row>
    <row r="2386">
      <c r="A2386" s="6" t="s">
        <v>5745</v>
      </c>
      <c r="B2386" s="6" t="s">
        <v>5746</v>
      </c>
      <c r="C2386" s="6" t="s">
        <v>43</v>
      </c>
      <c r="D2386" s="6" t="s">
        <v>5747</v>
      </c>
      <c r="E2386" s="6" t="s">
        <v>1917</v>
      </c>
      <c r="F2386" s="6" t="s">
        <v>77</v>
      </c>
      <c r="G2386" s="7">
        <v>0.03</v>
      </c>
      <c r="H2386" s="6" t="s">
        <v>709</v>
      </c>
      <c r="I2386" s="6" t="s">
        <v>20</v>
      </c>
      <c r="J2386" s="6">
        <v>2017.0</v>
      </c>
      <c r="K2386" s="10">
        <v>46084.0</v>
      </c>
      <c r="L2386" s="6">
        <v>1.0</v>
      </c>
      <c r="M2386" s="8">
        <f t="shared" si="3"/>
        <v>0.03</v>
      </c>
      <c r="P2386" s="9"/>
    </row>
    <row r="2387">
      <c r="A2387" s="6" t="s">
        <v>5748</v>
      </c>
      <c r="B2387" s="6" t="s">
        <v>74</v>
      </c>
      <c r="C2387" s="6" t="s">
        <v>43</v>
      </c>
      <c r="D2387" s="6" t="s">
        <v>5749</v>
      </c>
      <c r="E2387" s="6" t="s">
        <v>107</v>
      </c>
      <c r="F2387" s="6" t="s">
        <v>18</v>
      </c>
      <c r="G2387" s="7">
        <v>0.04</v>
      </c>
      <c r="H2387" s="6" t="s">
        <v>431</v>
      </c>
      <c r="I2387" s="6" t="s">
        <v>20</v>
      </c>
      <c r="J2387" s="6">
        <v>2019.0</v>
      </c>
      <c r="L2387" s="6">
        <v>2.0</v>
      </c>
      <c r="M2387" s="8">
        <f t="shared" si="3"/>
        <v>0.08</v>
      </c>
      <c r="P2387" s="9"/>
    </row>
    <row r="2388">
      <c r="A2388" s="6" t="s">
        <v>5748</v>
      </c>
      <c r="B2388" s="6" t="s">
        <v>74</v>
      </c>
      <c r="C2388" s="6" t="s">
        <v>43</v>
      </c>
      <c r="D2388" s="6" t="s">
        <v>5749</v>
      </c>
      <c r="E2388" s="6" t="s">
        <v>107</v>
      </c>
      <c r="F2388" s="6" t="s">
        <v>18</v>
      </c>
      <c r="G2388" s="7">
        <v>0.04</v>
      </c>
      <c r="H2388" s="6" t="s">
        <v>431</v>
      </c>
      <c r="I2388" s="6" t="s">
        <v>20</v>
      </c>
      <c r="J2388" s="6">
        <v>2019.0</v>
      </c>
      <c r="L2388" s="6">
        <v>1.0</v>
      </c>
      <c r="M2388" s="8">
        <f t="shared" si="3"/>
        <v>0.04</v>
      </c>
      <c r="N2388" s="6" t="s">
        <v>374</v>
      </c>
      <c r="P2388" s="9"/>
    </row>
    <row r="2389">
      <c r="A2389" s="6" t="s">
        <v>5750</v>
      </c>
      <c r="B2389" s="6" t="s">
        <v>1520</v>
      </c>
      <c r="C2389" s="6" t="s">
        <v>43</v>
      </c>
      <c r="D2389" s="6" t="s">
        <v>2241</v>
      </c>
      <c r="E2389" s="6" t="s">
        <v>98</v>
      </c>
      <c r="F2389" s="6" t="s">
        <v>18</v>
      </c>
      <c r="G2389" s="7">
        <v>0.06</v>
      </c>
      <c r="H2389" s="6" t="s">
        <v>148</v>
      </c>
      <c r="I2389" s="6" t="s">
        <v>20</v>
      </c>
      <c r="J2389" s="6">
        <v>2026.0</v>
      </c>
      <c r="L2389" s="6">
        <v>1.0</v>
      </c>
      <c r="M2389" s="8">
        <f t="shared" si="3"/>
        <v>0.06</v>
      </c>
      <c r="P2389" s="9"/>
    </row>
    <row r="2390">
      <c r="A2390" s="6" t="s">
        <v>5751</v>
      </c>
      <c r="B2390" s="6" t="s">
        <v>789</v>
      </c>
      <c r="C2390" s="6" t="s">
        <v>43</v>
      </c>
      <c r="D2390" s="6" t="s">
        <v>5752</v>
      </c>
      <c r="E2390" s="6" t="s">
        <v>25</v>
      </c>
      <c r="F2390" s="6" t="s">
        <v>26</v>
      </c>
      <c r="G2390" s="7">
        <v>0.03</v>
      </c>
      <c r="H2390" s="6" t="s">
        <v>88</v>
      </c>
      <c r="I2390" s="6" t="s">
        <v>20</v>
      </c>
      <c r="J2390" s="6">
        <v>2024.0</v>
      </c>
      <c r="L2390" s="6">
        <v>3.0</v>
      </c>
      <c r="M2390" s="8">
        <f t="shared" si="3"/>
        <v>0.09</v>
      </c>
      <c r="P2390" s="9"/>
    </row>
    <row r="2391">
      <c r="A2391" s="6" t="s">
        <v>5753</v>
      </c>
      <c r="B2391" s="6" t="s">
        <v>396</v>
      </c>
      <c r="C2391" s="6" t="s">
        <v>43</v>
      </c>
      <c r="D2391" s="6" t="s">
        <v>5754</v>
      </c>
      <c r="E2391" s="6" t="s">
        <v>25</v>
      </c>
      <c r="F2391" s="6" t="s">
        <v>26</v>
      </c>
      <c r="G2391" s="7">
        <v>0.03</v>
      </c>
      <c r="H2391" s="6" t="s">
        <v>88</v>
      </c>
      <c r="I2391" s="6" t="s">
        <v>20</v>
      </c>
      <c r="J2391" s="6">
        <v>2024.0</v>
      </c>
      <c r="L2391" s="6">
        <v>1.0</v>
      </c>
      <c r="M2391" s="8">
        <f t="shared" si="3"/>
        <v>0.03</v>
      </c>
      <c r="P2391" s="9"/>
    </row>
    <row r="2392">
      <c r="A2392" s="6" t="s">
        <v>5755</v>
      </c>
      <c r="B2392" s="6" t="s">
        <v>5756</v>
      </c>
      <c r="C2392" s="6" t="s">
        <v>15</v>
      </c>
      <c r="D2392" s="6" t="s">
        <v>5757</v>
      </c>
      <c r="E2392" s="6" t="s">
        <v>457</v>
      </c>
      <c r="F2392" s="6" t="s">
        <v>112</v>
      </c>
      <c r="G2392" s="7">
        <v>0.19</v>
      </c>
      <c r="H2392" s="6" t="s">
        <v>153</v>
      </c>
      <c r="I2392" s="6" t="s">
        <v>20</v>
      </c>
      <c r="J2392" s="6">
        <v>2025.0</v>
      </c>
      <c r="K2392" s="10">
        <v>46083.0</v>
      </c>
      <c r="L2392" s="6">
        <v>1.0</v>
      </c>
      <c r="M2392" s="8">
        <f t="shared" si="3"/>
        <v>0.19</v>
      </c>
      <c r="P2392" s="9"/>
    </row>
    <row r="2393">
      <c r="A2393" s="6" t="s">
        <v>5758</v>
      </c>
      <c r="B2393" s="6" t="s">
        <v>789</v>
      </c>
      <c r="C2393" s="6" t="s">
        <v>37</v>
      </c>
      <c r="D2393" s="6" t="s">
        <v>5759</v>
      </c>
      <c r="E2393" s="6" t="s">
        <v>125</v>
      </c>
      <c r="F2393" s="6" t="s">
        <v>40</v>
      </c>
      <c r="G2393" s="7">
        <v>0.17</v>
      </c>
      <c r="H2393" s="6" t="s">
        <v>136</v>
      </c>
      <c r="I2393" s="6" t="s">
        <v>20</v>
      </c>
      <c r="J2393" s="6">
        <v>2026.0</v>
      </c>
      <c r="L2393" s="6">
        <v>1.0</v>
      </c>
      <c r="M2393" s="8">
        <f t="shared" si="3"/>
        <v>0.17</v>
      </c>
      <c r="P2393" s="9"/>
    </row>
    <row r="2394">
      <c r="A2394" s="6" t="s">
        <v>5760</v>
      </c>
      <c r="B2394" s="6" t="s">
        <v>5761</v>
      </c>
      <c r="C2394" s="6" t="s">
        <v>15</v>
      </c>
      <c r="D2394" s="6" t="s">
        <v>5762</v>
      </c>
      <c r="E2394" s="6" t="s">
        <v>1364</v>
      </c>
      <c r="F2394" s="6" t="s">
        <v>18</v>
      </c>
      <c r="G2394" s="7">
        <v>1.13</v>
      </c>
      <c r="H2394" s="6" t="s">
        <v>153</v>
      </c>
      <c r="I2394" s="6" t="s">
        <v>45</v>
      </c>
      <c r="J2394" s="6">
        <v>2025.0</v>
      </c>
      <c r="K2394" s="10">
        <v>46055.0</v>
      </c>
      <c r="L2394" s="6">
        <v>1.0</v>
      </c>
      <c r="M2394" s="8">
        <f t="shared" si="3"/>
        <v>1.13</v>
      </c>
      <c r="P2394" s="9"/>
    </row>
    <row r="2395">
      <c r="A2395" s="6" t="s">
        <v>5760</v>
      </c>
      <c r="B2395" s="6" t="s">
        <v>5761</v>
      </c>
      <c r="C2395" s="6" t="s">
        <v>15</v>
      </c>
      <c r="D2395" s="6" t="s">
        <v>5762</v>
      </c>
      <c r="E2395" s="6" t="s">
        <v>1364</v>
      </c>
      <c r="F2395" s="6" t="s">
        <v>18</v>
      </c>
      <c r="G2395" s="7">
        <v>0.19</v>
      </c>
      <c r="H2395" s="6" t="s">
        <v>153</v>
      </c>
      <c r="I2395" s="6" t="s">
        <v>20</v>
      </c>
      <c r="J2395" s="6">
        <v>2025.0</v>
      </c>
      <c r="K2395" s="10">
        <v>46055.0</v>
      </c>
      <c r="L2395" s="6">
        <v>1.0</v>
      </c>
      <c r="M2395" s="8">
        <f t="shared" si="3"/>
        <v>0.19</v>
      </c>
      <c r="P2395" s="9"/>
    </row>
    <row r="2396">
      <c r="A2396" s="6" t="s">
        <v>5763</v>
      </c>
      <c r="B2396" s="6" t="s">
        <v>5764</v>
      </c>
      <c r="C2396" s="6" t="s">
        <v>23</v>
      </c>
      <c r="D2396" s="6" t="s">
        <v>5765</v>
      </c>
      <c r="E2396" s="6" t="s">
        <v>2959</v>
      </c>
      <c r="F2396" s="6" t="s">
        <v>1811</v>
      </c>
      <c r="G2396" s="7">
        <v>0.05</v>
      </c>
      <c r="H2396" s="6" t="s">
        <v>2318</v>
      </c>
      <c r="I2396" s="6" t="s">
        <v>20</v>
      </c>
      <c r="J2396" s="6">
        <v>2025.0</v>
      </c>
      <c r="K2396" s="10">
        <v>46056.0</v>
      </c>
      <c r="L2396" s="6">
        <v>13.0</v>
      </c>
      <c r="M2396" s="8">
        <f t="shared" si="3"/>
        <v>0.65</v>
      </c>
      <c r="P2396" s="9"/>
    </row>
    <row r="2397">
      <c r="A2397" s="6" t="s">
        <v>5766</v>
      </c>
      <c r="B2397" s="6" t="s">
        <v>170</v>
      </c>
      <c r="C2397" s="6" t="s">
        <v>156</v>
      </c>
      <c r="D2397" s="6" t="s">
        <v>5767</v>
      </c>
      <c r="E2397" s="6" t="s">
        <v>172</v>
      </c>
      <c r="F2397" s="6" t="s">
        <v>26</v>
      </c>
      <c r="G2397" s="7">
        <v>0.15</v>
      </c>
      <c r="H2397" s="6" t="s">
        <v>153</v>
      </c>
      <c r="I2397" s="6" t="s">
        <v>20</v>
      </c>
      <c r="J2397" s="6">
        <v>2025.0</v>
      </c>
      <c r="L2397" s="6">
        <v>3.0</v>
      </c>
      <c r="M2397" s="8">
        <f t="shared" si="3"/>
        <v>0.45</v>
      </c>
      <c r="P2397" s="9"/>
    </row>
    <row r="2398">
      <c r="A2398" s="6" t="s">
        <v>5768</v>
      </c>
      <c r="B2398" s="6" t="s">
        <v>5769</v>
      </c>
      <c r="C2398" s="6" t="s">
        <v>43</v>
      </c>
      <c r="D2398" s="6" t="s">
        <v>5770</v>
      </c>
      <c r="E2398" s="6" t="s">
        <v>2030</v>
      </c>
      <c r="F2398" s="6" t="s">
        <v>40</v>
      </c>
      <c r="G2398" s="7">
        <v>0.03</v>
      </c>
      <c r="H2398" s="6" t="s">
        <v>34</v>
      </c>
      <c r="I2398" s="6" t="s">
        <v>20</v>
      </c>
      <c r="J2398" s="6">
        <v>2025.0</v>
      </c>
      <c r="K2398" s="10">
        <v>46145.0</v>
      </c>
      <c r="L2398" s="6">
        <v>3.0</v>
      </c>
      <c r="M2398" s="8">
        <f t="shared" si="3"/>
        <v>0.09</v>
      </c>
      <c r="P2398" s="9"/>
    </row>
    <row r="2399">
      <c r="A2399" s="6" t="s">
        <v>5768</v>
      </c>
      <c r="B2399" s="6" t="s">
        <v>5769</v>
      </c>
      <c r="C2399" s="6" t="s">
        <v>43</v>
      </c>
      <c r="D2399" s="6" t="s">
        <v>5770</v>
      </c>
      <c r="E2399" s="6" t="s">
        <v>2030</v>
      </c>
      <c r="F2399" s="6" t="s">
        <v>40</v>
      </c>
      <c r="G2399" s="7">
        <v>0.04</v>
      </c>
      <c r="H2399" s="6" t="s">
        <v>34</v>
      </c>
      <c r="I2399" s="6" t="s">
        <v>20</v>
      </c>
      <c r="J2399" s="6">
        <v>2025.0</v>
      </c>
      <c r="K2399" s="10">
        <v>46145.0</v>
      </c>
      <c r="L2399" s="6">
        <v>4.0</v>
      </c>
      <c r="M2399" s="8">
        <f t="shared" si="3"/>
        <v>0.16</v>
      </c>
      <c r="P2399" s="9"/>
    </row>
    <row r="2400">
      <c r="A2400" s="6" t="s">
        <v>5771</v>
      </c>
      <c r="B2400" s="6" t="s">
        <v>5772</v>
      </c>
      <c r="C2400" s="6" t="s">
        <v>37</v>
      </c>
      <c r="D2400" s="6" t="s">
        <v>5773</v>
      </c>
      <c r="E2400" s="6" t="s">
        <v>635</v>
      </c>
      <c r="F2400" s="6" t="s">
        <v>636</v>
      </c>
      <c r="G2400" s="7">
        <v>0.1</v>
      </c>
      <c r="H2400" s="6" t="s">
        <v>2903</v>
      </c>
      <c r="I2400" s="6" t="s">
        <v>20</v>
      </c>
      <c r="J2400" s="6">
        <v>2023.0</v>
      </c>
      <c r="K2400" s="10">
        <v>46084.0</v>
      </c>
      <c r="L2400" s="6">
        <v>1.0</v>
      </c>
      <c r="M2400" s="8">
        <f t="shared" si="3"/>
        <v>0.1</v>
      </c>
      <c r="P2400" s="9"/>
    </row>
    <row r="2401">
      <c r="A2401" s="6" t="s">
        <v>5774</v>
      </c>
      <c r="B2401" s="6" t="s">
        <v>1577</v>
      </c>
      <c r="C2401" s="6" t="s">
        <v>43</v>
      </c>
      <c r="D2401" s="6" t="s">
        <v>5775</v>
      </c>
      <c r="F2401" s="6" t="s">
        <v>26</v>
      </c>
      <c r="G2401" s="7">
        <v>0.3</v>
      </c>
      <c r="H2401" s="6" t="s">
        <v>424</v>
      </c>
      <c r="I2401" s="6" t="s">
        <v>20</v>
      </c>
      <c r="J2401" s="6">
        <v>2017.0</v>
      </c>
      <c r="L2401" s="6">
        <v>2.0</v>
      </c>
      <c r="M2401" s="8">
        <f t="shared" si="3"/>
        <v>0.6</v>
      </c>
      <c r="P2401" s="9"/>
    </row>
    <row r="2402">
      <c r="A2402" s="6" t="s">
        <v>5776</v>
      </c>
      <c r="B2402" s="6" t="s">
        <v>606</v>
      </c>
      <c r="C2402" s="6" t="s">
        <v>23</v>
      </c>
      <c r="D2402" s="6" t="s">
        <v>5777</v>
      </c>
      <c r="E2402" s="6" t="s">
        <v>201</v>
      </c>
      <c r="F2402" s="6" t="s">
        <v>40</v>
      </c>
      <c r="G2402" s="7">
        <v>0.05</v>
      </c>
      <c r="H2402" s="6" t="s">
        <v>780</v>
      </c>
      <c r="I2402" s="6" t="s">
        <v>20</v>
      </c>
      <c r="J2402" s="6">
        <v>2025.0</v>
      </c>
      <c r="L2402" s="6">
        <v>1.0</v>
      </c>
      <c r="M2402" s="8">
        <f t="shared" si="3"/>
        <v>0.05</v>
      </c>
      <c r="P2402" s="9"/>
    </row>
    <row r="2403">
      <c r="A2403" s="6" t="s">
        <v>5778</v>
      </c>
      <c r="B2403" s="6" t="s">
        <v>74</v>
      </c>
      <c r="C2403" s="6" t="s">
        <v>43</v>
      </c>
      <c r="D2403" s="6" t="s">
        <v>5779</v>
      </c>
      <c r="E2403" s="6" t="s">
        <v>107</v>
      </c>
      <c r="F2403" s="6" t="s">
        <v>18</v>
      </c>
      <c r="G2403" s="7">
        <v>0.04</v>
      </c>
      <c r="H2403" s="6" t="s">
        <v>1344</v>
      </c>
      <c r="I2403" s="6" t="s">
        <v>20</v>
      </c>
      <c r="J2403" s="6">
        <v>2018.0</v>
      </c>
      <c r="L2403" s="6">
        <v>4.0</v>
      </c>
      <c r="M2403" s="8">
        <f t="shared" si="3"/>
        <v>0.16</v>
      </c>
      <c r="P2403" s="9"/>
    </row>
    <row r="2404">
      <c r="A2404" s="6" t="s">
        <v>5780</v>
      </c>
      <c r="B2404" s="6" t="s">
        <v>2969</v>
      </c>
      <c r="C2404" s="6" t="s">
        <v>23</v>
      </c>
      <c r="D2404" s="6" t="s">
        <v>5781</v>
      </c>
      <c r="E2404" s="6" t="s">
        <v>152</v>
      </c>
      <c r="F2404" s="6" t="s">
        <v>40</v>
      </c>
      <c r="G2404" s="7">
        <v>0.13</v>
      </c>
      <c r="H2404" s="6" t="s">
        <v>27</v>
      </c>
      <c r="I2404" s="6" t="s">
        <v>20</v>
      </c>
      <c r="J2404" s="6">
        <v>2026.0</v>
      </c>
      <c r="K2404" s="10">
        <v>46082.0</v>
      </c>
      <c r="L2404" s="6">
        <v>1.0</v>
      </c>
      <c r="M2404" s="8">
        <f t="shared" si="3"/>
        <v>0.13</v>
      </c>
      <c r="P2404" s="9"/>
    </row>
    <row r="2405">
      <c r="A2405" s="6" t="s">
        <v>5780</v>
      </c>
      <c r="B2405" s="6" t="s">
        <v>2969</v>
      </c>
      <c r="C2405" s="6" t="s">
        <v>23</v>
      </c>
      <c r="D2405" s="6" t="s">
        <v>5781</v>
      </c>
      <c r="E2405" s="6" t="s">
        <v>152</v>
      </c>
      <c r="F2405" s="6" t="s">
        <v>40</v>
      </c>
      <c r="G2405" s="7">
        <v>0.11</v>
      </c>
      <c r="H2405" s="6" t="s">
        <v>27</v>
      </c>
      <c r="I2405" s="6" t="s">
        <v>20</v>
      </c>
      <c r="J2405" s="6">
        <v>2026.0</v>
      </c>
      <c r="K2405" s="10">
        <v>46082.0</v>
      </c>
      <c r="L2405" s="6">
        <v>2.0</v>
      </c>
      <c r="M2405" s="8">
        <f t="shared" si="3"/>
        <v>0.22</v>
      </c>
      <c r="P2405" s="9"/>
    </row>
    <row r="2406">
      <c r="A2406" s="6" t="s">
        <v>5782</v>
      </c>
      <c r="B2406" s="6" t="s">
        <v>5783</v>
      </c>
      <c r="C2406" s="6" t="s">
        <v>30</v>
      </c>
      <c r="D2406" s="6" t="s">
        <v>5784</v>
      </c>
      <c r="E2406" s="6" t="s">
        <v>93</v>
      </c>
      <c r="F2406" s="6" t="s">
        <v>77</v>
      </c>
      <c r="G2406" s="7">
        <v>0.8</v>
      </c>
      <c r="H2406" s="6" t="s">
        <v>313</v>
      </c>
      <c r="I2406" s="6" t="s">
        <v>20</v>
      </c>
      <c r="J2406" s="6">
        <v>1995.0</v>
      </c>
      <c r="K2406" s="10">
        <v>46024.0</v>
      </c>
      <c r="L2406" s="6">
        <v>1.0</v>
      </c>
      <c r="M2406" s="8">
        <f t="shared" si="3"/>
        <v>0.8</v>
      </c>
      <c r="P2406" s="9"/>
    </row>
    <row r="2407">
      <c r="A2407" s="6" t="s">
        <v>5785</v>
      </c>
      <c r="B2407" s="6" t="s">
        <v>574</v>
      </c>
      <c r="C2407" s="6" t="s">
        <v>43</v>
      </c>
      <c r="D2407" s="6" t="s">
        <v>5786</v>
      </c>
      <c r="E2407" s="6" t="s">
        <v>448</v>
      </c>
      <c r="F2407" s="6" t="s">
        <v>112</v>
      </c>
      <c r="G2407" s="7">
        <v>0.05</v>
      </c>
      <c r="H2407" s="6" t="s">
        <v>136</v>
      </c>
      <c r="I2407" s="6" t="s">
        <v>20</v>
      </c>
      <c r="J2407" s="6">
        <v>2026.0</v>
      </c>
      <c r="K2407" s="10">
        <v>46085.0</v>
      </c>
      <c r="L2407" s="6">
        <v>5.0</v>
      </c>
      <c r="M2407" s="8">
        <f t="shared" si="3"/>
        <v>0.25</v>
      </c>
      <c r="P2407" s="9"/>
    </row>
    <row r="2408">
      <c r="A2408" s="6" t="s">
        <v>5787</v>
      </c>
      <c r="B2408" s="6" t="s">
        <v>3397</v>
      </c>
      <c r="C2408" s="6" t="s">
        <v>43</v>
      </c>
      <c r="D2408" s="6" t="s">
        <v>5788</v>
      </c>
      <c r="E2408" s="6" t="s">
        <v>140</v>
      </c>
      <c r="F2408" s="6" t="s">
        <v>87</v>
      </c>
      <c r="G2408" s="7">
        <v>0.08</v>
      </c>
      <c r="H2408" s="6" t="s">
        <v>2945</v>
      </c>
      <c r="I2408" s="6" t="s">
        <v>20</v>
      </c>
      <c r="J2408" s="6">
        <v>2003.0</v>
      </c>
      <c r="K2408" s="10">
        <v>46023.0</v>
      </c>
      <c r="L2408" s="6">
        <v>1.0</v>
      </c>
      <c r="M2408" s="8">
        <f t="shared" si="3"/>
        <v>0.08</v>
      </c>
      <c r="P2408" s="9"/>
    </row>
    <row r="2409">
      <c r="A2409" s="6" t="s">
        <v>5789</v>
      </c>
      <c r="B2409" s="6" t="s">
        <v>504</v>
      </c>
      <c r="C2409" s="6" t="s">
        <v>43</v>
      </c>
      <c r="D2409" s="6" t="s">
        <v>5790</v>
      </c>
      <c r="E2409" s="6" t="s">
        <v>256</v>
      </c>
      <c r="F2409" s="6" t="s">
        <v>87</v>
      </c>
      <c r="G2409" s="7">
        <v>0.03</v>
      </c>
      <c r="H2409" s="6" t="s">
        <v>290</v>
      </c>
      <c r="I2409" s="6" t="s">
        <v>20</v>
      </c>
      <c r="J2409" s="6">
        <v>2019.0</v>
      </c>
      <c r="K2409" s="10">
        <v>46085.0</v>
      </c>
      <c r="L2409" s="6">
        <v>3.0</v>
      </c>
      <c r="M2409" s="8">
        <f t="shared" si="3"/>
        <v>0.09</v>
      </c>
      <c r="P2409" s="9"/>
    </row>
    <row r="2410">
      <c r="A2410" s="6" t="s">
        <v>5791</v>
      </c>
      <c r="B2410" s="6" t="s">
        <v>74</v>
      </c>
      <c r="C2410" s="6" t="s">
        <v>43</v>
      </c>
      <c r="D2410" s="6" t="s">
        <v>5792</v>
      </c>
      <c r="E2410" s="6" t="s">
        <v>1634</v>
      </c>
      <c r="F2410" s="6" t="s">
        <v>87</v>
      </c>
      <c r="G2410" s="7">
        <v>0.04</v>
      </c>
      <c r="H2410" s="6" t="s">
        <v>3366</v>
      </c>
      <c r="I2410" s="6" t="s">
        <v>20</v>
      </c>
      <c r="J2410" s="6">
        <v>2004.0</v>
      </c>
      <c r="L2410" s="6">
        <v>1.0</v>
      </c>
      <c r="M2410" s="8">
        <f t="shared" si="3"/>
        <v>0.04</v>
      </c>
      <c r="N2410" s="6" t="s">
        <v>374</v>
      </c>
      <c r="P2410" s="9"/>
    </row>
    <row r="2411">
      <c r="A2411" s="6" t="s">
        <v>5793</v>
      </c>
      <c r="B2411" s="6" t="s">
        <v>162</v>
      </c>
      <c r="C2411" s="6" t="s">
        <v>43</v>
      </c>
      <c r="D2411" s="6" t="s">
        <v>5794</v>
      </c>
      <c r="E2411" s="6" t="s">
        <v>117</v>
      </c>
      <c r="F2411" s="6" t="s">
        <v>77</v>
      </c>
      <c r="G2411" s="7">
        <v>0.09</v>
      </c>
      <c r="H2411" s="6" t="s">
        <v>83</v>
      </c>
      <c r="I2411" s="6" t="s">
        <v>20</v>
      </c>
      <c r="J2411" s="6">
        <v>1994.0</v>
      </c>
      <c r="L2411" s="6">
        <v>5.0</v>
      </c>
      <c r="M2411" s="8">
        <f t="shared" si="3"/>
        <v>0.45</v>
      </c>
      <c r="P2411" s="9"/>
    </row>
    <row r="2412">
      <c r="A2412" s="6" t="s">
        <v>5793</v>
      </c>
      <c r="B2412" s="6" t="s">
        <v>162</v>
      </c>
      <c r="C2412" s="6" t="s">
        <v>43</v>
      </c>
      <c r="D2412" s="6" t="s">
        <v>5794</v>
      </c>
      <c r="E2412" s="6" t="s">
        <v>117</v>
      </c>
      <c r="F2412" s="6" t="s">
        <v>77</v>
      </c>
      <c r="G2412" s="7">
        <v>0.35</v>
      </c>
      <c r="H2412" s="6" t="s">
        <v>1064</v>
      </c>
      <c r="I2412" s="6" t="s">
        <v>20</v>
      </c>
      <c r="J2412" s="6">
        <v>1994.0</v>
      </c>
      <c r="L2412" s="6">
        <v>4.0</v>
      </c>
      <c r="M2412" s="8">
        <f t="shared" si="3"/>
        <v>1.4</v>
      </c>
      <c r="P2412" s="9"/>
    </row>
    <row r="2413">
      <c r="A2413" s="6" t="s">
        <v>5793</v>
      </c>
      <c r="B2413" s="6" t="s">
        <v>162</v>
      </c>
      <c r="C2413" s="6" t="s">
        <v>43</v>
      </c>
      <c r="D2413" s="6" t="s">
        <v>5794</v>
      </c>
      <c r="E2413" s="6" t="s">
        <v>117</v>
      </c>
      <c r="F2413" s="6" t="s">
        <v>77</v>
      </c>
      <c r="G2413" s="7">
        <v>0.14</v>
      </c>
      <c r="H2413" s="6" t="s">
        <v>453</v>
      </c>
      <c r="I2413" s="6" t="s">
        <v>20</v>
      </c>
      <c r="J2413" s="6">
        <v>1994.0</v>
      </c>
      <c r="L2413" s="6">
        <v>2.0</v>
      </c>
      <c r="M2413" s="8">
        <f t="shared" si="3"/>
        <v>0.28</v>
      </c>
      <c r="P2413" s="9"/>
    </row>
    <row r="2414">
      <c r="A2414" s="6" t="s">
        <v>5795</v>
      </c>
      <c r="B2414" s="6" t="s">
        <v>74</v>
      </c>
      <c r="C2414" s="6" t="s">
        <v>43</v>
      </c>
      <c r="D2414" s="6" t="s">
        <v>5796</v>
      </c>
      <c r="E2414" s="6" t="s">
        <v>135</v>
      </c>
      <c r="F2414" s="6" t="s">
        <v>40</v>
      </c>
      <c r="G2414" s="7">
        <v>0.03</v>
      </c>
      <c r="H2414" s="6" t="s">
        <v>468</v>
      </c>
      <c r="I2414" s="6" t="s">
        <v>20</v>
      </c>
      <c r="J2414" s="6">
        <v>2015.0</v>
      </c>
      <c r="L2414" s="6">
        <v>1.0</v>
      </c>
      <c r="M2414" s="8">
        <f t="shared" si="3"/>
        <v>0.03</v>
      </c>
      <c r="P2414" s="9"/>
    </row>
    <row r="2415">
      <c r="A2415" s="6" t="s">
        <v>5797</v>
      </c>
      <c r="B2415" s="6" t="s">
        <v>5798</v>
      </c>
      <c r="C2415" s="6" t="s">
        <v>37</v>
      </c>
      <c r="D2415" s="6" t="s">
        <v>5799</v>
      </c>
      <c r="E2415" s="6" t="s">
        <v>891</v>
      </c>
      <c r="F2415" s="6" t="s">
        <v>77</v>
      </c>
      <c r="G2415" s="7">
        <v>0.08</v>
      </c>
      <c r="H2415" s="6" t="s">
        <v>701</v>
      </c>
      <c r="I2415" s="6" t="s">
        <v>20</v>
      </c>
      <c r="J2415" s="6">
        <v>2015.0</v>
      </c>
      <c r="K2415" s="10">
        <v>46176.0</v>
      </c>
      <c r="L2415" s="6">
        <v>1.0</v>
      </c>
      <c r="M2415" s="8">
        <f t="shared" si="3"/>
        <v>0.08</v>
      </c>
      <c r="N2415" s="6" t="s">
        <v>374</v>
      </c>
      <c r="P2415" s="9"/>
    </row>
    <row r="2416">
      <c r="A2416" s="6" t="s">
        <v>5800</v>
      </c>
      <c r="B2416" s="6" t="s">
        <v>74</v>
      </c>
      <c r="C2416" s="6" t="s">
        <v>43</v>
      </c>
      <c r="D2416" s="6" t="s">
        <v>5801</v>
      </c>
      <c r="E2416" s="6" t="s">
        <v>57</v>
      </c>
      <c r="F2416" s="6" t="s">
        <v>40</v>
      </c>
      <c r="G2416" s="7">
        <v>0.2</v>
      </c>
      <c r="H2416" s="6" t="s">
        <v>2892</v>
      </c>
      <c r="I2416" s="6" t="s">
        <v>20</v>
      </c>
      <c r="J2416" s="6">
        <v>2016.0</v>
      </c>
      <c r="L2416" s="6">
        <v>2.0</v>
      </c>
      <c r="M2416" s="8">
        <f t="shared" si="3"/>
        <v>0.4</v>
      </c>
      <c r="P2416" s="9"/>
    </row>
    <row r="2417">
      <c r="A2417" s="6" t="s">
        <v>5802</v>
      </c>
      <c r="B2417" s="6" t="s">
        <v>74</v>
      </c>
      <c r="C2417" s="6" t="s">
        <v>30</v>
      </c>
      <c r="D2417" s="6" t="s">
        <v>5803</v>
      </c>
      <c r="E2417" s="6" t="s">
        <v>579</v>
      </c>
      <c r="F2417" s="6" t="s">
        <v>112</v>
      </c>
      <c r="G2417" s="7">
        <v>0.2</v>
      </c>
      <c r="H2417" s="6" t="s">
        <v>431</v>
      </c>
      <c r="I2417" s="6" t="s">
        <v>20</v>
      </c>
      <c r="J2417" s="6">
        <v>2019.0</v>
      </c>
      <c r="L2417" s="6">
        <v>2.0</v>
      </c>
      <c r="M2417" s="8">
        <f t="shared" si="3"/>
        <v>0.4</v>
      </c>
      <c r="P2417" s="9"/>
    </row>
    <row r="2418">
      <c r="A2418" s="6" t="s">
        <v>5804</v>
      </c>
      <c r="B2418" s="6" t="s">
        <v>361</v>
      </c>
      <c r="C2418" s="6" t="s">
        <v>37</v>
      </c>
      <c r="D2418" s="6" t="s">
        <v>5805</v>
      </c>
      <c r="E2418" s="6" t="s">
        <v>4393</v>
      </c>
      <c r="F2418" s="6" t="s">
        <v>112</v>
      </c>
      <c r="G2418" s="7">
        <v>1.78</v>
      </c>
      <c r="H2418" s="6" t="s">
        <v>113</v>
      </c>
      <c r="I2418" s="6" t="s">
        <v>20</v>
      </c>
      <c r="J2418" s="6">
        <v>2023.0</v>
      </c>
      <c r="K2418" s="10">
        <v>46210.0</v>
      </c>
      <c r="L2418" s="6">
        <v>1.0</v>
      </c>
      <c r="M2418" s="8">
        <f t="shared" si="3"/>
        <v>1.78</v>
      </c>
      <c r="N2418" s="6" t="s">
        <v>122</v>
      </c>
      <c r="P2418" s="9"/>
    </row>
    <row r="2419">
      <c r="A2419" s="6" t="s">
        <v>5806</v>
      </c>
      <c r="B2419" s="6" t="s">
        <v>1977</v>
      </c>
      <c r="C2419" s="6" t="s">
        <v>43</v>
      </c>
      <c r="D2419" s="6" t="s">
        <v>5807</v>
      </c>
      <c r="E2419" s="6" t="s">
        <v>389</v>
      </c>
      <c r="F2419" s="6" t="s">
        <v>87</v>
      </c>
      <c r="G2419" s="7">
        <v>0.03</v>
      </c>
      <c r="H2419" s="6" t="s">
        <v>144</v>
      </c>
      <c r="I2419" s="6" t="s">
        <v>20</v>
      </c>
      <c r="J2419" s="6">
        <v>2018.0</v>
      </c>
      <c r="K2419" s="10">
        <v>46116.0</v>
      </c>
      <c r="L2419" s="6">
        <v>1.0</v>
      </c>
      <c r="M2419" s="8">
        <f t="shared" si="3"/>
        <v>0.03</v>
      </c>
      <c r="P2419" s="9"/>
    </row>
    <row r="2420">
      <c r="A2420" s="6" t="s">
        <v>5808</v>
      </c>
      <c r="B2420" s="6" t="s">
        <v>2592</v>
      </c>
      <c r="C2420" s="6" t="s">
        <v>43</v>
      </c>
      <c r="D2420" s="6" t="s">
        <v>5809</v>
      </c>
      <c r="E2420" s="6" t="s">
        <v>256</v>
      </c>
      <c r="F2420" s="6" t="s">
        <v>87</v>
      </c>
      <c r="G2420" s="7">
        <v>0.05</v>
      </c>
      <c r="H2420" s="6" t="s">
        <v>475</v>
      </c>
      <c r="I2420" s="6" t="s">
        <v>20</v>
      </c>
      <c r="J2420" s="6">
        <v>2024.0</v>
      </c>
      <c r="K2420" s="10">
        <v>46113.0</v>
      </c>
      <c r="L2420" s="6">
        <v>1.0</v>
      </c>
      <c r="M2420" s="8">
        <f t="shared" si="3"/>
        <v>0.05</v>
      </c>
      <c r="P2420" s="9"/>
    </row>
    <row r="2421">
      <c r="A2421" s="6" t="s">
        <v>5810</v>
      </c>
      <c r="B2421" s="6" t="s">
        <v>5811</v>
      </c>
      <c r="C2421" s="6" t="s">
        <v>43</v>
      </c>
      <c r="D2421" s="6" t="s">
        <v>5812</v>
      </c>
      <c r="E2421" s="6" t="s">
        <v>39</v>
      </c>
      <c r="F2421" s="6" t="s">
        <v>40</v>
      </c>
      <c r="G2421" s="7">
        <v>0.05</v>
      </c>
      <c r="H2421" s="6" t="s">
        <v>421</v>
      </c>
      <c r="I2421" s="6" t="s">
        <v>20</v>
      </c>
      <c r="J2421" s="6">
        <v>2000.0</v>
      </c>
      <c r="K2421" s="10">
        <v>46055.0</v>
      </c>
      <c r="L2421" s="6">
        <v>1.0</v>
      </c>
      <c r="M2421" s="8">
        <f t="shared" si="3"/>
        <v>0.05</v>
      </c>
      <c r="P2421" s="9"/>
    </row>
    <row r="2422">
      <c r="A2422" s="6" t="s">
        <v>5813</v>
      </c>
      <c r="B2422" s="6" t="s">
        <v>162</v>
      </c>
      <c r="C2422" s="6" t="s">
        <v>43</v>
      </c>
      <c r="D2422" s="6" t="s">
        <v>5814</v>
      </c>
      <c r="E2422" s="6" t="s">
        <v>164</v>
      </c>
      <c r="F2422" s="6" t="s">
        <v>112</v>
      </c>
      <c r="G2422" s="7">
        <v>0.03</v>
      </c>
      <c r="H2422" s="6" t="s">
        <v>211</v>
      </c>
      <c r="I2422" s="6" t="s">
        <v>20</v>
      </c>
      <c r="J2422" s="6">
        <v>2010.0</v>
      </c>
      <c r="K2422" s="6" t="s">
        <v>5137</v>
      </c>
      <c r="L2422" s="6">
        <v>8.0</v>
      </c>
      <c r="M2422" s="8">
        <f t="shared" si="3"/>
        <v>0.24</v>
      </c>
      <c r="P2422" s="9"/>
    </row>
    <row r="2423">
      <c r="A2423" s="6" t="s">
        <v>5815</v>
      </c>
      <c r="B2423" s="6" t="s">
        <v>5816</v>
      </c>
      <c r="C2423" s="6" t="s">
        <v>30</v>
      </c>
      <c r="D2423" s="6" t="s">
        <v>5817</v>
      </c>
      <c r="E2423" s="6" t="s">
        <v>1634</v>
      </c>
      <c r="F2423" s="6" t="s">
        <v>87</v>
      </c>
      <c r="G2423" s="7">
        <v>0.39</v>
      </c>
      <c r="H2423" s="6" t="s">
        <v>34</v>
      </c>
      <c r="I2423" s="6" t="s">
        <v>20</v>
      </c>
      <c r="J2423" s="6">
        <v>2025.0</v>
      </c>
      <c r="K2423" s="10">
        <v>46116.0</v>
      </c>
      <c r="L2423" s="6">
        <v>1.0</v>
      </c>
      <c r="M2423" s="8">
        <f t="shared" si="3"/>
        <v>0.39</v>
      </c>
      <c r="P2423" s="9"/>
    </row>
    <row r="2424">
      <c r="A2424" s="6" t="s">
        <v>5818</v>
      </c>
      <c r="B2424" s="6" t="s">
        <v>115</v>
      </c>
      <c r="C2424" s="6" t="s">
        <v>15</v>
      </c>
      <c r="D2424" s="6" t="s">
        <v>5819</v>
      </c>
      <c r="E2424" s="6" t="s">
        <v>5820</v>
      </c>
      <c r="F2424" s="6" t="s">
        <v>87</v>
      </c>
      <c r="G2424" s="7">
        <v>0.14</v>
      </c>
      <c r="H2424" s="6" t="s">
        <v>153</v>
      </c>
      <c r="I2424" s="6" t="s">
        <v>20</v>
      </c>
      <c r="J2424" s="6">
        <v>2025.0</v>
      </c>
      <c r="L2424" s="6">
        <v>1.0</v>
      </c>
      <c r="M2424" s="8">
        <f t="shared" si="3"/>
        <v>0.14</v>
      </c>
      <c r="P2424" s="9"/>
    </row>
    <row r="2425">
      <c r="A2425" s="6" t="s">
        <v>5818</v>
      </c>
      <c r="B2425" s="6" t="s">
        <v>115</v>
      </c>
      <c r="C2425" s="6" t="s">
        <v>15</v>
      </c>
      <c r="D2425" s="6" t="s">
        <v>5819</v>
      </c>
      <c r="E2425" s="6" t="s">
        <v>5820</v>
      </c>
      <c r="F2425" s="6" t="s">
        <v>87</v>
      </c>
      <c r="G2425" s="7">
        <v>0.49</v>
      </c>
      <c r="H2425" s="6" t="s">
        <v>153</v>
      </c>
      <c r="I2425" s="6" t="s">
        <v>45</v>
      </c>
      <c r="J2425" s="6">
        <v>2025.0</v>
      </c>
      <c r="L2425" s="6">
        <v>1.0</v>
      </c>
      <c r="M2425" s="8">
        <f t="shared" si="3"/>
        <v>0.49</v>
      </c>
      <c r="P2425" s="9"/>
    </row>
    <row r="2426">
      <c r="A2426" s="6" t="s">
        <v>5821</v>
      </c>
      <c r="B2426" s="6" t="s">
        <v>162</v>
      </c>
      <c r="C2426" s="6" t="s">
        <v>37</v>
      </c>
      <c r="D2426" s="6" t="s">
        <v>5822</v>
      </c>
      <c r="E2426" s="6" t="s">
        <v>140</v>
      </c>
      <c r="F2426" s="6" t="s">
        <v>87</v>
      </c>
      <c r="G2426" s="7">
        <v>0.2</v>
      </c>
      <c r="H2426" s="6" t="s">
        <v>19</v>
      </c>
      <c r="I2426" s="6" t="s">
        <v>20</v>
      </c>
      <c r="J2426" s="6">
        <v>2023.0</v>
      </c>
      <c r="L2426" s="6">
        <v>1.0</v>
      </c>
      <c r="M2426" s="8">
        <f t="shared" si="3"/>
        <v>0.2</v>
      </c>
      <c r="P2426" s="9"/>
    </row>
    <row r="2427">
      <c r="A2427" s="6" t="s">
        <v>5823</v>
      </c>
      <c r="B2427" s="6" t="s">
        <v>1947</v>
      </c>
      <c r="C2427" s="6" t="s">
        <v>43</v>
      </c>
      <c r="D2427" s="6" t="s">
        <v>5824</v>
      </c>
      <c r="E2427" s="6" t="s">
        <v>356</v>
      </c>
      <c r="F2427" s="6" t="s">
        <v>87</v>
      </c>
      <c r="G2427" s="7">
        <v>0.18</v>
      </c>
      <c r="H2427" s="6" t="s">
        <v>113</v>
      </c>
      <c r="I2427" s="6" t="s">
        <v>20</v>
      </c>
      <c r="J2427" s="6">
        <v>2023.0</v>
      </c>
      <c r="K2427" s="10">
        <v>46084.0</v>
      </c>
      <c r="L2427" s="6">
        <v>1.0</v>
      </c>
      <c r="M2427" s="8">
        <f t="shared" si="3"/>
        <v>0.18</v>
      </c>
      <c r="P2427" s="9"/>
    </row>
    <row r="2428">
      <c r="A2428" s="6" t="s">
        <v>5825</v>
      </c>
      <c r="B2428" s="6" t="s">
        <v>5163</v>
      </c>
      <c r="C2428" s="6" t="s">
        <v>43</v>
      </c>
      <c r="D2428" s="6" t="s">
        <v>5826</v>
      </c>
      <c r="E2428" s="6" t="s">
        <v>1486</v>
      </c>
      <c r="F2428" s="6" t="s">
        <v>87</v>
      </c>
      <c r="G2428" s="7">
        <v>0.2</v>
      </c>
      <c r="H2428" s="6" t="s">
        <v>113</v>
      </c>
      <c r="I2428" s="6" t="s">
        <v>20</v>
      </c>
      <c r="J2428" s="6">
        <v>2023.0</v>
      </c>
      <c r="K2428" s="10">
        <v>46117.0</v>
      </c>
      <c r="L2428" s="6">
        <v>1.0</v>
      </c>
      <c r="M2428" s="8">
        <f t="shared" si="3"/>
        <v>0.2</v>
      </c>
      <c r="P2428" s="9"/>
    </row>
    <row r="2429">
      <c r="A2429" s="6" t="s">
        <v>5827</v>
      </c>
      <c r="B2429" s="6" t="s">
        <v>778</v>
      </c>
      <c r="C2429" s="6" t="s">
        <v>15</v>
      </c>
      <c r="D2429" s="6" t="s">
        <v>5828</v>
      </c>
      <c r="E2429" s="6" t="s">
        <v>1010</v>
      </c>
      <c r="F2429" s="6" t="s">
        <v>87</v>
      </c>
      <c r="G2429" s="7">
        <v>0.29</v>
      </c>
      <c r="H2429" s="6" t="s">
        <v>1784</v>
      </c>
      <c r="I2429" s="6" t="s">
        <v>20</v>
      </c>
      <c r="J2429" s="6">
        <v>2026.0</v>
      </c>
      <c r="L2429" s="6">
        <v>2.0</v>
      </c>
      <c r="M2429" s="8">
        <f t="shared" si="3"/>
        <v>0.58</v>
      </c>
      <c r="P2429" s="9"/>
    </row>
    <row r="2430">
      <c r="A2430" s="6" t="s">
        <v>5829</v>
      </c>
      <c r="B2430" s="6" t="s">
        <v>2270</v>
      </c>
      <c r="C2430" s="6" t="s">
        <v>37</v>
      </c>
      <c r="D2430" s="6" t="s">
        <v>5830</v>
      </c>
      <c r="E2430" s="6" t="s">
        <v>389</v>
      </c>
      <c r="F2430" s="6" t="s">
        <v>87</v>
      </c>
      <c r="G2430" s="7">
        <v>0.09</v>
      </c>
      <c r="H2430" s="6" t="s">
        <v>136</v>
      </c>
      <c r="I2430" s="6" t="s">
        <v>20</v>
      </c>
      <c r="J2430" s="6">
        <v>2026.0</v>
      </c>
      <c r="K2430" s="10">
        <v>46085.0</v>
      </c>
      <c r="L2430" s="6">
        <v>1.0</v>
      </c>
      <c r="M2430" s="8">
        <f t="shared" si="3"/>
        <v>0.09</v>
      </c>
      <c r="P2430" s="9"/>
    </row>
    <row r="2431">
      <c r="A2431" s="6" t="s">
        <v>5829</v>
      </c>
      <c r="B2431" s="6" t="s">
        <v>2270</v>
      </c>
      <c r="C2431" s="6" t="s">
        <v>37</v>
      </c>
      <c r="D2431" s="6" t="s">
        <v>5830</v>
      </c>
      <c r="E2431" s="6" t="s">
        <v>389</v>
      </c>
      <c r="F2431" s="6" t="s">
        <v>87</v>
      </c>
      <c r="G2431" s="7">
        <v>0.44</v>
      </c>
      <c r="H2431" s="6" t="s">
        <v>136</v>
      </c>
      <c r="I2431" s="6" t="s">
        <v>45</v>
      </c>
      <c r="J2431" s="6">
        <v>2026.0</v>
      </c>
      <c r="K2431" s="10">
        <v>46085.0</v>
      </c>
      <c r="L2431" s="6">
        <v>1.0</v>
      </c>
      <c r="M2431" s="8">
        <f t="shared" si="3"/>
        <v>0.44</v>
      </c>
      <c r="P2431" s="9"/>
    </row>
    <row r="2432">
      <c r="A2432" s="6" t="s">
        <v>5831</v>
      </c>
      <c r="B2432" s="6" t="s">
        <v>2270</v>
      </c>
      <c r="C2432" s="6" t="s">
        <v>30</v>
      </c>
      <c r="D2432" s="6" t="s">
        <v>5832</v>
      </c>
      <c r="E2432" s="6" t="s">
        <v>757</v>
      </c>
      <c r="F2432" s="6" t="s">
        <v>87</v>
      </c>
      <c r="G2432" s="7">
        <v>7.45</v>
      </c>
      <c r="H2432" s="6" t="s">
        <v>136</v>
      </c>
      <c r="I2432" s="6" t="s">
        <v>20</v>
      </c>
      <c r="J2432" s="6">
        <v>2026.0</v>
      </c>
      <c r="K2432" s="10">
        <v>46083.0</v>
      </c>
      <c r="L2432" s="6">
        <v>1.0</v>
      </c>
      <c r="M2432" s="8">
        <f t="shared" si="3"/>
        <v>7.45</v>
      </c>
      <c r="P2432" s="9"/>
    </row>
    <row r="2433">
      <c r="A2433" s="6" t="s">
        <v>5833</v>
      </c>
      <c r="B2433" s="6" t="s">
        <v>2270</v>
      </c>
      <c r="C2433" s="6" t="s">
        <v>43</v>
      </c>
      <c r="D2433" s="6" t="s">
        <v>5834</v>
      </c>
      <c r="E2433" s="6" t="s">
        <v>86</v>
      </c>
      <c r="F2433" s="6" t="s">
        <v>87</v>
      </c>
      <c r="G2433" s="7">
        <v>0.1</v>
      </c>
      <c r="H2433" s="6" t="s">
        <v>136</v>
      </c>
      <c r="I2433" s="6" t="s">
        <v>20</v>
      </c>
      <c r="J2433" s="6">
        <v>2026.0</v>
      </c>
      <c r="K2433" s="10">
        <v>46082.0</v>
      </c>
      <c r="L2433" s="6">
        <v>4.0</v>
      </c>
      <c r="M2433" s="8">
        <f t="shared" si="3"/>
        <v>0.4</v>
      </c>
      <c r="P2433" s="9"/>
    </row>
    <row r="2434">
      <c r="A2434" s="6" t="s">
        <v>5835</v>
      </c>
      <c r="B2434" s="6" t="s">
        <v>606</v>
      </c>
      <c r="C2434" s="6" t="s">
        <v>23</v>
      </c>
      <c r="D2434" s="6" t="s">
        <v>5836</v>
      </c>
      <c r="E2434" s="6" t="s">
        <v>152</v>
      </c>
      <c r="F2434" s="6" t="s">
        <v>40</v>
      </c>
      <c r="G2434" s="7">
        <v>0.08</v>
      </c>
      <c r="H2434" s="6" t="s">
        <v>617</v>
      </c>
      <c r="I2434" s="6" t="s">
        <v>20</v>
      </c>
      <c r="J2434" s="6">
        <v>2026.0</v>
      </c>
      <c r="L2434" s="6">
        <v>2.0</v>
      </c>
      <c r="M2434" s="8">
        <f t="shared" si="3"/>
        <v>0.16</v>
      </c>
      <c r="P2434" s="9"/>
    </row>
    <row r="2435">
      <c r="A2435" s="6" t="s">
        <v>5837</v>
      </c>
      <c r="B2435" s="6" t="s">
        <v>361</v>
      </c>
      <c r="C2435" s="6" t="s">
        <v>43</v>
      </c>
      <c r="E2435" s="6" t="s">
        <v>135</v>
      </c>
      <c r="F2435" s="6" t="s">
        <v>40</v>
      </c>
      <c r="G2435" s="7">
        <v>0.03</v>
      </c>
      <c r="H2435" s="6" t="s">
        <v>709</v>
      </c>
      <c r="I2435" s="6" t="s">
        <v>20</v>
      </c>
      <c r="J2435" s="6">
        <v>2017.0</v>
      </c>
      <c r="K2435" s="10">
        <v>46025.0</v>
      </c>
      <c r="L2435" s="6">
        <v>6.0</v>
      </c>
      <c r="M2435" s="8">
        <f t="shared" si="3"/>
        <v>0.18</v>
      </c>
      <c r="P2435" s="9"/>
    </row>
    <row r="2436">
      <c r="A2436" s="6" t="s">
        <v>5838</v>
      </c>
      <c r="B2436" s="6" t="s">
        <v>5839</v>
      </c>
      <c r="C2436" s="6" t="s">
        <v>37</v>
      </c>
      <c r="D2436" s="6" t="s">
        <v>5840</v>
      </c>
      <c r="E2436" s="6" t="s">
        <v>2030</v>
      </c>
      <c r="F2436" s="6" t="s">
        <v>40</v>
      </c>
      <c r="G2436" s="7">
        <v>0.17</v>
      </c>
      <c r="H2436" s="6" t="s">
        <v>58</v>
      </c>
      <c r="I2436" s="6" t="s">
        <v>20</v>
      </c>
      <c r="J2436" s="6">
        <v>1995.0</v>
      </c>
      <c r="K2436" s="10">
        <v>46084.0</v>
      </c>
      <c r="L2436" s="6">
        <v>2.0</v>
      </c>
      <c r="M2436" s="8">
        <f t="shared" si="3"/>
        <v>0.34</v>
      </c>
      <c r="P2436" s="9"/>
    </row>
    <row r="2437">
      <c r="A2437" s="6" t="s">
        <v>5841</v>
      </c>
      <c r="B2437" s="6" t="s">
        <v>2747</v>
      </c>
      <c r="C2437" s="6" t="s">
        <v>156</v>
      </c>
      <c r="D2437" s="6" t="s">
        <v>5842</v>
      </c>
      <c r="E2437" s="6" t="s">
        <v>509</v>
      </c>
      <c r="F2437" s="6" t="s">
        <v>87</v>
      </c>
      <c r="G2437" s="7">
        <v>1.7</v>
      </c>
      <c r="H2437" s="6" t="s">
        <v>153</v>
      </c>
      <c r="I2437" s="6" t="s">
        <v>20</v>
      </c>
      <c r="J2437" s="6">
        <v>2025.0</v>
      </c>
      <c r="K2437" s="10">
        <v>46055.0</v>
      </c>
      <c r="L2437" s="6">
        <v>1.0</v>
      </c>
      <c r="M2437" s="8">
        <f t="shared" si="3"/>
        <v>1.7</v>
      </c>
      <c r="P2437" s="9"/>
    </row>
    <row r="2438">
      <c r="A2438" s="6" t="s">
        <v>5843</v>
      </c>
      <c r="B2438" s="6" t="s">
        <v>133</v>
      </c>
      <c r="C2438" s="6" t="s">
        <v>43</v>
      </c>
      <c r="D2438" s="6" t="s">
        <v>5844</v>
      </c>
      <c r="E2438" s="6" t="s">
        <v>164</v>
      </c>
      <c r="F2438" s="6" t="s">
        <v>112</v>
      </c>
      <c r="G2438" s="7">
        <v>0.19</v>
      </c>
      <c r="H2438" s="6" t="s">
        <v>34</v>
      </c>
      <c r="I2438" s="6" t="s">
        <v>45</v>
      </c>
      <c r="J2438" s="6">
        <v>2025.0</v>
      </c>
      <c r="K2438" s="10">
        <v>46024.0</v>
      </c>
      <c r="L2438" s="6">
        <v>1.0</v>
      </c>
      <c r="M2438" s="8">
        <f t="shared" si="3"/>
        <v>0.19</v>
      </c>
      <c r="P2438" s="9"/>
    </row>
    <row r="2439">
      <c r="A2439" s="6" t="s">
        <v>5843</v>
      </c>
      <c r="B2439" s="6" t="s">
        <v>133</v>
      </c>
      <c r="C2439" s="6" t="s">
        <v>43</v>
      </c>
      <c r="D2439" s="6" t="s">
        <v>5844</v>
      </c>
      <c r="E2439" s="6" t="s">
        <v>164</v>
      </c>
      <c r="F2439" s="6" t="s">
        <v>112</v>
      </c>
      <c r="G2439" s="7">
        <v>0.1</v>
      </c>
      <c r="H2439" s="6" t="s">
        <v>34</v>
      </c>
      <c r="I2439" s="6" t="s">
        <v>20</v>
      </c>
      <c r="J2439" s="6">
        <v>2025.0</v>
      </c>
      <c r="K2439" s="10">
        <v>46024.0</v>
      </c>
      <c r="L2439" s="6">
        <v>5.0</v>
      </c>
      <c r="M2439" s="8">
        <f t="shared" si="3"/>
        <v>0.5</v>
      </c>
      <c r="P2439" s="9"/>
    </row>
    <row r="2440">
      <c r="A2440" s="6" t="s">
        <v>5845</v>
      </c>
      <c r="B2440" s="6" t="s">
        <v>74</v>
      </c>
      <c r="C2440" s="6" t="s">
        <v>37</v>
      </c>
      <c r="D2440" s="6" t="s">
        <v>5846</v>
      </c>
      <c r="E2440" s="6" t="s">
        <v>1540</v>
      </c>
      <c r="F2440" s="6" t="s">
        <v>87</v>
      </c>
      <c r="G2440" s="7">
        <v>0.13</v>
      </c>
      <c r="H2440" s="6" t="s">
        <v>113</v>
      </c>
      <c r="I2440" s="6" t="s">
        <v>20</v>
      </c>
      <c r="J2440" s="6">
        <v>2023.0</v>
      </c>
      <c r="L2440" s="6">
        <v>1.0</v>
      </c>
      <c r="M2440" s="8">
        <f t="shared" si="3"/>
        <v>0.13</v>
      </c>
      <c r="P2440" s="9"/>
    </row>
    <row r="2441">
      <c r="A2441" s="6" t="s">
        <v>5847</v>
      </c>
      <c r="B2441" s="6" t="s">
        <v>504</v>
      </c>
      <c r="C2441" s="6" t="s">
        <v>43</v>
      </c>
      <c r="D2441" s="6" t="s">
        <v>5848</v>
      </c>
      <c r="E2441" s="6" t="s">
        <v>579</v>
      </c>
      <c r="F2441" s="6" t="s">
        <v>112</v>
      </c>
      <c r="G2441" s="7">
        <v>0.03</v>
      </c>
      <c r="H2441" s="6" t="s">
        <v>249</v>
      </c>
      <c r="I2441" s="6" t="s">
        <v>20</v>
      </c>
      <c r="J2441" s="6">
        <v>2014.0</v>
      </c>
      <c r="K2441" s="10">
        <v>46114.0</v>
      </c>
      <c r="L2441" s="6">
        <v>2.0</v>
      </c>
      <c r="M2441" s="8">
        <f t="shared" si="3"/>
        <v>0.06</v>
      </c>
      <c r="P2441" s="9"/>
    </row>
    <row r="2442">
      <c r="A2442" s="6" t="s">
        <v>5849</v>
      </c>
      <c r="B2442" s="6" t="s">
        <v>5850</v>
      </c>
      <c r="C2442" s="6" t="s">
        <v>37</v>
      </c>
      <c r="D2442" s="6" t="s">
        <v>5851</v>
      </c>
      <c r="E2442" s="6" t="s">
        <v>224</v>
      </c>
      <c r="F2442" s="6" t="s">
        <v>18</v>
      </c>
      <c r="G2442" s="7">
        <v>0.1</v>
      </c>
      <c r="H2442" s="6" t="s">
        <v>136</v>
      </c>
      <c r="I2442" s="6" t="s">
        <v>20</v>
      </c>
      <c r="J2442" s="6">
        <v>2026.0</v>
      </c>
      <c r="K2442" s="10">
        <v>46084.0</v>
      </c>
      <c r="L2442" s="6">
        <v>1.0</v>
      </c>
      <c r="M2442" s="8">
        <f t="shared" si="3"/>
        <v>0.1</v>
      </c>
      <c r="P2442" s="9"/>
    </row>
    <row r="2443">
      <c r="A2443" s="6" t="s">
        <v>5852</v>
      </c>
      <c r="B2443" s="6" t="s">
        <v>74</v>
      </c>
      <c r="C2443" s="6" t="s">
        <v>43</v>
      </c>
      <c r="D2443" s="6" t="s">
        <v>5853</v>
      </c>
      <c r="E2443" s="6" t="s">
        <v>57</v>
      </c>
      <c r="F2443" s="6" t="s">
        <v>40</v>
      </c>
      <c r="G2443" s="7">
        <v>0.05</v>
      </c>
      <c r="H2443" s="6" t="s">
        <v>496</v>
      </c>
      <c r="I2443" s="6" t="s">
        <v>20</v>
      </c>
      <c r="J2443" s="6">
        <v>2013.0</v>
      </c>
      <c r="L2443" s="6">
        <v>1.0</v>
      </c>
      <c r="M2443" s="8">
        <f t="shared" si="3"/>
        <v>0.05</v>
      </c>
      <c r="P2443" s="9"/>
    </row>
    <row r="2444">
      <c r="A2444" s="6" t="s">
        <v>5854</v>
      </c>
      <c r="B2444" s="6" t="s">
        <v>138</v>
      </c>
      <c r="C2444" s="6" t="s">
        <v>43</v>
      </c>
      <c r="D2444" s="6" t="s">
        <v>5855</v>
      </c>
      <c r="E2444" s="6" t="s">
        <v>135</v>
      </c>
      <c r="F2444" s="6" t="s">
        <v>40</v>
      </c>
      <c r="G2444" s="7">
        <v>0.05</v>
      </c>
      <c r="H2444" s="6" t="s">
        <v>34</v>
      </c>
      <c r="I2444" s="6" t="s">
        <v>20</v>
      </c>
      <c r="J2444" s="6">
        <v>2025.0</v>
      </c>
      <c r="L2444" s="6">
        <v>4.0</v>
      </c>
      <c r="M2444" s="8">
        <f t="shared" si="3"/>
        <v>0.2</v>
      </c>
      <c r="P2444" s="9"/>
    </row>
    <row r="2445">
      <c r="A2445" s="6" t="s">
        <v>5854</v>
      </c>
      <c r="B2445" s="6" t="s">
        <v>138</v>
      </c>
      <c r="C2445" s="6" t="s">
        <v>43</v>
      </c>
      <c r="D2445" s="6" t="s">
        <v>5855</v>
      </c>
      <c r="E2445" s="6" t="s">
        <v>135</v>
      </c>
      <c r="F2445" s="6" t="s">
        <v>40</v>
      </c>
      <c r="G2445" s="7">
        <v>0.05</v>
      </c>
      <c r="H2445" s="6" t="s">
        <v>34</v>
      </c>
      <c r="I2445" s="6" t="s">
        <v>20</v>
      </c>
      <c r="J2445" s="6">
        <v>2025.0</v>
      </c>
      <c r="L2445" s="6">
        <v>2.0</v>
      </c>
      <c r="M2445" s="8">
        <f t="shared" si="3"/>
        <v>0.1</v>
      </c>
      <c r="P2445" s="9"/>
    </row>
    <row r="2446">
      <c r="A2446" s="6" t="s">
        <v>5856</v>
      </c>
      <c r="B2446" s="6" t="s">
        <v>2250</v>
      </c>
      <c r="C2446" s="6" t="s">
        <v>43</v>
      </c>
      <c r="D2446" s="6" t="s">
        <v>5857</v>
      </c>
      <c r="E2446" s="6" t="s">
        <v>39</v>
      </c>
      <c r="F2446" s="6" t="s">
        <v>40</v>
      </c>
      <c r="G2446" s="7">
        <v>0.09</v>
      </c>
      <c r="H2446" s="6" t="s">
        <v>421</v>
      </c>
      <c r="I2446" s="6" t="s">
        <v>20</v>
      </c>
      <c r="J2446" s="6">
        <v>2000.0</v>
      </c>
      <c r="K2446" s="10">
        <v>46055.0</v>
      </c>
      <c r="L2446" s="6">
        <v>1.0</v>
      </c>
      <c r="M2446" s="8">
        <f t="shared" si="3"/>
        <v>0.09</v>
      </c>
      <c r="P2446" s="9"/>
    </row>
    <row r="2447">
      <c r="A2447" s="6" t="s">
        <v>5858</v>
      </c>
      <c r="B2447" s="6" t="s">
        <v>5859</v>
      </c>
      <c r="C2447" s="6" t="s">
        <v>37</v>
      </c>
      <c r="D2447" s="6" t="s">
        <v>5860</v>
      </c>
      <c r="E2447" s="6" t="s">
        <v>356</v>
      </c>
      <c r="F2447" s="6" t="s">
        <v>87</v>
      </c>
      <c r="G2447" s="7">
        <v>0.07</v>
      </c>
      <c r="H2447" s="6" t="s">
        <v>475</v>
      </c>
      <c r="I2447" s="6" t="s">
        <v>20</v>
      </c>
      <c r="J2447" s="6">
        <v>2024.0</v>
      </c>
      <c r="K2447" s="10">
        <v>46116.0</v>
      </c>
      <c r="L2447" s="6">
        <v>1.0</v>
      </c>
      <c r="M2447" s="8">
        <f t="shared" si="3"/>
        <v>0.07</v>
      </c>
      <c r="P2447" s="9"/>
    </row>
    <row r="2448">
      <c r="A2448" s="6" t="s">
        <v>5861</v>
      </c>
      <c r="B2448" s="6" t="s">
        <v>115</v>
      </c>
      <c r="C2448" s="6" t="s">
        <v>15</v>
      </c>
      <c r="D2448" s="6" t="s">
        <v>5862</v>
      </c>
      <c r="E2448" s="6" t="s">
        <v>2992</v>
      </c>
      <c r="F2448" s="6" t="s">
        <v>112</v>
      </c>
      <c r="G2448" s="7">
        <v>0.29</v>
      </c>
      <c r="H2448" s="6" t="s">
        <v>153</v>
      </c>
      <c r="I2448" s="6" t="s">
        <v>20</v>
      </c>
      <c r="J2448" s="6">
        <v>2025.0</v>
      </c>
      <c r="L2448" s="6">
        <v>1.0</v>
      </c>
      <c r="M2448" s="8">
        <f t="shared" si="3"/>
        <v>0.29</v>
      </c>
      <c r="P2448" s="9"/>
    </row>
    <row r="2449">
      <c r="A2449" s="6" t="s">
        <v>5861</v>
      </c>
      <c r="B2449" s="6" t="s">
        <v>115</v>
      </c>
      <c r="C2449" s="6" t="s">
        <v>15</v>
      </c>
      <c r="D2449" s="6" t="s">
        <v>5862</v>
      </c>
      <c r="E2449" s="6" t="s">
        <v>2992</v>
      </c>
      <c r="F2449" s="6" t="s">
        <v>112</v>
      </c>
      <c r="G2449" s="7">
        <v>0.99</v>
      </c>
      <c r="H2449" s="6" t="s">
        <v>153</v>
      </c>
      <c r="I2449" s="6" t="s">
        <v>45</v>
      </c>
      <c r="J2449" s="6">
        <v>2025.0</v>
      </c>
      <c r="L2449" s="6">
        <v>1.0</v>
      </c>
      <c r="M2449" s="8">
        <f t="shared" si="3"/>
        <v>0.99</v>
      </c>
      <c r="P2449" s="9"/>
    </row>
    <row r="2450">
      <c r="A2450" s="6" t="s">
        <v>5863</v>
      </c>
      <c r="B2450" s="6" t="s">
        <v>162</v>
      </c>
      <c r="C2450" s="6" t="s">
        <v>43</v>
      </c>
      <c r="D2450" s="6" t="s">
        <v>5864</v>
      </c>
      <c r="E2450" s="6" t="s">
        <v>176</v>
      </c>
      <c r="F2450" s="6" t="s">
        <v>77</v>
      </c>
      <c r="G2450" s="7">
        <v>0.38</v>
      </c>
      <c r="H2450" s="6" t="s">
        <v>5607</v>
      </c>
      <c r="I2450" s="6" t="s">
        <v>20</v>
      </c>
      <c r="J2450" s="6">
        <v>2014.0</v>
      </c>
      <c r="L2450" s="6">
        <v>1.0</v>
      </c>
      <c r="M2450" s="8">
        <f t="shared" si="3"/>
        <v>0.38</v>
      </c>
      <c r="P2450" s="9"/>
    </row>
    <row r="2451">
      <c r="A2451" s="6" t="s">
        <v>5865</v>
      </c>
      <c r="B2451" s="6" t="s">
        <v>162</v>
      </c>
      <c r="C2451" s="6" t="s">
        <v>43</v>
      </c>
      <c r="D2451" s="6" t="s">
        <v>5866</v>
      </c>
      <c r="E2451" s="6" t="s">
        <v>176</v>
      </c>
      <c r="F2451" s="6" t="s">
        <v>77</v>
      </c>
      <c r="G2451" s="7">
        <v>0.04</v>
      </c>
      <c r="H2451" s="6" t="s">
        <v>1148</v>
      </c>
      <c r="I2451" s="6" t="s">
        <v>20</v>
      </c>
      <c r="J2451" s="6">
        <v>2012.0</v>
      </c>
      <c r="L2451" s="6">
        <v>1.0</v>
      </c>
      <c r="M2451" s="8">
        <f t="shared" si="3"/>
        <v>0.04</v>
      </c>
      <c r="P2451" s="9"/>
    </row>
    <row r="2452">
      <c r="A2452" s="6" t="s">
        <v>5867</v>
      </c>
      <c r="B2452" s="6" t="s">
        <v>692</v>
      </c>
      <c r="C2452" s="6" t="s">
        <v>43</v>
      </c>
      <c r="D2452" s="6" t="s">
        <v>5868</v>
      </c>
      <c r="E2452" s="6" t="s">
        <v>164</v>
      </c>
      <c r="F2452" s="6" t="s">
        <v>112</v>
      </c>
      <c r="G2452" s="7">
        <v>0.04</v>
      </c>
      <c r="H2452" s="6" t="s">
        <v>34</v>
      </c>
      <c r="I2452" s="6" t="s">
        <v>20</v>
      </c>
      <c r="J2452" s="6">
        <v>2025.0</v>
      </c>
      <c r="K2452" s="10">
        <v>46055.0</v>
      </c>
      <c r="L2452" s="6">
        <v>2.0</v>
      </c>
      <c r="M2452" s="8">
        <f t="shared" si="3"/>
        <v>0.08</v>
      </c>
      <c r="P2452" s="9"/>
    </row>
    <row r="2453">
      <c r="A2453" s="6" t="s">
        <v>5869</v>
      </c>
      <c r="B2453" s="6" t="s">
        <v>115</v>
      </c>
      <c r="C2453" s="6" t="s">
        <v>23</v>
      </c>
      <c r="D2453" s="6" t="s">
        <v>5870</v>
      </c>
      <c r="E2453" s="6" t="s">
        <v>1007</v>
      </c>
      <c r="F2453" s="6" t="s">
        <v>87</v>
      </c>
      <c r="G2453" s="7">
        <v>3.15</v>
      </c>
      <c r="H2453" s="6" t="s">
        <v>130</v>
      </c>
      <c r="I2453" s="6" t="s">
        <v>20</v>
      </c>
      <c r="J2453" s="6">
        <v>2014.0</v>
      </c>
      <c r="L2453" s="6">
        <v>1.0</v>
      </c>
      <c r="M2453" s="8">
        <f t="shared" si="3"/>
        <v>3.15</v>
      </c>
      <c r="P2453" s="9"/>
    </row>
    <row r="2454">
      <c r="A2454" s="6" t="s">
        <v>5871</v>
      </c>
      <c r="B2454" s="6" t="s">
        <v>1095</v>
      </c>
      <c r="C2454" s="6" t="s">
        <v>43</v>
      </c>
      <c r="D2454" s="6" t="s">
        <v>5872</v>
      </c>
      <c r="E2454" s="6" t="s">
        <v>164</v>
      </c>
      <c r="F2454" s="6" t="s">
        <v>112</v>
      </c>
      <c r="G2454" s="7">
        <v>0.06</v>
      </c>
      <c r="H2454" s="6" t="s">
        <v>4045</v>
      </c>
      <c r="I2454" s="6" t="s">
        <v>20</v>
      </c>
      <c r="J2454" s="6">
        <v>2021.0</v>
      </c>
      <c r="K2454" s="10">
        <v>46055.0</v>
      </c>
      <c r="L2454" s="6">
        <v>4.0</v>
      </c>
      <c r="M2454" s="8">
        <f t="shared" si="3"/>
        <v>0.24</v>
      </c>
      <c r="P2454" s="9"/>
    </row>
    <row r="2455">
      <c r="A2455" s="6" t="s">
        <v>5873</v>
      </c>
      <c r="B2455" s="6" t="s">
        <v>4013</v>
      </c>
      <c r="C2455" s="6" t="s">
        <v>43</v>
      </c>
      <c r="D2455" s="6" t="s">
        <v>5874</v>
      </c>
      <c r="E2455" s="6" t="s">
        <v>86</v>
      </c>
      <c r="F2455" s="6" t="s">
        <v>87</v>
      </c>
      <c r="G2455" s="7">
        <v>0.49</v>
      </c>
      <c r="H2455" s="6" t="s">
        <v>506</v>
      </c>
      <c r="I2455" s="6" t="s">
        <v>20</v>
      </c>
      <c r="J2455" s="6">
        <v>2016.0</v>
      </c>
      <c r="K2455" s="10">
        <v>46082.0</v>
      </c>
      <c r="L2455" s="6">
        <v>1.0</v>
      </c>
      <c r="M2455" s="8">
        <f t="shared" si="3"/>
        <v>0.49</v>
      </c>
      <c r="P2455" s="9"/>
    </row>
    <row r="2456">
      <c r="A2456" s="6" t="s">
        <v>5875</v>
      </c>
      <c r="B2456" s="6" t="s">
        <v>162</v>
      </c>
      <c r="C2456" s="6" t="s">
        <v>37</v>
      </c>
      <c r="D2456" s="6" t="s">
        <v>5876</v>
      </c>
      <c r="E2456" s="6" t="s">
        <v>86</v>
      </c>
      <c r="F2456" s="6" t="s">
        <v>87</v>
      </c>
      <c r="G2456" s="7">
        <v>0.7</v>
      </c>
      <c r="H2456" s="6" t="s">
        <v>2053</v>
      </c>
      <c r="I2456" s="6" t="s">
        <v>20</v>
      </c>
      <c r="J2456" s="6">
        <v>2023.0</v>
      </c>
      <c r="L2456" s="6">
        <v>1.0</v>
      </c>
      <c r="M2456" s="8">
        <f t="shared" si="3"/>
        <v>0.7</v>
      </c>
      <c r="P2456" s="9"/>
    </row>
    <row r="2457">
      <c r="A2457" s="6" t="s">
        <v>5877</v>
      </c>
      <c r="B2457" s="6" t="s">
        <v>138</v>
      </c>
      <c r="C2457" s="6" t="s">
        <v>377</v>
      </c>
      <c r="D2457" s="6" t="s">
        <v>5878</v>
      </c>
      <c r="E2457" s="6" t="s">
        <v>86</v>
      </c>
      <c r="F2457" s="6" t="s">
        <v>2822</v>
      </c>
      <c r="G2457" s="7">
        <v>0.1</v>
      </c>
      <c r="H2457" s="6" t="s">
        <v>471</v>
      </c>
      <c r="I2457" s="6" t="s">
        <v>20</v>
      </c>
      <c r="J2457" s="6">
        <v>2026.0</v>
      </c>
      <c r="L2457" s="6">
        <v>1.0</v>
      </c>
      <c r="M2457" s="8">
        <f t="shared" si="3"/>
        <v>0.1</v>
      </c>
      <c r="P2457" s="9"/>
    </row>
    <row r="2458">
      <c r="A2458" s="6" t="s">
        <v>5879</v>
      </c>
      <c r="B2458" s="6" t="s">
        <v>162</v>
      </c>
      <c r="C2458" s="6" t="s">
        <v>43</v>
      </c>
      <c r="D2458" s="6" t="s">
        <v>5880</v>
      </c>
      <c r="E2458" s="6" t="s">
        <v>176</v>
      </c>
      <c r="F2458" s="6" t="s">
        <v>77</v>
      </c>
      <c r="G2458" s="7">
        <v>0.05</v>
      </c>
      <c r="H2458" s="6" t="s">
        <v>297</v>
      </c>
      <c r="I2458" s="6" t="s">
        <v>20</v>
      </c>
      <c r="J2458" s="6">
        <v>2022.0</v>
      </c>
      <c r="L2458" s="6">
        <v>1.0</v>
      </c>
      <c r="M2458" s="8">
        <f t="shared" si="3"/>
        <v>0.05</v>
      </c>
      <c r="P2458" s="9"/>
    </row>
    <row r="2459">
      <c r="A2459" s="6" t="s">
        <v>5881</v>
      </c>
      <c r="B2459" s="6" t="s">
        <v>657</v>
      </c>
      <c r="C2459" s="6" t="s">
        <v>23</v>
      </c>
      <c r="D2459" s="6" t="s">
        <v>5882</v>
      </c>
      <c r="E2459" s="6" t="s">
        <v>509</v>
      </c>
      <c r="F2459" s="6" t="s">
        <v>87</v>
      </c>
      <c r="G2459" s="7">
        <v>0.12</v>
      </c>
      <c r="H2459" s="6" t="s">
        <v>153</v>
      </c>
      <c r="I2459" s="6" t="s">
        <v>20</v>
      </c>
      <c r="J2459" s="6">
        <v>2025.0</v>
      </c>
      <c r="L2459" s="6">
        <v>5.0</v>
      </c>
      <c r="M2459" s="8">
        <f t="shared" si="3"/>
        <v>0.6</v>
      </c>
      <c r="P2459" s="9"/>
    </row>
    <row r="2460">
      <c r="A2460" s="6" t="s">
        <v>5881</v>
      </c>
      <c r="B2460" s="6" t="s">
        <v>657</v>
      </c>
      <c r="C2460" s="6" t="s">
        <v>23</v>
      </c>
      <c r="D2460" s="6" t="s">
        <v>5882</v>
      </c>
      <c r="E2460" s="6" t="s">
        <v>509</v>
      </c>
      <c r="F2460" s="6" t="s">
        <v>87</v>
      </c>
      <c r="G2460" s="7">
        <v>0.4</v>
      </c>
      <c r="H2460" s="6" t="s">
        <v>153</v>
      </c>
      <c r="I2460" s="6" t="s">
        <v>45</v>
      </c>
      <c r="J2460" s="6">
        <v>2025.0</v>
      </c>
      <c r="L2460" s="6">
        <v>2.0</v>
      </c>
      <c r="M2460" s="8">
        <f t="shared" si="3"/>
        <v>0.8</v>
      </c>
      <c r="P2460" s="9"/>
    </row>
    <row r="2461">
      <c r="A2461" s="6" t="s">
        <v>5883</v>
      </c>
      <c r="B2461" s="6" t="s">
        <v>5884</v>
      </c>
      <c r="C2461" s="6" t="s">
        <v>23</v>
      </c>
      <c r="D2461" s="6" t="s">
        <v>5885</v>
      </c>
      <c r="E2461" s="6" t="s">
        <v>1998</v>
      </c>
      <c r="F2461" s="6" t="s">
        <v>77</v>
      </c>
      <c r="G2461" s="7">
        <v>0.35</v>
      </c>
      <c r="H2461" s="6" t="s">
        <v>27</v>
      </c>
      <c r="I2461" s="6" t="s">
        <v>45</v>
      </c>
      <c r="J2461" s="6">
        <v>2026.0</v>
      </c>
      <c r="K2461" s="10">
        <v>46054.0</v>
      </c>
      <c r="L2461" s="6">
        <v>1.0</v>
      </c>
      <c r="M2461" s="8">
        <f t="shared" si="3"/>
        <v>0.35</v>
      </c>
      <c r="P2461" s="9"/>
    </row>
    <row r="2462">
      <c r="A2462" s="6" t="s">
        <v>5883</v>
      </c>
      <c r="B2462" s="6" t="s">
        <v>5884</v>
      </c>
      <c r="C2462" s="6" t="s">
        <v>23</v>
      </c>
      <c r="D2462" s="6" t="s">
        <v>5885</v>
      </c>
      <c r="E2462" s="6" t="s">
        <v>1998</v>
      </c>
      <c r="F2462" s="6" t="s">
        <v>77</v>
      </c>
      <c r="G2462" s="7">
        <v>0.13</v>
      </c>
      <c r="H2462" s="6" t="s">
        <v>27</v>
      </c>
      <c r="I2462" s="6" t="s">
        <v>20</v>
      </c>
      <c r="J2462" s="6">
        <v>2026.0</v>
      </c>
      <c r="K2462" s="10">
        <v>46054.0</v>
      </c>
      <c r="L2462" s="6">
        <v>1.0</v>
      </c>
      <c r="M2462" s="8">
        <f t="shared" si="3"/>
        <v>0.13</v>
      </c>
      <c r="P2462" s="9"/>
    </row>
    <row r="2463">
      <c r="A2463" s="6" t="s">
        <v>5886</v>
      </c>
      <c r="B2463" s="6" t="s">
        <v>5887</v>
      </c>
      <c r="C2463" s="6" t="s">
        <v>23</v>
      </c>
      <c r="D2463" s="6" t="s">
        <v>5888</v>
      </c>
      <c r="E2463" s="6" t="s">
        <v>1896</v>
      </c>
      <c r="F2463" s="6" t="s">
        <v>87</v>
      </c>
      <c r="G2463" s="7">
        <v>0.05</v>
      </c>
      <c r="H2463" s="6" t="s">
        <v>780</v>
      </c>
      <c r="I2463" s="6" t="s">
        <v>20</v>
      </c>
      <c r="J2463" s="6">
        <v>2025.0</v>
      </c>
      <c r="K2463" s="10">
        <v>46084.0</v>
      </c>
      <c r="L2463" s="6">
        <v>1.0</v>
      </c>
      <c r="M2463" s="8">
        <f t="shared" si="3"/>
        <v>0.05</v>
      </c>
      <c r="P2463" s="9"/>
    </row>
    <row r="2464">
      <c r="A2464" s="6" t="s">
        <v>5889</v>
      </c>
      <c r="B2464" s="6" t="s">
        <v>162</v>
      </c>
      <c r="C2464" s="6" t="s">
        <v>43</v>
      </c>
      <c r="D2464" s="6" t="s">
        <v>5890</v>
      </c>
      <c r="E2464" s="6" t="s">
        <v>356</v>
      </c>
      <c r="F2464" s="6" t="s">
        <v>87</v>
      </c>
      <c r="G2464" s="7">
        <v>0.06</v>
      </c>
      <c r="H2464" s="6" t="s">
        <v>415</v>
      </c>
      <c r="I2464" s="6" t="s">
        <v>20</v>
      </c>
      <c r="J2464" s="6">
        <v>2016.0</v>
      </c>
      <c r="L2464" s="6">
        <v>1.0</v>
      </c>
      <c r="M2464" s="8">
        <f t="shared" si="3"/>
        <v>0.06</v>
      </c>
      <c r="P2464" s="9"/>
    </row>
    <row r="2465">
      <c r="A2465" s="6" t="s">
        <v>5891</v>
      </c>
      <c r="B2465" s="6" t="s">
        <v>5892</v>
      </c>
      <c r="C2465" s="6" t="s">
        <v>30</v>
      </c>
      <c r="D2465" s="6" t="s">
        <v>5893</v>
      </c>
      <c r="E2465" s="6" t="s">
        <v>224</v>
      </c>
      <c r="F2465" s="6" t="s">
        <v>18</v>
      </c>
      <c r="G2465" s="7">
        <v>0.19</v>
      </c>
      <c r="H2465" s="6" t="s">
        <v>1833</v>
      </c>
      <c r="I2465" s="6" t="s">
        <v>20</v>
      </c>
      <c r="J2465" s="6">
        <v>2018.0</v>
      </c>
      <c r="K2465" s="6" t="s">
        <v>301</v>
      </c>
      <c r="L2465" s="6">
        <v>1.0</v>
      </c>
      <c r="M2465" s="8">
        <f t="shared" si="3"/>
        <v>0.19</v>
      </c>
      <c r="P2465" s="9"/>
    </row>
    <row r="2466">
      <c r="A2466" s="6" t="s">
        <v>5894</v>
      </c>
      <c r="B2466" s="6" t="s">
        <v>4485</v>
      </c>
      <c r="C2466" s="6" t="s">
        <v>37</v>
      </c>
      <c r="D2466" s="6" t="s">
        <v>5895</v>
      </c>
      <c r="E2466" s="6" t="s">
        <v>5412</v>
      </c>
      <c r="F2466" s="6" t="s">
        <v>71</v>
      </c>
      <c r="G2466" s="7">
        <v>0.06</v>
      </c>
      <c r="H2466" s="6" t="s">
        <v>78</v>
      </c>
      <c r="I2466" s="6" t="s">
        <v>20</v>
      </c>
      <c r="J2466" s="6">
        <v>2018.0</v>
      </c>
      <c r="K2466" s="10">
        <v>46114.0</v>
      </c>
      <c r="L2466" s="6">
        <v>1.0</v>
      </c>
      <c r="M2466" s="8">
        <f t="shared" si="3"/>
        <v>0.06</v>
      </c>
      <c r="P2466" s="9"/>
    </row>
    <row r="2467">
      <c r="A2467" s="6" t="s">
        <v>5896</v>
      </c>
      <c r="B2467" s="6" t="s">
        <v>5897</v>
      </c>
      <c r="C2467" s="6" t="s">
        <v>43</v>
      </c>
      <c r="E2467" s="6" t="s">
        <v>256</v>
      </c>
      <c r="F2467" s="6" t="s">
        <v>87</v>
      </c>
      <c r="G2467" s="7">
        <v>0.06</v>
      </c>
      <c r="H2467" s="6" t="s">
        <v>283</v>
      </c>
      <c r="I2467" s="6" t="s">
        <v>20</v>
      </c>
      <c r="J2467" s="6">
        <v>2013.0</v>
      </c>
      <c r="K2467" s="10">
        <v>46026.0</v>
      </c>
      <c r="L2467" s="6">
        <v>1.0</v>
      </c>
      <c r="M2467" s="8">
        <f t="shared" si="3"/>
        <v>0.06</v>
      </c>
      <c r="P2467" s="9"/>
    </row>
    <row r="2468">
      <c r="A2468" s="6" t="s">
        <v>5898</v>
      </c>
      <c r="B2468" s="6" t="s">
        <v>74</v>
      </c>
      <c r="C2468" s="6" t="s">
        <v>37</v>
      </c>
      <c r="D2468" s="6" t="s">
        <v>5899</v>
      </c>
      <c r="E2468" s="6" t="s">
        <v>111</v>
      </c>
      <c r="F2468" s="6" t="s">
        <v>112</v>
      </c>
      <c r="G2468" s="7">
        <v>0.05</v>
      </c>
      <c r="H2468" s="6" t="s">
        <v>431</v>
      </c>
      <c r="I2468" s="6" t="s">
        <v>20</v>
      </c>
      <c r="J2468" s="6">
        <v>2019.0</v>
      </c>
      <c r="L2468" s="6">
        <v>1.0</v>
      </c>
      <c r="M2468" s="8">
        <f t="shared" si="3"/>
        <v>0.05</v>
      </c>
      <c r="N2468" s="6" t="s">
        <v>374</v>
      </c>
      <c r="P2468" s="9"/>
    </row>
    <row r="2469">
      <c r="A2469" s="6" t="s">
        <v>5900</v>
      </c>
      <c r="B2469" s="6" t="s">
        <v>74</v>
      </c>
      <c r="C2469" s="6" t="s">
        <v>43</v>
      </c>
      <c r="D2469" s="6" t="s">
        <v>5901</v>
      </c>
      <c r="E2469" s="6" t="s">
        <v>125</v>
      </c>
      <c r="F2469" s="6" t="s">
        <v>40</v>
      </c>
      <c r="G2469" s="7">
        <v>0.06</v>
      </c>
      <c r="H2469" s="6" t="s">
        <v>297</v>
      </c>
      <c r="I2469" s="6" t="s">
        <v>20</v>
      </c>
      <c r="J2469" s="6">
        <v>2022.0</v>
      </c>
      <c r="L2469" s="6">
        <v>1.0</v>
      </c>
      <c r="M2469" s="8">
        <f t="shared" si="3"/>
        <v>0.06</v>
      </c>
      <c r="P2469" s="9"/>
    </row>
    <row r="2470">
      <c r="A2470" s="6" t="s">
        <v>5902</v>
      </c>
      <c r="B2470" s="6" t="s">
        <v>292</v>
      </c>
      <c r="C2470" s="6" t="s">
        <v>204</v>
      </c>
      <c r="D2470" s="6" t="s">
        <v>5903</v>
      </c>
      <c r="E2470" s="6" t="s">
        <v>125</v>
      </c>
      <c r="F2470" s="6" t="s">
        <v>40</v>
      </c>
      <c r="G2470" s="7">
        <v>0.11</v>
      </c>
      <c r="H2470" s="6" t="s">
        <v>206</v>
      </c>
      <c r="I2470" s="6" t="s">
        <v>20</v>
      </c>
      <c r="J2470" s="6">
        <v>1996.0</v>
      </c>
      <c r="L2470" s="6">
        <v>1.0</v>
      </c>
      <c r="M2470" s="8">
        <f t="shared" si="3"/>
        <v>0.11</v>
      </c>
      <c r="P2470" s="9"/>
    </row>
    <row r="2471">
      <c r="A2471" s="6" t="s">
        <v>5904</v>
      </c>
      <c r="B2471" s="6" t="s">
        <v>74</v>
      </c>
      <c r="C2471" s="6" t="s">
        <v>37</v>
      </c>
      <c r="D2471" s="6" t="s">
        <v>5905</v>
      </c>
      <c r="E2471" s="6" t="s">
        <v>5134</v>
      </c>
      <c r="F2471" s="6" t="s">
        <v>1244</v>
      </c>
      <c r="G2471" s="7">
        <v>0.13</v>
      </c>
      <c r="H2471" s="6" t="s">
        <v>1048</v>
      </c>
      <c r="I2471" s="6" t="s">
        <v>20</v>
      </c>
      <c r="J2471" s="6">
        <v>2008.0</v>
      </c>
      <c r="L2471" s="6">
        <v>1.0</v>
      </c>
      <c r="M2471" s="8">
        <f t="shared" si="3"/>
        <v>0.13</v>
      </c>
      <c r="P2471" s="9"/>
    </row>
    <row r="2472">
      <c r="A2472" s="6" t="s">
        <v>5906</v>
      </c>
      <c r="B2472" s="6" t="s">
        <v>5907</v>
      </c>
      <c r="C2472" s="6" t="s">
        <v>15</v>
      </c>
      <c r="D2472" s="6" t="s">
        <v>5908</v>
      </c>
      <c r="E2472" s="6">
        <v>6.0</v>
      </c>
      <c r="F2472" s="6" t="s">
        <v>26</v>
      </c>
      <c r="G2472" s="7">
        <v>0.4</v>
      </c>
      <c r="H2472" s="6" t="s">
        <v>153</v>
      </c>
      <c r="I2472" s="6" t="s">
        <v>45</v>
      </c>
      <c r="J2472" s="6">
        <v>2025.0</v>
      </c>
      <c r="K2472" s="10">
        <v>46148.0</v>
      </c>
      <c r="L2472" s="6">
        <v>1.0</v>
      </c>
      <c r="M2472" s="8">
        <f t="shared" si="3"/>
        <v>0.4</v>
      </c>
      <c r="P2472" s="9"/>
    </row>
    <row r="2473">
      <c r="A2473" s="6" t="s">
        <v>5906</v>
      </c>
      <c r="B2473" s="6" t="s">
        <v>5907</v>
      </c>
      <c r="C2473" s="6" t="s">
        <v>15</v>
      </c>
      <c r="D2473" s="6" t="s">
        <v>5908</v>
      </c>
      <c r="E2473" s="6">
        <v>6.0</v>
      </c>
      <c r="F2473" s="6" t="s">
        <v>26</v>
      </c>
      <c r="G2473" s="7">
        <v>0.18</v>
      </c>
      <c r="H2473" s="6" t="s">
        <v>153</v>
      </c>
      <c r="I2473" s="6" t="s">
        <v>20</v>
      </c>
      <c r="J2473" s="6">
        <v>2025.0</v>
      </c>
      <c r="K2473" s="10">
        <v>46148.0</v>
      </c>
      <c r="L2473" s="6">
        <v>1.0</v>
      </c>
      <c r="M2473" s="8">
        <f t="shared" si="3"/>
        <v>0.18</v>
      </c>
      <c r="P2473" s="9"/>
    </row>
    <row r="2474">
      <c r="A2474" s="6" t="s">
        <v>5909</v>
      </c>
      <c r="B2474" s="6" t="s">
        <v>115</v>
      </c>
      <c r="C2474" s="6" t="s">
        <v>15</v>
      </c>
      <c r="D2474" s="6" t="s">
        <v>5910</v>
      </c>
      <c r="E2474" s="6" t="s">
        <v>5911</v>
      </c>
      <c r="F2474" s="6" t="s">
        <v>18</v>
      </c>
      <c r="G2474" s="7">
        <v>0.5</v>
      </c>
      <c r="H2474" s="6" t="s">
        <v>153</v>
      </c>
      <c r="I2474" s="6" t="s">
        <v>45</v>
      </c>
      <c r="J2474" s="6">
        <v>2025.0</v>
      </c>
      <c r="L2474" s="6">
        <v>1.0</v>
      </c>
      <c r="M2474" s="8">
        <f t="shared" si="3"/>
        <v>0.5</v>
      </c>
      <c r="P2474" s="9"/>
    </row>
    <row r="2475">
      <c r="A2475" s="6" t="s">
        <v>5912</v>
      </c>
      <c r="B2475" s="6" t="s">
        <v>5913</v>
      </c>
      <c r="C2475" s="6" t="s">
        <v>43</v>
      </c>
      <c r="D2475" s="6" t="s">
        <v>5914</v>
      </c>
      <c r="E2475" s="6" t="s">
        <v>57</v>
      </c>
      <c r="F2475" s="6" t="s">
        <v>40</v>
      </c>
      <c r="G2475" s="7">
        <v>0.09</v>
      </c>
      <c r="H2475" s="6" t="s">
        <v>471</v>
      </c>
      <c r="I2475" s="6" t="s">
        <v>20</v>
      </c>
      <c r="J2475" s="6">
        <v>2026.0</v>
      </c>
      <c r="K2475" s="10">
        <v>46116.0</v>
      </c>
      <c r="L2475" s="6">
        <v>4.0</v>
      </c>
      <c r="M2475" s="8">
        <f t="shared" si="3"/>
        <v>0.36</v>
      </c>
      <c r="P2475" s="9"/>
    </row>
    <row r="2476">
      <c r="A2476" s="6" t="s">
        <v>5915</v>
      </c>
      <c r="B2476" s="6" t="s">
        <v>115</v>
      </c>
      <c r="C2476" s="6" t="s">
        <v>23</v>
      </c>
      <c r="D2476" s="6" t="s">
        <v>5916</v>
      </c>
      <c r="E2476" s="6" t="s">
        <v>5917</v>
      </c>
      <c r="F2476" s="6" t="s">
        <v>665</v>
      </c>
      <c r="G2476" s="7">
        <v>0.09</v>
      </c>
      <c r="H2476" s="6" t="s">
        <v>617</v>
      </c>
      <c r="I2476" s="6" t="s">
        <v>20</v>
      </c>
      <c r="J2476" s="6">
        <v>2026.0</v>
      </c>
      <c r="L2476" s="6">
        <v>1.0</v>
      </c>
      <c r="M2476" s="8">
        <f t="shared" si="3"/>
        <v>0.09</v>
      </c>
      <c r="P2476" s="9"/>
    </row>
    <row r="2477">
      <c r="A2477" s="6" t="s">
        <v>5918</v>
      </c>
      <c r="B2477" s="6" t="s">
        <v>74</v>
      </c>
      <c r="C2477" s="6" t="s">
        <v>43</v>
      </c>
      <c r="D2477" s="6" t="s">
        <v>5919</v>
      </c>
      <c r="E2477" s="6" t="s">
        <v>57</v>
      </c>
      <c r="F2477" s="6" t="s">
        <v>40</v>
      </c>
      <c r="G2477" s="7">
        <v>0.3</v>
      </c>
      <c r="H2477" s="6" t="s">
        <v>1833</v>
      </c>
      <c r="I2477" s="6" t="s">
        <v>45</v>
      </c>
      <c r="J2477" s="6">
        <v>2018.0</v>
      </c>
      <c r="L2477" s="6">
        <v>1.0</v>
      </c>
      <c r="M2477" s="8">
        <f t="shared" si="3"/>
        <v>0.3</v>
      </c>
      <c r="P2477" s="9"/>
    </row>
    <row r="2478">
      <c r="A2478" s="6" t="s">
        <v>5920</v>
      </c>
      <c r="B2478" s="6" t="s">
        <v>5921</v>
      </c>
      <c r="C2478" s="6" t="s">
        <v>15</v>
      </c>
      <c r="D2478" s="6" t="s">
        <v>5922</v>
      </c>
      <c r="E2478" s="6" t="s">
        <v>3720</v>
      </c>
      <c r="F2478" s="6" t="s">
        <v>77</v>
      </c>
      <c r="G2478" s="7">
        <v>0.21</v>
      </c>
      <c r="H2478" s="6" t="s">
        <v>153</v>
      </c>
      <c r="I2478" s="6" t="s">
        <v>20</v>
      </c>
      <c r="J2478" s="6">
        <v>2025.0</v>
      </c>
      <c r="K2478" s="10">
        <v>46024.0</v>
      </c>
      <c r="L2478" s="6">
        <v>2.0</v>
      </c>
      <c r="M2478" s="8">
        <f t="shared" si="3"/>
        <v>0.42</v>
      </c>
      <c r="P2478" s="9"/>
    </row>
    <row r="2479">
      <c r="A2479" s="6" t="s">
        <v>5923</v>
      </c>
      <c r="B2479" s="6" t="s">
        <v>556</v>
      </c>
      <c r="C2479" s="6" t="s">
        <v>43</v>
      </c>
      <c r="D2479" s="6" t="s">
        <v>5924</v>
      </c>
      <c r="E2479" s="6" t="s">
        <v>179</v>
      </c>
      <c r="F2479" s="6" t="s">
        <v>112</v>
      </c>
      <c r="G2479" s="7">
        <v>0.03</v>
      </c>
      <c r="H2479" s="6" t="s">
        <v>249</v>
      </c>
      <c r="I2479" s="6" t="s">
        <v>20</v>
      </c>
      <c r="J2479" s="6">
        <v>2014.0</v>
      </c>
      <c r="K2479" s="10">
        <v>46023.0</v>
      </c>
      <c r="L2479" s="6">
        <v>5.0</v>
      </c>
      <c r="M2479" s="8">
        <f t="shared" si="3"/>
        <v>0.15</v>
      </c>
      <c r="P2479" s="9"/>
    </row>
    <row r="2480">
      <c r="A2480" s="6" t="s">
        <v>5925</v>
      </c>
      <c r="B2480" s="6" t="s">
        <v>606</v>
      </c>
      <c r="C2480" s="6" t="s">
        <v>23</v>
      </c>
      <c r="D2480" s="6" t="s">
        <v>5926</v>
      </c>
      <c r="E2480" s="6" t="s">
        <v>5927</v>
      </c>
      <c r="F2480" s="6" t="s">
        <v>18</v>
      </c>
      <c r="G2480" s="7">
        <v>0.09</v>
      </c>
      <c r="H2480" s="6" t="s">
        <v>130</v>
      </c>
      <c r="I2480" s="6" t="s">
        <v>20</v>
      </c>
      <c r="J2480" s="6">
        <v>2014.0</v>
      </c>
      <c r="L2480" s="6">
        <v>1.0</v>
      </c>
      <c r="M2480" s="8">
        <f t="shared" si="3"/>
        <v>0.09</v>
      </c>
      <c r="P2480" s="9"/>
    </row>
    <row r="2481">
      <c r="A2481" s="6" t="s">
        <v>5928</v>
      </c>
      <c r="B2481" s="6" t="s">
        <v>1438</v>
      </c>
      <c r="C2481" s="6" t="s">
        <v>43</v>
      </c>
      <c r="D2481" s="6" t="s">
        <v>5929</v>
      </c>
      <c r="E2481" s="6" t="s">
        <v>135</v>
      </c>
      <c r="F2481" s="6" t="s">
        <v>40</v>
      </c>
      <c r="G2481" s="7">
        <v>0.09</v>
      </c>
      <c r="H2481" s="6" t="s">
        <v>631</v>
      </c>
      <c r="I2481" s="6" t="s">
        <v>20</v>
      </c>
      <c r="J2481" s="6">
        <v>1995.0</v>
      </c>
      <c r="K2481" s="10">
        <v>46054.0</v>
      </c>
      <c r="L2481" s="6">
        <v>2.0</v>
      </c>
      <c r="M2481" s="8">
        <f t="shared" si="3"/>
        <v>0.18</v>
      </c>
      <c r="P2481" s="9"/>
    </row>
    <row r="2482">
      <c r="A2482" s="6" t="s">
        <v>5930</v>
      </c>
      <c r="B2482" s="6" t="s">
        <v>5931</v>
      </c>
      <c r="C2482" s="6" t="s">
        <v>37</v>
      </c>
      <c r="D2482" s="6" t="s">
        <v>5932</v>
      </c>
      <c r="E2482" s="6" t="s">
        <v>654</v>
      </c>
      <c r="F2482" s="6" t="s">
        <v>18</v>
      </c>
      <c r="G2482" s="7">
        <v>0.1</v>
      </c>
      <c r="H2482" s="6" t="s">
        <v>297</v>
      </c>
      <c r="I2482" s="6" t="s">
        <v>20</v>
      </c>
      <c r="J2482" s="6">
        <v>2022.0</v>
      </c>
      <c r="K2482" s="10">
        <v>46115.0</v>
      </c>
      <c r="L2482" s="6">
        <v>1.0</v>
      </c>
      <c r="M2482" s="8">
        <f t="shared" si="3"/>
        <v>0.1</v>
      </c>
      <c r="P2482" s="9"/>
    </row>
    <row r="2483">
      <c r="A2483" s="6" t="s">
        <v>5933</v>
      </c>
      <c r="B2483" s="6" t="s">
        <v>292</v>
      </c>
      <c r="C2483" s="6" t="s">
        <v>183</v>
      </c>
      <c r="D2483" s="6" t="s">
        <v>5934</v>
      </c>
      <c r="E2483" s="6" t="s">
        <v>135</v>
      </c>
      <c r="F2483" s="6" t="s">
        <v>40</v>
      </c>
      <c r="G2483" s="7">
        <v>0.14</v>
      </c>
      <c r="H2483" s="6" t="s">
        <v>206</v>
      </c>
      <c r="I2483" s="6" t="s">
        <v>20</v>
      </c>
      <c r="J2483" s="6">
        <v>1996.0</v>
      </c>
      <c r="L2483" s="6">
        <v>1.0</v>
      </c>
      <c r="M2483" s="8">
        <f t="shared" si="3"/>
        <v>0.14</v>
      </c>
      <c r="P2483" s="9"/>
    </row>
    <row r="2484">
      <c r="A2484" s="6" t="s">
        <v>5935</v>
      </c>
      <c r="B2484" s="6" t="s">
        <v>2565</v>
      </c>
      <c r="C2484" s="6" t="s">
        <v>15</v>
      </c>
      <c r="D2484" s="6" t="s">
        <v>5936</v>
      </c>
      <c r="E2484" s="6" t="s">
        <v>5937</v>
      </c>
      <c r="F2484" s="6" t="s">
        <v>40</v>
      </c>
      <c r="G2484" s="7">
        <v>0.09</v>
      </c>
      <c r="H2484" s="6" t="s">
        <v>780</v>
      </c>
      <c r="I2484" s="6" t="s">
        <v>20</v>
      </c>
      <c r="J2484" s="6">
        <v>2025.0</v>
      </c>
      <c r="K2484" s="10">
        <v>46178.0</v>
      </c>
      <c r="L2484" s="6">
        <v>1.0</v>
      </c>
      <c r="M2484" s="8">
        <f t="shared" si="3"/>
        <v>0.09</v>
      </c>
      <c r="P2484" s="9"/>
    </row>
    <row r="2485">
      <c r="A2485" s="6" t="s">
        <v>5938</v>
      </c>
      <c r="B2485" s="6" t="s">
        <v>462</v>
      </c>
      <c r="C2485" s="6" t="s">
        <v>23</v>
      </c>
      <c r="D2485" s="6" t="s">
        <v>5939</v>
      </c>
      <c r="E2485" s="6" t="s">
        <v>3720</v>
      </c>
      <c r="F2485" s="6" t="s">
        <v>1811</v>
      </c>
      <c r="G2485" s="7">
        <v>0.1</v>
      </c>
      <c r="H2485" s="6" t="s">
        <v>1336</v>
      </c>
      <c r="I2485" s="6" t="s">
        <v>20</v>
      </c>
      <c r="J2485" s="6">
        <v>2025.0</v>
      </c>
      <c r="L2485" s="6">
        <v>3.0</v>
      </c>
      <c r="M2485" s="8">
        <f t="shared" si="3"/>
        <v>0.3</v>
      </c>
      <c r="P2485" s="9"/>
    </row>
    <row r="2486">
      <c r="A2486" s="6" t="s">
        <v>5938</v>
      </c>
      <c r="B2486" s="6" t="s">
        <v>462</v>
      </c>
      <c r="C2486" s="6" t="s">
        <v>23</v>
      </c>
      <c r="D2486" s="6" t="s">
        <v>5939</v>
      </c>
      <c r="E2486" s="6" t="s">
        <v>3720</v>
      </c>
      <c r="F2486" s="6" t="s">
        <v>1811</v>
      </c>
      <c r="G2486" s="7">
        <v>0.1</v>
      </c>
      <c r="H2486" s="6" t="s">
        <v>1336</v>
      </c>
      <c r="I2486" s="6" t="s">
        <v>45</v>
      </c>
      <c r="J2486" s="6">
        <v>2025.0</v>
      </c>
      <c r="L2486" s="6">
        <v>10.0</v>
      </c>
      <c r="M2486" s="8">
        <f t="shared" si="3"/>
        <v>1</v>
      </c>
      <c r="P2486" s="9"/>
    </row>
    <row r="2487">
      <c r="A2487" s="6" t="s">
        <v>5940</v>
      </c>
      <c r="B2487" s="6" t="s">
        <v>5941</v>
      </c>
      <c r="C2487" s="6" t="s">
        <v>37</v>
      </c>
      <c r="D2487" s="6" t="s">
        <v>5942</v>
      </c>
      <c r="E2487" s="6" t="s">
        <v>1634</v>
      </c>
      <c r="F2487" s="6" t="s">
        <v>87</v>
      </c>
      <c r="G2487" s="7">
        <v>0.04</v>
      </c>
      <c r="H2487" s="6" t="s">
        <v>787</v>
      </c>
      <c r="I2487" s="6" t="s">
        <v>20</v>
      </c>
      <c r="J2487" s="6">
        <v>2023.0</v>
      </c>
      <c r="K2487" s="10">
        <v>46147.0</v>
      </c>
      <c r="L2487" s="6">
        <v>1.0</v>
      </c>
      <c r="M2487" s="8">
        <f t="shared" si="3"/>
        <v>0.04</v>
      </c>
      <c r="P2487" s="9"/>
    </row>
    <row r="2488">
      <c r="A2488" s="6" t="s">
        <v>5943</v>
      </c>
      <c r="B2488" s="6" t="s">
        <v>102</v>
      </c>
      <c r="C2488" s="6" t="s">
        <v>37</v>
      </c>
      <c r="D2488" s="6" t="s">
        <v>5944</v>
      </c>
      <c r="E2488" s="6" t="s">
        <v>5945</v>
      </c>
      <c r="F2488" s="6" t="s">
        <v>71</v>
      </c>
      <c r="G2488" s="7">
        <v>0.08</v>
      </c>
      <c r="H2488" s="6" t="s">
        <v>104</v>
      </c>
      <c r="I2488" s="6" t="s">
        <v>20</v>
      </c>
      <c r="J2488" s="6">
        <v>2019.0</v>
      </c>
      <c r="K2488" s="10">
        <v>46057.0</v>
      </c>
      <c r="L2488" s="6">
        <v>2.0</v>
      </c>
      <c r="M2488" s="8">
        <f t="shared" si="3"/>
        <v>0.16</v>
      </c>
      <c r="P2488" s="9"/>
    </row>
    <row r="2489">
      <c r="A2489" s="6" t="s">
        <v>5946</v>
      </c>
      <c r="B2489" s="6" t="s">
        <v>854</v>
      </c>
      <c r="C2489" s="6" t="s">
        <v>37</v>
      </c>
      <c r="D2489" s="6" t="s">
        <v>5947</v>
      </c>
      <c r="E2489" s="6" t="s">
        <v>5948</v>
      </c>
      <c r="F2489" s="6" t="s">
        <v>71</v>
      </c>
      <c r="G2489" s="7">
        <v>0.12</v>
      </c>
      <c r="H2489" s="6" t="s">
        <v>468</v>
      </c>
      <c r="I2489" s="6" t="s">
        <v>20</v>
      </c>
      <c r="J2489" s="6">
        <v>2015.0</v>
      </c>
      <c r="K2489" s="10">
        <v>46055.0</v>
      </c>
      <c r="L2489" s="6">
        <v>1.0</v>
      </c>
      <c r="M2489" s="8">
        <f t="shared" si="3"/>
        <v>0.12</v>
      </c>
      <c r="P2489" s="9"/>
    </row>
    <row r="2490">
      <c r="A2490" s="6" t="s">
        <v>5949</v>
      </c>
      <c r="B2490" s="6" t="s">
        <v>929</v>
      </c>
      <c r="C2490" s="6" t="s">
        <v>43</v>
      </c>
      <c r="D2490" s="6" t="s">
        <v>5950</v>
      </c>
      <c r="E2490" s="6" t="s">
        <v>176</v>
      </c>
      <c r="F2490" s="6" t="s">
        <v>77</v>
      </c>
      <c r="G2490" s="7">
        <v>0.04</v>
      </c>
      <c r="H2490" s="6" t="s">
        <v>475</v>
      </c>
      <c r="I2490" s="6" t="s">
        <v>20</v>
      </c>
      <c r="J2490" s="6">
        <v>2024.0</v>
      </c>
      <c r="K2490" s="10">
        <v>46026.0</v>
      </c>
      <c r="L2490" s="6">
        <v>1.0</v>
      </c>
      <c r="M2490" s="8">
        <f t="shared" si="3"/>
        <v>0.04</v>
      </c>
      <c r="P2490" s="9"/>
    </row>
    <row r="2491">
      <c r="A2491" s="6" t="s">
        <v>5951</v>
      </c>
      <c r="B2491" s="6" t="s">
        <v>162</v>
      </c>
      <c r="C2491" s="6" t="s">
        <v>37</v>
      </c>
      <c r="D2491" s="6" t="s">
        <v>5952</v>
      </c>
      <c r="E2491" s="6" t="s">
        <v>282</v>
      </c>
      <c r="F2491" s="6" t="s">
        <v>40</v>
      </c>
      <c r="G2491" s="7">
        <v>0.8</v>
      </c>
      <c r="H2491" s="6" t="s">
        <v>453</v>
      </c>
      <c r="I2491" s="6" t="s">
        <v>20</v>
      </c>
      <c r="J2491" s="6">
        <v>1994.0</v>
      </c>
      <c r="L2491" s="6">
        <v>1.0</v>
      </c>
      <c r="M2491" s="8">
        <f t="shared" si="3"/>
        <v>0.8</v>
      </c>
      <c r="P2491" s="9"/>
    </row>
    <row r="2492">
      <c r="A2492" s="6" t="s">
        <v>5953</v>
      </c>
      <c r="B2492" s="6" t="s">
        <v>3382</v>
      </c>
      <c r="C2492" s="6" t="s">
        <v>418</v>
      </c>
      <c r="D2492" s="6" t="s">
        <v>5954</v>
      </c>
      <c r="E2492" s="6" t="s">
        <v>176</v>
      </c>
      <c r="F2492" s="6" t="s">
        <v>77</v>
      </c>
      <c r="G2492" s="7">
        <v>0.07</v>
      </c>
      <c r="H2492" s="6" t="s">
        <v>471</v>
      </c>
      <c r="I2492" s="6" t="s">
        <v>20</v>
      </c>
      <c r="J2492" s="6">
        <v>2026.0</v>
      </c>
      <c r="K2492" s="10">
        <v>46057.0</v>
      </c>
      <c r="L2492" s="6">
        <v>1.0</v>
      </c>
      <c r="M2492" s="8">
        <f t="shared" si="3"/>
        <v>0.07</v>
      </c>
      <c r="P2492" s="9"/>
    </row>
    <row r="2493">
      <c r="A2493" s="6" t="s">
        <v>5955</v>
      </c>
      <c r="B2493" s="6" t="s">
        <v>74</v>
      </c>
      <c r="C2493" s="6" t="s">
        <v>43</v>
      </c>
      <c r="D2493" s="6" t="s">
        <v>5956</v>
      </c>
      <c r="E2493" s="6" t="s">
        <v>190</v>
      </c>
      <c r="F2493" s="6" t="s">
        <v>18</v>
      </c>
      <c r="G2493" s="7">
        <v>0.05</v>
      </c>
      <c r="H2493" s="6" t="s">
        <v>1511</v>
      </c>
      <c r="I2493" s="6" t="s">
        <v>20</v>
      </c>
      <c r="J2493" s="6">
        <v>2014.0</v>
      </c>
      <c r="L2493" s="6">
        <v>1.0</v>
      </c>
      <c r="M2493" s="8">
        <f t="shared" si="3"/>
        <v>0.05</v>
      </c>
      <c r="P2493" s="9"/>
    </row>
    <row r="2494">
      <c r="A2494" s="6" t="s">
        <v>5957</v>
      </c>
      <c r="B2494" s="6" t="s">
        <v>462</v>
      </c>
      <c r="C2494" s="6" t="s">
        <v>37</v>
      </c>
      <c r="D2494" s="6" t="s">
        <v>5958</v>
      </c>
      <c r="E2494" s="6" t="s">
        <v>757</v>
      </c>
      <c r="F2494" s="6" t="s">
        <v>87</v>
      </c>
      <c r="G2494" s="7">
        <v>0.12</v>
      </c>
      <c r="H2494" s="6" t="s">
        <v>58</v>
      </c>
      <c r="I2494" s="6" t="s">
        <v>20</v>
      </c>
      <c r="J2494" s="6">
        <v>1995.0</v>
      </c>
      <c r="L2494" s="6">
        <v>1.0</v>
      </c>
      <c r="M2494" s="8">
        <f t="shared" si="3"/>
        <v>0.12</v>
      </c>
      <c r="P2494" s="9"/>
    </row>
    <row r="2495">
      <c r="A2495" s="6" t="s">
        <v>5959</v>
      </c>
      <c r="B2495" s="6" t="s">
        <v>219</v>
      </c>
      <c r="C2495" s="6" t="s">
        <v>37</v>
      </c>
      <c r="D2495" s="6" t="s">
        <v>5960</v>
      </c>
      <c r="E2495" s="6" t="s">
        <v>185</v>
      </c>
      <c r="F2495" s="6" t="s">
        <v>26</v>
      </c>
      <c r="G2495" s="7">
        <v>0.06</v>
      </c>
      <c r="H2495" s="6" t="s">
        <v>398</v>
      </c>
      <c r="I2495" s="6" t="s">
        <v>20</v>
      </c>
      <c r="J2495" s="6">
        <v>2019.0</v>
      </c>
      <c r="L2495" s="6">
        <v>1.0</v>
      </c>
      <c r="M2495" s="8">
        <f t="shared" si="3"/>
        <v>0.06</v>
      </c>
      <c r="P2495" s="9"/>
    </row>
    <row r="2496">
      <c r="A2496" s="6" t="s">
        <v>5961</v>
      </c>
      <c r="B2496" s="6" t="s">
        <v>115</v>
      </c>
      <c r="C2496" s="6" t="s">
        <v>23</v>
      </c>
      <c r="D2496" s="6" t="s">
        <v>5962</v>
      </c>
      <c r="E2496" s="6" t="s">
        <v>17</v>
      </c>
      <c r="F2496" s="6" t="s">
        <v>18</v>
      </c>
      <c r="G2496" s="7">
        <v>0.05</v>
      </c>
      <c r="H2496" s="6" t="s">
        <v>153</v>
      </c>
      <c r="I2496" s="6" t="s">
        <v>20</v>
      </c>
      <c r="J2496" s="6">
        <v>2025.0</v>
      </c>
      <c r="L2496" s="6">
        <v>6.0</v>
      </c>
      <c r="M2496" s="8">
        <f t="shared" si="3"/>
        <v>0.3</v>
      </c>
      <c r="P2496" s="9"/>
    </row>
    <row r="2497">
      <c r="A2497" s="6" t="s">
        <v>5961</v>
      </c>
      <c r="B2497" s="6" t="s">
        <v>115</v>
      </c>
      <c r="C2497" s="6" t="s">
        <v>23</v>
      </c>
      <c r="D2497" s="6" t="s">
        <v>5962</v>
      </c>
      <c r="E2497" s="6" t="s">
        <v>17</v>
      </c>
      <c r="F2497" s="6" t="s">
        <v>18</v>
      </c>
      <c r="G2497" s="7">
        <v>0.14</v>
      </c>
      <c r="H2497" s="6" t="s">
        <v>153</v>
      </c>
      <c r="I2497" s="6" t="s">
        <v>45</v>
      </c>
      <c r="J2497" s="6">
        <v>2025.0</v>
      </c>
      <c r="L2497" s="6">
        <v>3.0</v>
      </c>
      <c r="M2497" s="8">
        <f t="shared" si="3"/>
        <v>0.42</v>
      </c>
      <c r="P2497" s="9"/>
    </row>
    <row r="2498">
      <c r="A2498" s="6" t="s">
        <v>5963</v>
      </c>
      <c r="B2498" s="6" t="s">
        <v>254</v>
      </c>
      <c r="C2498" s="6" t="s">
        <v>43</v>
      </c>
      <c r="D2498" s="6" t="s">
        <v>5964</v>
      </c>
      <c r="E2498" s="6" t="s">
        <v>98</v>
      </c>
      <c r="F2498" s="6" t="s">
        <v>18</v>
      </c>
      <c r="G2498" s="7">
        <v>0.1</v>
      </c>
      <c r="H2498" s="6" t="s">
        <v>136</v>
      </c>
      <c r="I2498" s="6" t="s">
        <v>20</v>
      </c>
      <c r="J2498" s="6">
        <v>2026.0</v>
      </c>
      <c r="L2498" s="6">
        <v>2.0</v>
      </c>
      <c r="M2498" s="8">
        <f t="shared" si="3"/>
        <v>0.2</v>
      </c>
      <c r="P2498" s="9"/>
    </row>
    <row r="2499">
      <c r="A2499" s="6" t="s">
        <v>5965</v>
      </c>
      <c r="B2499" s="6" t="s">
        <v>74</v>
      </c>
      <c r="C2499" s="6" t="s">
        <v>43</v>
      </c>
      <c r="D2499" s="6" t="s">
        <v>5966</v>
      </c>
      <c r="E2499" s="6" t="s">
        <v>76</v>
      </c>
      <c r="F2499" s="6" t="s">
        <v>77</v>
      </c>
      <c r="G2499" s="7">
        <v>0.2</v>
      </c>
      <c r="H2499" s="6" t="s">
        <v>297</v>
      </c>
      <c r="I2499" s="6" t="s">
        <v>20</v>
      </c>
      <c r="J2499" s="6">
        <v>2022.0</v>
      </c>
      <c r="L2499" s="6">
        <v>2.0</v>
      </c>
      <c r="M2499" s="8">
        <f t="shared" si="3"/>
        <v>0.4</v>
      </c>
      <c r="P2499" s="9"/>
    </row>
    <row r="2500">
      <c r="A2500" s="6" t="s">
        <v>5967</v>
      </c>
      <c r="B2500" s="6" t="s">
        <v>74</v>
      </c>
      <c r="C2500" s="6" t="s">
        <v>43</v>
      </c>
      <c r="D2500" s="6" t="s">
        <v>5968</v>
      </c>
      <c r="E2500" s="6" t="s">
        <v>164</v>
      </c>
      <c r="F2500" s="6" t="s">
        <v>112</v>
      </c>
      <c r="G2500" s="7">
        <v>0.13</v>
      </c>
      <c r="H2500" s="6" t="s">
        <v>290</v>
      </c>
      <c r="I2500" s="6" t="s">
        <v>20</v>
      </c>
      <c r="J2500" s="6">
        <v>2019.0</v>
      </c>
      <c r="L2500" s="6">
        <v>1.0</v>
      </c>
      <c r="M2500" s="8">
        <f t="shared" si="3"/>
        <v>0.13</v>
      </c>
      <c r="P2500" s="9"/>
    </row>
    <row r="2501">
      <c r="A2501" s="6" t="s">
        <v>5969</v>
      </c>
      <c r="B2501" s="6" t="s">
        <v>138</v>
      </c>
      <c r="C2501" s="6" t="s">
        <v>43</v>
      </c>
      <c r="D2501" s="6" t="s">
        <v>5970</v>
      </c>
      <c r="E2501" s="6" t="s">
        <v>224</v>
      </c>
      <c r="F2501" s="6" t="s">
        <v>18</v>
      </c>
      <c r="G2501" s="7">
        <v>0.05</v>
      </c>
      <c r="H2501" s="6" t="s">
        <v>136</v>
      </c>
      <c r="I2501" s="6" t="s">
        <v>20</v>
      </c>
      <c r="J2501" s="6">
        <v>2026.0</v>
      </c>
      <c r="L2501" s="6">
        <v>1.0</v>
      </c>
      <c r="M2501" s="8">
        <f t="shared" si="3"/>
        <v>0.05</v>
      </c>
      <c r="P2501" s="9"/>
    </row>
    <row r="2502">
      <c r="A2502" s="6" t="s">
        <v>5969</v>
      </c>
      <c r="B2502" s="6" t="s">
        <v>138</v>
      </c>
      <c r="C2502" s="6" t="s">
        <v>43</v>
      </c>
      <c r="D2502" s="6" t="s">
        <v>5970</v>
      </c>
      <c r="E2502" s="6" t="s">
        <v>224</v>
      </c>
      <c r="F2502" s="6" t="s">
        <v>18</v>
      </c>
      <c r="G2502" s="7">
        <v>0.2</v>
      </c>
      <c r="H2502" s="6" t="s">
        <v>136</v>
      </c>
      <c r="I2502" s="6" t="s">
        <v>45</v>
      </c>
      <c r="J2502" s="6">
        <v>2026.0</v>
      </c>
      <c r="L2502" s="6">
        <v>1.0</v>
      </c>
      <c r="M2502" s="8">
        <f t="shared" si="3"/>
        <v>0.2</v>
      </c>
      <c r="P2502" s="9"/>
    </row>
    <row r="2503">
      <c r="A2503" s="6" t="s">
        <v>5971</v>
      </c>
      <c r="B2503" s="6" t="s">
        <v>5972</v>
      </c>
      <c r="C2503" s="6" t="s">
        <v>43</v>
      </c>
      <c r="D2503" s="6" t="s">
        <v>5973</v>
      </c>
      <c r="E2503" s="6" t="s">
        <v>76</v>
      </c>
      <c r="F2503" s="6" t="s">
        <v>77</v>
      </c>
      <c r="G2503" s="7">
        <v>0.03</v>
      </c>
      <c r="H2503" s="6" t="s">
        <v>249</v>
      </c>
      <c r="I2503" s="6" t="s">
        <v>20</v>
      </c>
      <c r="J2503" s="6">
        <v>2014.0</v>
      </c>
      <c r="K2503" s="10">
        <v>46082.0</v>
      </c>
      <c r="L2503" s="6">
        <v>2.0</v>
      </c>
      <c r="M2503" s="8">
        <f t="shared" si="3"/>
        <v>0.06</v>
      </c>
      <c r="P2503" s="9"/>
    </row>
    <row r="2504">
      <c r="A2504" s="6" t="s">
        <v>5974</v>
      </c>
      <c r="B2504" s="6" t="s">
        <v>115</v>
      </c>
      <c r="C2504" s="6" t="s">
        <v>15</v>
      </c>
      <c r="D2504" s="6" t="s">
        <v>5975</v>
      </c>
      <c r="E2504" s="6" t="s">
        <v>2547</v>
      </c>
      <c r="F2504" s="6" t="s">
        <v>87</v>
      </c>
      <c r="G2504" s="7">
        <v>0.05</v>
      </c>
      <c r="H2504" s="6" t="s">
        <v>342</v>
      </c>
      <c r="I2504" s="6" t="s">
        <v>20</v>
      </c>
      <c r="J2504" s="6">
        <v>2014.0</v>
      </c>
      <c r="L2504" s="6">
        <v>3.0</v>
      </c>
      <c r="M2504" s="8">
        <f t="shared" si="3"/>
        <v>0.15</v>
      </c>
      <c r="P2504" s="9"/>
    </row>
    <row r="2505">
      <c r="A2505" s="6" t="s">
        <v>5976</v>
      </c>
      <c r="B2505" s="6" t="s">
        <v>292</v>
      </c>
      <c r="C2505" s="6" t="s">
        <v>61</v>
      </c>
      <c r="D2505" s="6" t="s">
        <v>5977</v>
      </c>
      <c r="E2505" s="6" t="s">
        <v>554</v>
      </c>
      <c r="F2505" s="6" t="s">
        <v>40</v>
      </c>
      <c r="G2505" s="7">
        <v>0.89</v>
      </c>
      <c r="H2505" s="6" t="s">
        <v>324</v>
      </c>
      <c r="I2505" s="6" t="s">
        <v>20</v>
      </c>
      <c r="J2505" s="6">
        <v>1995.0</v>
      </c>
      <c r="L2505" s="6">
        <v>1.0</v>
      </c>
      <c r="M2505" s="8">
        <f t="shared" si="3"/>
        <v>0.89</v>
      </c>
      <c r="P2505" s="9"/>
    </row>
    <row r="2506">
      <c r="A2506" s="6" t="s">
        <v>5978</v>
      </c>
      <c r="B2506" s="6" t="s">
        <v>162</v>
      </c>
      <c r="C2506" s="6" t="s">
        <v>37</v>
      </c>
      <c r="D2506" s="6" t="s">
        <v>5979</v>
      </c>
      <c r="E2506" s="6" t="s">
        <v>329</v>
      </c>
      <c r="F2506" s="6" t="s">
        <v>112</v>
      </c>
      <c r="G2506" s="7">
        <v>0.05</v>
      </c>
      <c r="H2506" s="6" t="s">
        <v>249</v>
      </c>
      <c r="I2506" s="6" t="s">
        <v>20</v>
      </c>
      <c r="J2506" s="6">
        <v>2014.0</v>
      </c>
      <c r="L2506" s="6">
        <v>2.0</v>
      </c>
      <c r="M2506" s="8">
        <f t="shared" si="3"/>
        <v>0.1</v>
      </c>
      <c r="P2506" s="9"/>
    </row>
    <row r="2507">
      <c r="A2507" s="6" t="s">
        <v>5980</v>
      </c>
      <c r="B2507" s="6" t="s">
        <v>162</v>
      </c>
      <c r="C2507" s="6" t="s">
        <v>43</v>
      </c>
      <c r="D2507" s="6" t="s">
        <v>2703</v>
      </c>
      <c r="E2507" s="6" t="s">
        <v>135</v>
      </c>
      <c r="F2507" s="6" t="s">
        <v>40</v>
      </c>
      <c r="G2507" s="7">
        <v>0.2</v>
      </c>
      <c r="H2507" s="6" t="s">
        <v>5981</v>
      </c>
      <c r="I2507" s="6" t="s">
        <v>20</v>
      </c>
      <c r="J2507" s="6">
        <v>2020.0</v>
      </c>
      <c r="L2507" s="6">
        <v>1.0</v>
      </c>
      <c r="M2507" s="8">
        <f t="shared" si="3"/>
        <v>0.2</v>
      </c>
      <c r="P2507" s="9"/>
    </row>
    <row r="2508">
      <c r="A2508" s="6" t="s">
        <v>5980</v>
      </c>
      <c r="B2508" s="6" t="s">
        <v>162</v>
      </c>
      <c r="C2508" s="6" t="s">
        <v>43</v>
      </c>
      <c r="D2508" s="6" t="s">
        <v>2703</v>
      </c>
      <c r="E2508" s="6" t="s">
        <v>135</v>
      </c>
      <c r="F2508" s="6" t="s">
        <v>40</v>
      </c>
      <c r="G2508" s="7">
        <v>0.23</v>
      </c>
      <c r="H2508" s="6" t="s">
        <v>5982</v>
      </c>
      <c r="I2508" s="6" t="s">
        <v>20</v>
      </c>
      <c r="J2508" s="6">
        <v>2012.0</v>
      </c>
      <c r="L2508" s="6">
        <v>1.0</v>
      </c>
      <c r="M2508" s="8">
        <f t="shared" si="3"/>
        <v>0.23</v>
      </c>
      <c r="P2508" s="9"/>
    </row>
    <row r="2509">
      <c r="A2509" s="6" t="s">
        <v>5980</v>
      </c>
      <c r="B2509" s="6" t="s">
        <v>162</v>
      </c>
      <c r="C2509" s="6" t="s">
        <v>43</v>
      </c>
      <c r="D2509" s="6" t="s">
        <v>2703</v>
      </c>
      <c r="E2509" s="6" t="s">
        <v>135</v>
      </c>
      <c r="F2509" s="6" t="s">
        <v>40</v>
      </c>
      <c r="G2509" s="7">
        <v>0.23</v>
      </c>
      <c r="H2509" s="6" t="s">
        <v>5982</v>
      </c>
      <c r="I2509" s="6" t="s">
        <v>20</v>
      </c>
      <c r="J2509" s="6">
        <v>2012.0</v>
      </c>
      <c r="L2509" s="6">
        <v>1.0</v>
      </c>
      <c r="M2509" s="8">
        <f t="shared" si="3"/>
        <v>0.23</v>
      </c>
      <c r="P2509" s="9"/>
    </row>
    <row r="2510">
      <c r="A2510" s="6" t="s">
        <v>5980</v>
      </c>
      <c r="B2510" s="6" t="s">
        <v>162</v>
      </c>
      <c r="C2510" s="6" t="s">
        <v>43</v>
      </c>
      <c r="D2510" s="6" t="s">
        <v>2703</v>
      </c>
      <c r="E2510" s="6" t="s">
        <v>135</v>
      </c>
      <c r="F2510" s="6" t="s">
        <v>40</v>
      </c>
      <c r="G2510" s="7">
        <v>0.23</v>
      </c>
      <c r="H2510" s="6" t="s">
        <v>5982</v>
      </c>
      <c r="I2510" s="6" t="s">
        <v>20</v>
      </c>
      <c r="J2510" s="6">
        <v>2012.0</v>
      </c>
      <c r="L2510" s="6">
        <v>1.0</v>
      </c>
      <c r="M2510" s="8">
        <f t="shared" si="3"/>
        <v>0.23</v>
      </c>
      <c r="P2510" s="9"/>
    </row>
    <row r="2511">
      <c r="A2511" s="6" t="s">
        <v>5980</v>
      </c>
      <c r="B2511" s="6" t="s">
        <v>162</v>
      </c>
      <c r="C2511" s="6" t="s">
        <v>43</v>
      </c>
      <c r="D2511" s="6" t="s">
        <v>2703</v>
      </c>
      <c r="E2511" s="6" t="s">
        <v>135</v>
      </c>
      <c r="F2511" s="6" t="s">
        <v>40</v>
      </c>
      <c r="G2511" s="7">
        <v>0.12</v>
      </c>
      <c r="H2511" s="6" t="s">
        <v>5983</v>
      </c>
      <c r="I2511" s="6" t="s">
        <v>20</v>
      </c>
      <c r="J2511" s="6">
        <v>2020.0</v>
      </c>
      <c r="L2511" s="6">
        <v>1.0</v>
      </c>
      <c r="M2511" s="8">
        <f t="shared" si="3"/>
        <v>0.12</v>
      </c>
      <c r="P2511" s="9"/>
    </row>
    <row r="2512">
      <c r="A2512" s="6" t="s">
        <v>5984</v>
      </c>
      <c r="B2512" s="6" t="s">
        <v>1623</v>
      </c>
      <c r="C2512" s="6" t="s">
        <v>15</v>
      </c>
      <c r="D2512" s="6" t="s">
        <v>5985</v>
      </c>
      <c r="E2512" s="6" t="s">
        <v>1364</v>
      </c>
      <c r="F2512" s="6" t="s">
        <v>18</v>
      </c>
      <c r="G2512" s="7">
        <v>0.69</v>
      </c>
      <c r="H2512" s="6" t="s">
        <v>27</v>
      </c>
      <c r="I2512" s="6" t="s">
        <v>20</v>
      </c>
      <c r="J2512" s="6">
        <v>2026.0</v>
      </c>
      <c r="L2512" s="6">
        <v>2.0</v>
      </c>
      <c r="M2512" s="8">
        <f t="shared" si="3"/>
        <v>1.38</v>
      </c>
      <c r="P2512" s="9"/>
    </row>
    <row r="2513">
      <c r="A2513" s="6" t="s">
        <v>5986</v>
      </c>
      <c r="B2513" s="6" t="s">
        <v>440</v>
      </c>
      <c r="C2513" s="6" t="s">
        <v>309</v>
      </c>
      <c r="D2513" s="6" t="s">
        <v>5987</v>
      </c>
      <c r="E2513" s="6" t="s">
        <v>282</v>
      </c>
      <c r="F2513" s="6" t="s">
        <v>697</v>
      </c>
      <c r="G2513" s="7">
        <v>0.32</v>
      </c>
      <c r="H2513" s="6" t="s">
        <v>434</v>
      </c>
      <c r="I2513" s="6" t="s">
        <v>20</v>
      </c>
      <c r="J2513" s="6">
        <v>2000.0</v>
      </c>
      <c r="L2513" s="6">
        <v>1.0</v>
      </c>
      <c r="M2513" s="8">
        <f t="shared" si="3"/>
        <v>0.32</v>
      </c>
      <c r="P2513" s="9"/>
    </row>
    <row r="2514">
      <c r="A2514" s="6" t="s">
        <v>5988</v>
      </c>
      <c r="B2514" s="6" t="s">
        <v>2207</v>
      </c>
      <c r="C2514" s="6" t="s">
        <v>43</v>
      </c>
      <c r="D2514" s="6" t="s">
        <v>5989</v>
      </c>
      <c r="E2514" s="6" t="s">
        <v>135</v>
      </c>
      <c r="F2514" s="6" t="s">
        <v>40</v>
      </c>
      <c r="G2514" s="7">
        <v>0.01</v>
      </c>
      <c r="H2514" s="6" t="s">
        <v>434</v>
      </c>
      <c r="I2514" s="6" t="s">
        <v>20</v>
      </c>
      <c r="J2514" s="6">
        <v>2000.0</v>
      </c>
      <c r="L2514" s="6">
        <v>1.0</v>
      </c>
      <c r="M2514" s="8">
        <f t="shared" si="3"/>
        <v>0.01</v>
      </c>
      <c r="P2514" s="9"/>
    </row>
    <row r="2515">
      <c r="A2515" s="6" t="s">
        <v>5990</v>
      </c>
      <c r="B2515" s="6" t="s">
        <v>3569</v>
      </c>
      <c r="C2515" s="6" t="s">
        <v>15</v>
      </c>
      <c r="D2515" s="6" t="s">
        <v>5991</v>
      </c>
      <c r="E2515" s="6" t="s">
        <v>179</v>
      </c>
      <c r="F2515" s="6" t="s">
        <v>112</v>
      </c>
      <c r="G2515" s="7">
        <v>0.65</v>
      </c>
      <c r="H2515" s="6" t="s">
        <v>27</v>
      </c>
      <c r="I2515" s="6" t="s">
        <v>20</v>
      </c>
      <c r="J2515" s="6">
        <v>2026.0</v>
      </c>
      <c r="K2515" s="6" t="s">
        <v>1924</v>
      </c>
      <c r="L2515" s="6">
        <v>1.0</v>
      </c>
      <c r="M2515" s="8">
        <f t="shared" si="3"/>
        <v>0.65</v>
      </c>
      <c r="P2515" s="9"/>
    </row>
    <row r="2516">
      <c r="A2516" s="6" t="s">
        <v>5992</v>
      </c>
      <c r="B2516" s="6" t="s">
        <v>778</v>
      </c>
      <c r="C2516" s="6" t="s">
        <v>15</v>
      </c>
      <c r="D2516" s="6" t="s">
        <v>5993</v>
      </c>
      <c r="E2516" s="6" t="s">
        <v>980</v>
      </c>
      <c r="F2516" s="6" t="s">
        <v>112</v>
      </c>
      <c r="G2516" s="7">
        <v>1.14</v>
      </c>
      <c r="H2516" s="6" t="s">
        <v>153</v>
      </c>
      <c r="I2516" s="6" t="s">
        <v>45</v>
      </c>
      <c r="J2516" s="6">
        <v>2025.0</v>
      </c>
      <c r="L2516" s="6">
        <v>1.0</v>
      </c>
      <c r="M2516" s="8">
        <f t="shared" si="3"/>
        <v>1.14</v>
      </c>
      <c r="P2516" s="9"/>
    </row>
    <row r="2517">
      <c r="A2517" s="6" t="s">
        <v>5992</v>
      </c>
      <c r="B2517" s="6" t="s">
        <v>778</v>
      </c>
      <c r="C2517" s="6" t="s">
        <v>15</v>
      </c>
      <c r="D2517" s="6" t="s">
        <v>5993</v>
      </c>
      <c r="E2517" s="6" t="s">
        <v>980</v>
      </c>
      <c r="F2517" s="6" t="s">
        <v>112</v>
      </c>
      <c r="G2517" s="7">
        <v>0.28</v>
      </c>
      <c r="H2517" s="6" t="s">
        <v>153</v>
      </c>
      <c r="I2517" s="6" t="s">
        <v>20</v>
      </c>
      <c r="J2517" s="6">
        <v>2025.0</v>
      </c>
      <c r="L2517" s="6">
        <v>1.0</v>
      </c>
      <c r="M2517" s="8">
        <f t="shared" si="3"/>
        <v>0.28</v>
      </c>
      <c r="P2517" s="9"/>
    </row>
    <row r="2518">
      <c r="A2518" s="6" t="s">
        <v>5994</v>
      </c>
      <c r="B2518" s="6" t="s">
        <v>74</v>
      </c>
      <c r="C2518" s="6" t="s">
        <v>43</v>
      </c>
      <c r="D2518" s="6" t="s">
        <v>5995</v>
      </c>
      <c r="E2518" s="6" t="s">
        <v>125</v>
      </c>
      <c r="F2518" s="6" t="s">
        <v>40</v>
      </c>
      <c r="G2518" s="7">
        <v>0.05</v>
      </c>
      <c r="H2518" s="6" t="s">
        <v>444</v>
      </c>
      <c r="I2518" s="6" t="s">
        <v>20</v>
      </c>
      <c r="J2518" s="6">
        <v>2012.0</v>
      </c>
      <c r="L2518" s="6">
        <v>1.0</v>
      </c>
      <c r="M2518" s="8">
        <f t="shared" si="3"/>
        <v>0.05</v>
      </c>
      <c r="P2518" s="9"/>
    </row>
    <row r="2519">
      <c r="A2519" s="6" t="s">
        <v>5996</v>
      </c>
      <c r="B2519" s="6" t="s">
        <v>5997</v>
      </c>
      <c r="C2519" s="6" t="s">
        <v>418</v>
      </c>
      <c r="D2519" s="6" t="s">
        <v>5998</v>
      </c>
      <c r="E2519" s="6" t="s">
        <v>98</v>
      </c>
      <c r="F2519" s="6" t="s">
        <v>18</v>
      </c>
      <c r="G2519" s="7">
        <v>0.06</v>
      </c>
      <c r="H2519" s="6" t="s">
        <v>471</v>
      </c>
      <c r="I2519" s="6" t="s">
        <v>20</v>
      </c>
      <c r="J2519" s="6">
        <v>2026.0</v>
      </c>
      <c r="K2519" s="10">
        <v>46056.0</v>
      </c>
      <c r="L2519" s="6">
        <v>1.0</v>
      </c>
      <c r="M2519" s="8">
        <f t="shared" si="3"/>
        <v>0.06</v>
      </c>
      <c r="P2519" s="9"/>
    </row>
    <row r="2520">
      <c r="A2520" s="6" t="s">
        <v>5999</v>
      </c>
      <c r="B2520" s="6" t="s">
        <v>4632</v>
      </c>
      <c r="C2520" s="6" t="s">
        <v>15</v>
      </c>
      <c r="D2520" s="6" t="s">
        <v>6000</v>
      </c>
      <c r="E2520" s="6">
        <v>4.0</v>
      </c>
      <c r="F2520" s="6" t="s">
        <v>26</v>
      </c>
      <c r="G2520" s="7">
        <v>0.25</v>
      </c>
      <c r="H2520" s="6" t="s">
        <v>153</v>
      </c>
      <c r="I2520" s="6" t="s">
        <v>20</v>
      </c>
      <c r="J2520" s="6">
        <v>2025.0</v>
      </c>
      <c r="L2520" s="6">
        <v>1.0</v>
      </c>
      <c r="M2520" s="8">
        <f t="shared" si="3"/>
        <v>0.25</v>
      </c>
      <c r="P2520" s="9"/>
    </row>
    <row r="2521">
      <c r="A2521" s="6" t="s">
        <v>5999</v>
      </c>
      <c r="B2521" s="6" t="s">
        <v>4632</v>
      </c>
      <c r="C2521" s="6" t="s">
        <v>15</v>
      </c>
      <c r="D2521" s="6" t="s">
        <v>6000</v>
      </c>
      <c r="E2521" s="6">
        <v>4.0</v>
      </c>
      <c r="F2521" s="6" t="s">
        <v>26</v>
      </c>
      <c r="G2521" s="7">
        <v>0.89</v>
      </c>
      <c r="H2521" s="6" t="s">
        <v>153</v>
      </c>
      <c r="I2521" s="6" t="s">
        <v>45</v>
      </c>
      <c r="J2521" s="6">
        <v>2025.0</v>
      </c>
      <c r="L2521" s="6">
        <v>1.0</v>
      </c>
      <c r="M2521" s="8">
        <f t="shared" si="3"/>
        <v>0.89</v>
      </c>
      <c r="P2521" s="9"/>
    </row>
    <row r="2522">
      <c r="A2522" s="6" t="s">
        <v>6001</v>
      </c>
      <c r="B2522" s="6" t="s">
        <v>6002</v>
      </c>
      <c r="C2522" s="6" t="s">
        <v>15</v>
      </c>
      <c r="D2522" s="6" t="s">
        <v>6003</v>
      </c>
      <c r="E2522" s="6" t="s">
        <v>6004</v>
      </c>
      <c r="F2522" s="6" t="s">
        <v>1382</v>
      </c>
      <c r="G2522" s="7">
        <v>0.2</v>
      </c>
      <c r="H2522" s="6" t="s">
        <v>6005</v>
      </c>
      <c r="I2522" s="6" t="s">
        <v>20</v>
      </c>
      <c r="J2522" s="6">
        <v>2025.0</v>
      </c>
      <c r="K2522" s="10">
        <v>46116.0</v>
      </c>
      <c r="L2522" s="6">
        <v>2.0</v>
      </c>
      <c r="M2522" s="8">
        <f t="shared" si="3"/>
        <v>0.4</v>
      </c>
      <c r="P2522" s="9"/>
    </row>
    <row r="2523">
      <c r="A2523" s="6" t="s">
        <v>6006</v>
      </c>
      <c r="B2523" s="6" t="s">
        <v>6007</v>
      </c>
      <c r="C2523" s="6" t="s">
        <v>43</v>
      </c>
      <c r="D2523" s="6" t="s">
        <v>6008</v>
      </c>
      <c r="E2523" s="6" t="s">
        <v>2792</v>
      </c>
      <c r="F2523" s="6" t="s">
        <v>87</v>
      </c>
      <c r="G2523" s="7">
        <v>0.03</v>
      </c>
      <c r="H2523" s="6" t="s">
        <v>398</v>
      </c>
      <c r="I2523" s="6" t="s">
        <v>20</v>
      </c>
      <c r="J2523" s="6">
        <v>2019.0</v>
      </c>
      <c r="K2523" s="10">
        <v>46148.0</v>
      </c>
      <c r="L2523" s="6">
        <v>1.0</v>
      </c>
      <c r="M2523" s="8">
        <f t="shared" si="3"/>
        <v>0.03</v>
      </c>
      <c r="P2523" s="9"/>
    </row>
    <row r="2524">
      <c r="A2524" s="6" t="s">
        <v>6009</v>
      </c>
      <c r="B2524" s="6" t="s">
        <v>162</v>
      </c>
      <c r="C2524" s="6" t="s">
        <v>37</v>
      </c>
      <c r="D2524" s="6" t="s">
        <v>6010</v>
      </c>
      <c r="E2524" s="6" t="s">
        <v>1702</v>
      </c>
      <c r="F2524" s="6" t="s">
        <v>112</v>
      </c>
      <c r="G2524" s="7">
        <v>0.09</v>
      </c>
      <c r="H2524" s="6" t="s">
        <v>1300</v>
      </c>
      <c r="I2524" s="6" t="s">
        <v>20</v>
      </c>
      <c r="J2524" s="6">
        <v>2021.0</v>
      </c>
      <c r="L2524" s="6">
        <v>1.0</v>
      </c>
      <c r="M2524" s="8">
        <f t="shared" si="3"/>
        <v>0.09</v>
      </c>
      <c r="P2524" s="9"/>
    </row>
    <row r="2525">
      <c r="A2525" s="6" t="s">
        <v>6011</v>
      </c>
      <c r="B2525" s="6" t="s">
        <v>162</v>
      </c>
      <c r="C2525" s="6" t="s">
        <v>43</v>
      </c>
      <c r="D2525" s="6" t="s">
        <v>6012</v>
      </c>
      <c r="E2525" s="6" t="s">
        <v>164</v>
      </c>
      <c r="F2525" s="6" t="s">
        <v>112</v>
      </c>
      <c r="G2525" s="7">
        <v>0.2</v>
      </c>
      <c r="H2525" s="6" t="s">
        <v>160</v>
      </c>
      <c r="I2525" s="6" t="s">
        <v>20</v>
      </c>
      <c r="J2525" s="6">
        <v>2024.0</v>
      </c>
      <c r="L2525" s="6">
        <v>4.0</v>
      </c>
      <c r="M2525" s="8">
        <f t="shared" si="3"/>
        <v>0.8</v>
      </c>
      <c r="P2525" s="9"/>
    </row>
    <row r="2526">
      <c r="A2526" s="6" t="s">
        <v>6013</v>
      </c>
      <c r="B2526" s="6" t="s">
        <v>6014</v>
      </c>
      <c r="C2526" s="6" t="s">
        <v>37</v>
      </c>
      <c r="D2526" s="6" t="s">
        <v>6015</v>
      </c>
      <c r="E2526" s="6" t="s">
        <v>891</v>
      </c>
      <c r="F2526" s="6" t="s">
        <v>77</v>
      </c>
      <c r="G2526" s="7">
        <v>0.1</v>
      </c>
      <c r="H2526" s="6" t="s">
        <v>228</v>
      </c>
      <c r="I2526" s="6" t="s">
        <v>20</v>
      </c>
      <c r="J2526" s="6">
        <v>2025.0</v>
      </c>
      <c r="K2526" s="10">
        <v>46117.0</v>
      </c>
      <c r="L2526" s="6">
        <v>1.0</v>
      </c>
      <c r="M2526" s="8">
        <f t="shared" si="3"/>
        <v>0.1</v>
      </c>
      <c r="P2526" s="9"/>
    </row>
    <row r="2527">
      <c r="A2527" s="6" t="s">
        <v>6016</v>
      </c>
      <c r="B2527" s="6" t="s">
        <v>74</v>
      </c>
      <c r="C2527" s="6" t="s">
        <v>37</v>
      </c>
      <c r="D2527" s="6" t="s">
        <v>6017</v>
      </c>
      <c r="E2527" s="6" t="s">
        <v>248</v>
      </c>
      <c r="F2527" s="6" t="s">
        <v>77</v>
      </c>
      <c r="G2527" s="7">
        <v>0.05</v>
      </c>
      <c r="H2527" s="6" t="s">
        <v>249</v>
      </c>
      <c r="I2527" s="6" t="s">
        <v>20</v>
      </c>
      <c r="J2527" s="6">
        <v>2014.0</v>
      </c>
      <c r="L2527" s="6">
        <v>1.0</v>
      </c>
      <c r="M2527" s="8">
        <f t="shared" si="3"/>
        <v>0.05</v>
      </c>
      <c r="P2527" s="9"/>
    </row>
    <row r="2528">
      <c r="A2528" s="6" t="s">
        <v>6018</v>
      </c>
      <c r="B2528" s="6" t="s">
        <v>74</v>
      </c>
      <c r="C2528" s="6" t="s">
        <v>43</v>
      </c>
      <c r="D2528" s="6" t="s">
        <v>6019</v>
      </c>
      <c r="E2528" s="6" t="s">
        <v>164</v>
      </c>
      <c r="F2528" s="6" t="s">
        <v>112</v>
      </c>
      <c r="G2528" s="7">
        <v>0.03</v>
      </c>
      <c r="H2528" s="6" t="s">
        <v>709</v>
      </c>
      <c r="I2528" s="6" t="s">
        <v>20</v>
      </c>
      <c r="J2528" s="6">
        <v>2017.0</v>
      </c>
      <c r="L2528" s="6">
        <v>1.0</v>
      </c>
      <c r="M2528" s="8">
        <f t="shared" si="3"/>
        <v>0.03</v>
      </c>
      <c r="P2528" s="9"/>
    </row>
    <row r="2529">
      <c r="A2529" s="6" t="s">
        <v>6020</v>
      </c>
      <c r="B2529" s="6" t="s">
        <v>162</v>
      </c>
      <c r="C2529" s="6" t="s">
        <v>37</v>
      </c>
      <c r="D2529" s="6" t="s">
        <v>6021</v>
      </c>
      <c r="E2529" s="6" t="s">
        <v>3738</v>
      </c>
      <c r="F2529" s="6" t="s">
        <v>536</v>
      </c>
      <c r="G2529" s="7">
        <v>0.06</v>
      </c>
      <c r="H2529" s="6" t="s">
        <v>1048</v>
      </c>
      <c r="I2529" s="6" t="s">
        <v>20</v>
      </c>
      <c r="J2529" s="6">
        <v>2008.0</v>
      </c>
      <c r="L2529" s="6">
        <v>2.0</v>
      </c>
      <c r="M2529" s="8">
        <f t="shared" si="3"/>
        <v>0.12</v>
      </c>
      <c r="P2529" s="9"/>
    </row>
    <row r="2530">
      <c r="A2530" s="6" t="s">
        <v>6022</v>
      </c>
      <c r="B2530" s="6" t="s">
        <v>1577</v>
      </c>
      <c r="C2530" s="6" t="s">
        <v>43</v>
      </c>
      <c r="D2530" s="6" t="s">
        <v>6023</v>
      </c>
      <c r="F2530" s="6" t="s">
        <v>26</v>
      </c>
      <c r="G2530" s="7">
        <v>0.61</v>
      </c>
      <c r="H2530" s="6" t="s">
        <v>734</v>
      </c>
      <c r="I2530" s="6" t="s">
        <v>20</v>
      </c>
      <c r="J2530" s="6">
        <v>2022.0</v>
      </c>
      <c r="L2530" s="6">
        <v>2.0</v>
      </c>
      <c r="M2530" s="8">
        <f t="shared" si="3"/>
        <v>1.22</v>
      </c>
      <c r="P2530" s="9"/>
    </row>
    <row r="2531">
      <c r="A2531" s="6" t="s">
        <v>6024</v>
      </c>
      <c r="B2531" s="6" t="s">
        <v>6025</v>
      </c>
      <c r="C2531" s="6" t="s">
        <v>366</v>
      </c>
      <c r="D2531" s="6" t="s">
        <v>6026</v>
      </c>
      <c r="E2531" s="6" t="s">
        <v>1010</v>
      </c>
      <c r="F2531" s="6" t="s">
        <v>87</v>
      </c>
      <c r="G2531" s="7">
        <v>0.18</v>
      </c>
      <c r="H2531" s="6" t="s">
        <v>369</v>
      </c>
      <c r="I2531" s="6" t="s">
        <v>20</v>
      </c>
      <c r="J2531" s="6">
        <v>2019.0</v>
      </c>
      <c r="K2531" s="10">
        <v>46055.0</v>
      </c>
      <c r="L2531" s="6">
        <v>4.0</v>
      </c>
      <c r="M2531" s="8">
        <f t="shared" si="3"/>
        <v>0.72</v>
      </c>
      <c r="P2531" s="9"/>
    </row>
    <row r="2532">
      <c r="A2532" s="6" t="s">
        <v>6027</v>
      </c>
      <c r="B2532" s="6" t="s">
        <v>6028</v>
      </c>
      <c r="C2532" s="6" t="s">
        <v>30</v>
      </c>
      <c r="D2532" s="6" t="s">
        <v>986</v>
      </c>
      <c r="E2532" s="6" t="s">
        <v>389</v>
      </c>
      <c r="F2532" s="6" t="s">
        <v>87</v>
      </c>
      <c r="G2532" s="7">
        <v>3.75</v>
      </c>
      <c r="H2532" s="6" t="s">
        <v>453</v>
      </c>
      <c r="I2532" s="6" t="s">
        <v>20</v>
      </c>
      <c r="J2532" s="6">
        <v>1994.0</v>
      </c>
      <c r="K2532" s="10">
        <v>46084.0</v>
      </c>
      <c r="L2532" s="6">
        <v>1.0</v>
      </c>
      <c r="M2532" s="8">
        <f t="shared" si="3"/>
        <v>3.75</v>
      </c>
      <c r="P2532" s="9"/>
    </row>
    <row r="2533">
      <c r="A2533" s="6" t="s">
        <v>6029</v>
      </c>
      <c r="B2533" s="6" t="s">
        <v>6030</v>
      </c>
      <c r="C2533" s="6" t="s">
        <v>30</v>
      </c>
      <c r="D2533" s="6" t="s">
        <v>6031</v>
      </c>
      <c r="E2533" s="6" t="s">
        <v>1592</v>
      </c>
      <c r="F2533" s="6" t="s">
        <v>636</v>
      </c>
      <c r="G2533" s="7">
        <v>3.49</v>
      </c>
      <c r="H2533" s="6" t="s">
        <v>259</v>
      </c>
      <c r="I2533" s="6" t="s">
        <v>20</v>
      </c>
      <c r="J2533" s="6">
        <v>1996.0</v>
      </c>
      <c r="K2533" s="10">
        <v>46146.0</v>
      </c>
      <c r="L2533" s="6">
        <v>1.0</v>
      </c>
      <c r="M2533" s="8">
        <f t="shared" si="3"/>
        <v>3.49</v>
      </c>
      <c r="N2533" s="6" t="s">
        <v>122</v>
      </c>
      <c r="P2533" s="9"/>
    </row>
    <row r="2534">
      <c r="A2534" s="6" t="s">
        <v>6032</v>
      </c>
      <c r="B2534" s="6" t="s">
        <v>836</v>
      </c>
      <c r="C2534" s="6" t="s">
        <v>43</v>
      </c>
      <c r="D2534" s="6" t="s">
        <v>6033</v>
      </c>
      <c r="E2534" s="6" t="s">
        <v>256</v>
      </c>
      <c r="F2534" s="6" t="s">
        <v>87</v>
      </c>
      <c r="G2534" s="7">
        <v>0.06</v>
      </c>
      <c r="H2534" s="6" t="s">
        <v>3369</v>
      </c>
      <c r="I2534" s="6" t="s">
        <v>20</v>
      </c>
      <c r="J2534" s="6">
        <v>2003.0</v>
      </c>
      <c r="K2534" s="10">
        <v>46084.0</v>
      </c>
      <c r="L2534" s="6">
        <v>1.0</v>
      </c>
      <c r="M2534" s="8">
        <f t="shared" si="3"/>
        <v>0.06</v>
      </c>
      <c r="P2534" s="9"/>
    </row>
    <row r="2535">
      <c r="A2535" s="6" t="s">
        <v>6034</v>
      </c>
      <c r="B2535" s="6" t="s">
        <v>6035</v>
      </c>
      <c r="C2535" s="6" t="s">
        <v>43</v>
      </c>
      <c r="D2535" s="6" t="s">
        <v>6036</v>
      </c>
      <c r="E2535" s="6" t="s">
        <v>389</v>
      </c>
      <c r="F2535" s="6" t="s">
        <v>87</v>
      </c>
      <c r="G2535" s="7">
        <v>0.1</v>
      </c>
      <c r="H2535" s="6" t="s">
        <v>136</v>
      </c>
      <c r="I2535" s="6" t="s">
        <v>20</v>
      </c>
      <c r="J2535" s="6">
        <v>2026.0</v>
      </c>
      <c r="K2535" s="10">
        <v>46085.0</v>
      </c>
      <c r="L2535" s="6">
        <v>1.0</v>
      </c>
      <c r="M2535" s="8">
        <f t="shared" si="3"/>
        <v>0.1</v>
      </c>
      <c r="P2535" s="9"/>
    </row>
    <row r="2536">
      <c r="A2536" s="6" t="s">
        <v>6037</v>
      </c>
      <c r="B2536" s="6" t="s">
        <v>6038</v>
      </c>
      <c r="C2536" s="6" t="s">
        <v>43</v>
      </c>
      <c r="D2536" s="6" t="s">
        <v>6039</v>
      </c>
      <c r="E2536" s="6" t="s">
        <v>1702</v>
      </c>
      <c r="F2536" s="6" t="s">
        <v>112</v>
      </c>
      <c r="G2536" s="7">
        <v>0.1</v>
      </c>
      <c r="H2536" s="6" t="s">
        <v>136</v>
      </c>
      <c r="I2536" s="6" t="s">
        <v>20</v>
      </c>
      <c r="J2536" s="6">
        <v>2026.0</v>
      </c>
      <c r="K2536" s="10">
        <v>46210.0</v>
      </c>
      <c r="L2536" s="6">
        <v>2.0</v>
      </c>
      <c r="M2536" s="8">
        <f t="shared" si="3"/>
        <v>0.2</v>
      </c>
      <c r="P2536" s="9"/>
    </row>
    <row r="2537">
      <c r="A2537" s="6" t="s">
        <v>6040</v>
      </c>
      <c r="B2537" s="6" t="s">
        <v>138</v>
      </c>
      <c r="C2537" s="6" t="s">
        <v>43</v>
      </c>
      <c r="D2537" s="6" t="s">
        <v>6041</v>
      </c>
      <c r="E2537" s="6" t="s">
        <v>164</v>
      </c>
      <c r="F2537" s="6" t="s">
        <v>112</v>
      </c>
      <c r="G2537" s="7">
        <v>0.08</v>
      </c>
      <c r="H2537" s="6" t="s">
        <v>34</v>
      </c>
      <c r="I2537" s="6" t="s">
        <v>20</v>
      </c>
      <c r="J2537" s="6">
        <v>2025.0</v>
      </c>
      <c r="L2537" s="6">
        <v>2.0</v>
      </c>
      <c r="M2537" s="8">
        <f t="shared" si="3"/>
        <v>0.16</v>
      </c>
      <c r="P2537" s="9"/>
    </row>
    <row r="2538">
      <c r="A2538" s="6" t="s">
        <v>6042</v>
      </c>
      <c r="B2538" s="6" t="s">
        <v>192</v>
      </c>
      <c r="C2538" s="6" t="s">
        <v>183</v>
      </c>
      <c r="D2538" s="6" t="s">
        <v>6043</v>
      </c>
      <c r="E2538" s="6" t="s">
        <v>994</v>
      </c>
      <c r="F2538" s="6" t="s">
        <v>26</v>
      </c>
      <c r="G2538" s="7">
        <v>0.08</v>
      </c>
      <c r="H2538" s="6" t="s">
        <v>324</v>
      </c>
      <c r="I2538" s="6" t="s">
        <v>20</v>
      </c>
      <c r="J2538" s="6">
        <v>1995.0</v>
      </c>
      <c r="L2538" s="6">
        <v>1.0</v>
      </c>
      <c r="M2538" s="8">
        <f t="shared" si="3"/>
        <v>0.08</v>
      </c>
      <c r="P2538" s="9"/>
    </row>
    <row r="2539">
      <c r="A2539" s="6" t="s">
        <v>6042</v>
      </c>
      <c r="B2539" s="6" t="s">
        <v>192</v>
      </c>
      <c r="C2539" s="6" t="s">
        <v>183</v>
      </c>
      <c r="D2539" s="6" t="s">
        <v>6043</v>
      </c>
      <c r="E2539" s="6" t="s">
        <v>994</v>
      </c>
      <c r="F2539" s="6" t="s">
        <v>26</v>
      </c>
      <c r="G2539" s="7">
        <v>0.49</v>
      </c>
      <c r="H2539" s="6" t="s">
        <v>316</v>
      </c>
      <c r="I2539" s="6" t="s">
        <v>20</v>
      </c>
      <c r="J2539" s="6">
        <v>1995.0</v>
      </c>
      <c r="L2539" s="6">
        <v>2.0</v>
      </c>
      <c r="M2539" s="8">
        <f t="shared" si="3"/>
        <v>0.98</v>
      </c>
      <c r="P2539" s="9"/>
    </row>
    <row r="2540">
      <c r="A2540" s="6" t="s">
        <v>6044</v>
      </c>
      <c r="B2540" s="6" t="s">
        <v>219</v>
      </c>
      <c r="C2540" s="6" t="s">
        <v>37</v>
      </c>
      <c r="D2540" s="6" t="s">
        <v>6045</v>
      </c>
      <c r="E2540" s="6" t="s">
        <v>994</v>
      </c>
      <c r="F2540" s="6" t="s">
        <v>26</v>
      </c>
      <c r="G2540" s="7">
        <v>0.09</v>
      </c>
      <c r="H2540" s="6" t="s">
        <v>6046</v>
      </c>
      <c r="I2540" s="6" t="s">
        <v>20</v>
      </c>
      <c r="J2540" s="6">
        <v>1999.0</v>
      </c>
      <c r="L2540" s="6">
        <v>1.0</v>
      </c>
      <c r="M2540" s="8">
        <f t="shared" si="3"/>
        <v>0.09</v>
      </c>
      <c r="P2540" s="9"/>
    </row>
    <row r="2541">
      <c r="A2541" s="6" t="s">
        <v>6047</v>
      </c>
      <c r="B2541" s="6" t="s">
        <v>1803</v>
      </c>
      <c r="C2541" s="6" t="s">
        <v>37</v>
      </c>
      <c r="D2541" s="6" t="s">
        <v>6048</v>
      </c>
      <c r="E2541" s="6" t="s">
        <v>107</v>
      </c>
      <c r="F2541" s="6" t="s">
        <v>18</v>
      </c>
      <c r="G2541" s="7">
        <v>0.1</v>
      </c>
      <c r="H2541" s="6" t="s">
        <v>363</v>
      </c>
      <c r="I2541" s="6" t="s">
        <v>45</v>
      </c>
      <c r="J2541" s="6">
        <v>2024.0</v>
      </c>
      <c r="K2541" s="10">
        <v>46082.0</v>
      </c>
      <c r="L2541" s="6">
        <v>1.0</v>
      </c>
      <c r="M2541" s="8">
        <f t="shared" si="3"/>
        <v>0.1</v>
      </c>
      <c r="P2541" s="9"/>
    </row>
    <row r="2542">
      <c r="A2542" s="6" t="s">
        <v>6049</v>
      </c>
      <c r="B2542" s="6" t="s">
        <v>1468</v>
      </c>
      <c r="C2542" s="6" t="s">
        <v>43</v>
      </c>
      <c r="D2542" s="6" t="s">
        <v>6050</v>
      </c>
      <c r="E2542" s="6" t="s">
        <v>25</v>
      </c>
      <c r="F2542" s="6" t="s">
        <v>26</v>
      </c>
      <c r="G2542" s="7">
        <v>0.08</v>
      </c>
      <c r="H2542" s="6" t="s">
        <v>1048</v>
      </c>
      <c r="I2542" s="6" t="s">
        <v>20</v>
      </c>
      <c r="J2542" s="6">
        <v>2008.0</v>
      </c>
      <c r="K2542" s="10">
        <v>46084.0</v>
      </c>
      <c r="L2542" s="6">
        <v>1.0</v>
      </c>
      <c r="M2542" s="8">
        <f t="shared" si="3"/>
        <v>0.08</v>
      </c>
      <c r="P2542" s="9"/>
    </row>
    <row r="2543">
      <c r="A2543" s="6" t="s">
        <v>6051</v>
      </c>
      <c r="B2543" s="6" t="s">
        <v>3991</v>
      </c>
      <c r="C2543" s="6" t="s">
        <v>37</v>
      </c>
      <c r="D2543" s="6" t="s">
        <v>6052</v>
      </c>
      <c r="E2543" s="6" t="s">
        <v>6053</v>
      </c>
      <c r="F2543" s="6" t="s">
        <v>536</v>
      </c>
      <c r="G2543" s="7">
        <v>0.1</v>
      </c>
      <c r="H2543" s="6" t="s">
        <v>99</v>
      </c>
      <c r="I2543" s="6" t="s">
        <v>20</v>
      </c>
      <c r="J2543" s="6">
        <v>2022.0</v>
      </c>
      <c r="K2543" s="10">
        <v>46115.0</v>
      </c>
      <c r="L2543" s="6">
        <v>1.0</v>
      </c>
      <c r="M2543" s="8">
        <f t="shared" si="3"/>
        <v>0.1</v>
      </c>
      <c r="P2543" s="9"/>
    </row>
    <row r="2544">
      <c r="A2544" s="6" t="s">
        <v>6054</v>
      </c>
      <c r="B2544" s="6" t="s">
        <v>6055</v>
      </c>
      <c r="C2544" s="6" t="s">
        <v>15</v>
      </c>
      <c r="D2544" s="6" t="s">
        <v>6056</v>
      </c>
      <c r="E2544" s="6" t="s">
        <v>263</v>
      </c>
      <c r="F2544" s="6" t="s">
        <v>77</v>
      </c>
      <c r="G2544" s="7">
        <v>0.79</v>
      </c>
      <c r="H2544" s="6" t="s">
        <v>27</v>
      </c>
      <c r="I2544" s="6" t="s">
        <v>20</v>
      </c>
      <c r="J2544" s="6">
        <v>2026.0</v>
      </c>
      <c r="K2544" s="10">
        <v>46084.0</v>
      </c>
      <c r="L2544" s="6">
        <v>1.0</v>
      </c>
      <c r="M2544" s="8">
        <f t="shared" si="3"/>
        <v>0.79</v>
      </c>
      <c r="P2544" s="9"/>
    </row>
    <row r="2545">
      <c r="A2545" s="6" t="s">
        <v>6057</v>
      </c>
      <c r="B2545" s="6" t="s">
        <v>6058</v>
      </c>
      <c r="C2545" s="6" t="s">
        <v>23</v>
      </c>
      <c r="D2545" s="6" t="s">
        <v>6059</v>
      </c>
      <c r="E2545" s="6" t="s">
        <v>17</v>
      </c>
      <c r="F2545" s="6" t="s">
        <v>18</v>
      </c>
      <c r="G2545" s="7">
        <v>0.05</v>
      </c>
      <c r="H2545" s="6" t="s">
        <v>153</v>
      </c>
      <c r="I2545" s="6" t="s">
        <v>20</v>
      </c>
      <c r="J2545" s="6">
        <v>2025.0</v>
      </c>
      <c r="K2545" s="10">
        <v>46084.0</v>
      </c>
      <c r="L2545" s="6">
        <v>4.0</v>
      </c>
      <c r="M2545" s="8">
        <f t="shared" si="3"/>
        <v>0.2</v>
      </c>
      <c r="P2545" s="9"/>
    </row>
    <row r="2546">
      <c r="A2546" s="6" t="s">
        <v>6057</v>
      </c>
      <c r="B2546" s="6" t="s">
        <v>6058</v>
      </c>
      <c r="C2546" s="6" t="s">
        <v>23</v>
      </c>
      <c r="D2546" s="6" t="s">
        <v>6059</v>
      </c>
      <c r="E2546" s="6" t="s">
        <v>17</v>
      </c>
      <c r="F2546" s="6" t="s">
        <v>18</v>
      </c>
      <c r="G2546" s="7">
        <v>0.4</v>
      </c>
      <c r="H2546" s="6" t="s">
        <v>153</v>
      </c>
      <c r="I2546" s="6" t="s">
        <v>45</v>
      </c>
      <c r="J2546" s="6">
        <v>2025.0</v>
      </c>
      <c r="K2546" s="10">
        <v>46084.0</v>
      </c>
      <c r="L2546" s="6">
        <v>2.0</v>
      </c>
      <c r="M2546" s="8">
        <f t="shared" si="3"/>
        <v>0.8</v>
      </c>
      <c r="P2546" s="9"/>
    </row>
    <row r="2547">
      <c r="A2547" s="6" t="s">
        <v>6060</v>
      </c>
      <c r="B2547" s="6" t="s">
        <v>162</v>
      </c>
      <c r="C2547" s="6" t="s">
        <v>43</v>
      </c>
      <c r="D2547" s="6" t="s">
        <v>6061</v>
      </c>
      <c r="E2547" s="6" t="s">
        <v>329</v>
      </c>
      <c r="F2547" s="6" t="s">
        <v>112</v>
      </c>
      <c r="G2547" s="7">
        <v>0.06</v>
      </c>
      <c r="H2547" s="6" t="s">
        <v>415</v>
      </c>
      <c r="I2547" s="6" t="s">
        <v>20</v>
      </c>
      <c r="J2547" s="6">
        <v>2016.0</v>
      </c>
      <c r="L2547" s="6">
        <v>1.0</v>
      </c>
      <c r="M2547" s="8">
        <f t="shared" si="3"/>
        <v>0.06</v>
      </c>
      <c r="P2547" s="9"/>
    </row>
    <row r="2548">
      <c r="A2548" s="6" t="s">
        <v>6062</v>
      </c>
      <c r="B2548" s="6" t="s">
        <v>74</v>
      </c>
      <c r="C2548" s="6" t="s">
        <v>43</v>
      </c>
      <c r="D2548" s="6" t="s">
        <v>6063</v>
      </c>
      <c r="E2548" s="6" t="s">
        <v>164</v>
      </c>
      <c r="F2548" s="6" t="s">
        <v>112</v>
      </c>
      <c r="G2548" s="7">
        <v>0.06</v>
      </c>
      <c r="H2548" s="6" t="s">
        <v>431</v>
      </c>
      <c r="I2548" s="6" t="s">
        <v>20</v>
      </c>
      <c r="J2548" s="6">
        <v>2019.0</v>
      </c>
      <c r="L2548" s="6">
        <v>1.0</v>
      </c>
      <c r="M2548" s="8">
        <f t="shared" si="3"/>
        <v>0.06</v>
      </c>
      <c r="N2548" s="6" t="s">
        <v>374</v>
      </c>
      <c r="P2548" s="9"/>
    </row>
    <row r="2549">
      <c r="A2549" s="6" t="s">
        <v>6064</v>
      </c>
      <c r="B2549" s="6" t="s">
        <v>6065</v>
      </c>
      <c r="C2549" s="6" t="s">
        <v>15</v>
      </c>
      <c r="D2549" s="6" t="s">
        <v>6066</v>
      </c>
      <c r="E2549" s="6" t="s">
        <v>252</v>
      </c>
      <c r="F2549" s="6" t="s">
        <v>40</v>
      </c>
      <c r="G2549" s="7">
        <v>1.43</v>
      </c>
      <c r="H2549" s="6" t="s">
        <v>19</v>
      </c>
      <c r="I2549" s="6" t="s">
        <v>20</v>
      </c>
      <c r="J2549" s="6">
        <v>2023.0</v>
      </c>
      <c r="K2549" s="10">
        <v>46023.0</v>
      </c>
      <c r="L2549" s="6">
        <v>1.0</v>
      </c>
      <c r="M2549" s="8">
        <f t="shared" si="3"/>
        <v>1.43</v>
      </c>
      <c r="P2549" s="9"/>
    </row>
    <row r="2550">
      <c r="A2550" s="6" t="s">
        <v>6067</v>
      </c>
      <c r="B2550" s="6" t="s">
        <v>6068</v>
      </c>
      <c r="C2550" s="6" t="s">
        <v>37</v>
      </c>
      <c r="D2550" s="6" t="s">
        <v>6069</v>
      </c>
      <c r="E2550" s="6" t="s">
        <v>57</v>
      </c>
      <c r="F2550" s="6" t="s">
        <v>40</v>
      </c>
      <c r="G2550" s="7">
        <v>0.5</v>
      </c>
      <c r="H2550" s="6" t="s">
        <v>19</v>
      </c>
      <c r="I2550" s="6" t="s">
        <v>20</v>
      </c>
      <c r="J2550" s="6">
        <v>2023.0</v>
      </c>
      <c r="K2550" s="10">
        <v>46023.0</v>
      </c>
      <c r="L2550" s="6">
        <v>2.0</v>
      </c>
      <c r="M2550" s="8">
        <f t="shared" si="3"/>
        <v>1</v>
      </c>
      <c r="P2550" s="9"/>
    </row>
    <row r="2551">
      <c r="A2551" s="6" t="s">
        <v>6070</v>
      </c>
      <c r="B2551" s="6" t="s">
        <v>226</v>
      </c>
      <c r="C2551" s="6" t="s">
        <v>43</v>
      </c>
      <c r="D2551" s="6" t="s">
        <v>6071</v>
      </c>
      <c r="E2551" s="6" t="s">
        <v>215</v>
      </c>
      <c r="F2551" s="6" t="s">
        <v>26</v>
      </c>
      <c r="G2551" s="7">
        <v>0.18</v>
      </c>
      <c r="H2551" s="6" t="s">
        <v>58</v>
      </c>
      <c r="I2551" s="6" t="s">
        <v>20</v>
      </c>
      <c r="J2551" s="6">
        <v>1995.0</v>
      </c>
      <c r="K2551" s="6" t="s">
        <v>233</v>
      </c>
      <c r="L2551" s="6">
        <v>2.0</v>
      </c>
      <c r="M2551" s="8">
        <f t="shared" si="3"/>
        <v>0.36</v>
      </c>
      <c r="P2551" s="9"/>
    </row>
    <row r="2552">
      <c r="A2552" s="6" t="s">
        <v>6072</v>
      </c>
      <c r="B2552" s="6" t="s">
        <v>1002</v>
      </c>
      <c r="C2552" s="6" t="s">
        <v>43</v>
      </c>
      <c r="E2552" s="6" t="s">
        <v>248</v>
      </c>
      <c r="F2552" s="6" t="s">
        <v>77</v>
      </c>
      <c r="G2552" s="7">
        <v>0.03</v>
      </c>
      <c r="H2552" s="6" t="s">
        <v>249</v>
      </c>
      <c r="I2552" s="6" t="s">
        <v>20</v>
      </c>
      <c r="J2552" s="6">
        <v>2014.0</v>
      </c>
      <c r="K2552" s="10">
        <v>46144.0</v>
      </c>
      <c r="L2552" s="6">
        <v>2.0</v>
      </c>
      <c r="M2552" s="8">
        <f t="shared" si="3"/>
        <v>0.06</v>
      </c>
      <c r="P2552" s="9"/>
    </row>
    <row r="2553">
      <c r="A2553" s="6" t="s">
        <v>6073</v>
      </c>
      <c r="B2553" s="6" t="s">
        <v>74</v>
      </c>
      <c r="C2553" s="6" t="s">
        <v>43</v>
      </c>
      <c r="D2553" s="6" t="s">
        <v>6074</v>
      </c>
      <c r="E2553" s="6" t="s">
        <v>117</v>
      </c>
      <c r="F2553" s="6" t="s">
        <v>77</v>
      </c>
      <c r="G2553" s="7">
        <v>1.25</v>
      </c>
      <c r="H2553" s="6" t="s">
        <v>1300</v>
      </c>
      <c r="I2553" s="6" t="s">
        <v>20</v>
      </c>
      <c r="J2553" s="6">
        <v>2021.0</v>
      </c>
      <c r="L2553" s="6">
        <v>1.0</v>
      </c>
      <c r="M2553" s="8">
        <f t="shared" si="3"/>
        <v>1.25</v>
      </c>
      <c r="N2553" s="6" t="s">
        <v>122</v>
      </c>
      <c r="P2553" s="9"/>
    </row>
    <row r="2554">
      <c r="A2554" s="6" t="s">
        <v>6075</v>
      </c>
      <c r="B2554" s="6" t="s">
        <v>6076</v>
      </c>
      <c r="C2554" s="6" t="s">
        <v>204</v>
      </c>
      <c r="D2554" s="6" t="s">
        <v>6077</v>
      </c>
      <c r="E2554" s="6" t="s">
        <v>176</v>
      </c>
      <c r="F2554" s="6" t="s">
        <v>77</v>
      </c>
      <c r="G2554" s="7">
        <v>0.19</v>
      </c>
      <c r="H2554" s="6" t="s">
        <v>373</v>
      </c>
      <c r="I2554" s="6" t="s">
        <v>20</v>
      </c>
      <c r="J2554" s="6">
        <v>2015.0</v>
      </c>
      <c r="L2554" s="6">
        <v>4.0</v>
      </c>
      <c r="M2554" s="8">
        <f t="shared" si="3"/>
        <v>0.76</v>
      </c>
      <c r="P2554" s="9"/>
    </row>
    <row r="2555">
      <c r="A2555" s="6" t="s">
        <v>6078</v>
      </c>
      <c r="B2555" s="6" t="s">
        <v>6079</v>
      </c>
      <c r="C2555" s="6" t="s">
        <v>43</v>
      </c>
      <c r="D2555" s="6" t="s">
        <v>6080</v>
      </c>
      <c r="E2555" s="6" t="s">
        <v>356</v>
      </c>
      <c r="F2555" s="6" t="s">
        <v>87</v>
      </c>
      <c r="G2555" s="7">
        <v>0.03</v>
      </c>
      <c r="H2555" s="6" t="s">
        <v>34</v>
      </c>
      <c r="I2555" s="6" t="s">
        <v>20</v>
      </c>
      <c r="J2555" s="6">
        <v>2025.0</v>
      </c>
      <c r="K2555" s="10">
        <v>46147.0</v>
      </c>
      <c r="L2555" s="6">
        <v>2.0</v>
      </c>
      <c r="M2555" s="8">
        <f t="shared" si="3"/>
        <v>0.06</v>
      </c>
      <c r="P2555" s="9"/>
    </row>
    <row r="2556">
      <c r="A2556" s="6" t="s">
        <v>6081</v>
      </c>
      <c r="B2556" s="6" t="s">
        <v>2256</v>
      </c>
      <c r="C2556" s="6" t="s">
        <v>15</v>
      </c>
      <c r="D2556" s="6" t="s">
        <v>6082</v>
      </c>
      <c r="E2556" s="6" t="s">
        <v>1896</v>
      </c>
      <c r="F2556" s="6" t="s">
        <v>87</v>
      </c>
      <c r="G2556" s="7">
        <v>0.11</v>
      </c>
      <c r="H2556" s="6" t="s">
        <v>780</v>
      </c>
      <c r="I2556" s="6" t="s">
        <v>20</v>
      </c>
      <c r="J2556" s="6">
        <v>2025.0</v>
      </c>
      <c r="K2556" s="10">
        <v>46115.0</v>
      </c>
      <c r="L2556" s="6">
        <v>2.0</v>
      </c>
      <c r="M2556" s="8">
        <f t="shared" si="3"/>
        <v>0.22</v>
      </c>
      <c r="P2556" s="9"/>
    </row>
    <row r="2557">
      <c r="A2557" s="6" t="s">
        <v>6083</v>
      </c>
      <c r="B2557" s="6" t="s">
        <v>692</v>
      </c>
      <c r="C2557" s="6" t="s">
        <v>43</v>
      </c>
      <c r="D2557" s="6" t="s">
        <v>6084</v>
      </c>
      <c r="E2557" s="6" t="s">
        <v>98</v>
      </c>
      <c r="F2557" s="6" t="s">
        <v>18</v>
      </c>
      <c r="G2557" s="7">
        <v>0.05</v>
      </c>
      <c r="H2557" s="6" t="s">
        <v>34</v>
      </c>
      <c r="I2557" s="6" t="s">
        <v>20</v>
      </c>
      <c r="J2557" s="6">
        <v>2025.0</v>
      </c>
      <c r="K2557" s="10">
        <v>46055.0</v>
      </c>
      <c r="L2557" s="6">
        <v>3.0</v>
      </c>
      <c r="M2557" s="8">
        <f t="shared" si="3"/>
        <v>0.15</v>
      </c>
      <c r="P2557" s="9"/>
    </row>
    <row r="2558">
      <c r="A2558" s="6" t="s">
        <v>6085</v>
      </c>
      <c r="B2558" s="6" t="s">
        <v>6086</v>
      </c>
      <c r="C2558" s="6" t="s">
        <v>23</v>
      </c>
      <c r="D2558" s="6" t="s">
        <v>6087</v>
      </c>
      <c r="E2558" s="6" t="s">
        <v>2663</v>
      </c>
      <c r="F2558" s="6" t="s">
        <v>77</v>
      </c>
      <c r="G2558" s="7">
        <v>0.13</v>
      </c>
      <c r="H2558" s="6" t="s">
        <v>27</v>
      </c>
      <c r="I2558" s="6" t="s">
        <v>20</v>
      </c>
      <c r="J2558" s="6">
        <v>2026.0</v>
      </c>
      <c r="K2558" s="10">
        <v>46116.0</v>
      </c>
      <c r="L2558" s="6">
        <v>1.0</v>
      </c>
      <c r="M2558" s="8">
        <f t="shared" si="3"/>
        <v>0.13</v>
      </c>
      <c r="P2558" s="9"/>
    </row>
    <row r="2559">
      <c r="A2559" s="6" t="s">
        <v>6088</v>
      </c>
      <c r="B2559" s="6" t="s">
        <v>2110</v>
      </c>
      <c r="C2559" s="6" t="s">
        <v>15</v>
      </c>
      <c r="D2559" s="6" t="s">
        <v>6089</v>
      </c>
      <c r="E2559" s="6" t="s">
        <v>664</v>
      </c>
      <c r="F2559" s="6" t="s">
        <v>2113</v>
      </c>
      <c r="G2559" s="7">
        <v>0.15</v>
      </c>
      <c r="H2559" s="6" t="s">
        <v>153</v>
      </c>
      <c r="I2559" s="6" t="s">
        <v>20</v>
      </c>
      <c r="J2559" s="6">
        <v>2025.0</v>
      </c>
      <c r="K2559" s="10">
        <v>46114.0</v>
      </c>
      <c r="L2559" s="6">
        <v>6.0</v>
      </c>
      <c r="M2559" s="8">
        <f t="shared" si="3"/>
        <v>0.9</v>
      </c>
      <c r="P2559" s="9"/>
    </row>
    <row r="2560">
      <c r="A2560" s="6" t="s">
        <v>6088</v>
      </c>
      <c r="B2560" s="6" t="s">
        <v>2110</v>
      </c>
      <c r="C2560" s="6" t="s">
        <v>15</v>
      </c>
      <c r="D2560" s="6" t="s">
        <v>6089</v>
      </c>
      <c r="E2560" s="6" t="s">
        <v>664</v>
      </c>
      <c r="F2560" s="6" t="s">
        <v>2113</v>
      </c>
      <c r="G2560" s="7">
        <v>0.4</v>
      </c>
      <c r="H2560" s="6" t="s">
        <v>153</v>
      </c>
      <c r="I2560" s="6" t="s">
        <v>45</v>
      </c>
      <c r="J2560" s="6">
        <v>2025.0</v>
      </c>
      <c r="K2560" s="10">
        <v>46114.0</v>
      </c>
      <c r="L2560" s="6">
        <v>1.0</v>
      </c>
      <c r="M2560" s="8">
        <f t="shared" si="3"/>
        <v>0.4</v>
      </c>
      <c r="P2560" s="9"/>
    </row>
    <row r="2561">
      <c r="A2561" s="6" t="s">
        <v>6090</v>
      </c>
      <c r="B2561" s="6" t="s">
        <v>1577</v>
      </c>
      <c r="C2561" s="6" t="s">
        <v>43</v>
      </c>
      <c r="D2561" s="6" t="s">
        <v>6091</v>
      </c>
      <c r="F2561" s="6" t="s">
        <v>26</v>
      </c>
      <c r="G2561" s="7">
        <v>0.12</v>
      </c>
      <c r="H2561" s="6" t="s">
        <v>297</v>
      </c>
      <c r="I2561" s="6" t="s">
        <v>20</v>
      </c>
      <c r="J2561" s="6">
        <v>2022.0</v>
      </c>
      <c r="L2561" s="6">
        <v>3.0</v>
      </c>
      <c r="M2561" s="8">
        <f t="shared" si="3"/>
        <v>0.36</v>
      </c>
      <c r="P2561" s="9"/>
    </row>
    <row r="2562">
      <c r="A2562" s="6" t="s">
        <v>6090</v>
      </c>
      <c r="B2562" s="6" t="s">
        <v>1577</v>
      </c>
      <c r="C2562" s="6" t="s">
        <v>43</v>
      </c>
      <c r="D2562" s="6" t="s">
        <v>6092</v>
      </c>
      <c r="F2562" s="6" t="s">
        <v>636</v>
      </c>
      <c r="G2562" s="7">
        <v>0.14</v>
      </c>
      <c r="H2562" s="6" t="s">
        <v>297</v>
      </c>
      <c r="I2562" s="6" t="s">
        <v>20</v>
      </c>
      <c r="J2562" s="6">
        <v>2022.0</v>
      </c>
      <c r="L2562" s="6">
        <v>1.0</v>
      </c>
      <c r="M2562" s="8">
        <f t="shared" si="3"/>
        <v>0.14</v>
      </c>
      <c r="P2562" s="9"/>
    </row>
    <row r="2563">
      <c r="A2563" s="6" t="s">
        <v>6093</v>
      </c>
      <c r="B2563" s="6" t="s">
        <v>42</v>
      </c>
      <c r="C2563" s="6" t="s">
        <v>37</v>
      </c>
      <c r="D2563" s="6" t="s">
        <v>6094</v>
      </c>
      <c r="E2563" s="6" t="s">
        <v>1027</v>
      </c>
      <c r="F2563" s="6" t="s">
        <v>77</v>
      </c>
      <c r="G2563" s="7">
        <v>0.15</v>
      </c>
      <c r="H2563" s="6" t="s">
        <v>34</v>
      </c>
      <c r="I2563" s="6" t="s">
        <v>20</v>
      </c>
      <c r="J2563" s="6">
        <v>2025.0</v>
      </c>
      <c r="L2563" s="6">
        <v>1.0</v>
      </c>
      <c r="M2563" s="8">
        <f t="shared" si="3"/>
        <v>0.15</v>
      </c>
      <c r="P2563" s="9"/>
    </row>
    <row r="2564">
      <c r="A2564" s="6" t="s">
        <v>6095</v>
      </c>
      <c r="B2564" s="6" t="s">
        <v>1577</v>
      </c>
      <c r="C2564" s="6" t="s">
        <v>30</v>
      </c>
      <c r="D2564" s="6" t="s">
        <v>6096</v>
      </c>
      <c r="F2564" s="6" t="s">
        <v>26</v>
      </c>
      <c r="G2564" s="7">
        <v>0.17</v>
      </c>
      <c r="H2564" s="6" t="s">
        <v>407</v>
      </c>
      <c r="I2564" s="6" t="s">
        <v>20</v>
      </c>
      <c r="J2564" s="6">
        <v>2016.0</v>
      </c>
      <c r="L2564" s="6">
        <v>1.0</v>
      </c>
      <c r="M2564" s="8">
        <f t="shared" si="3"/>
        <v>0.17</v>
      </c>
      <c r="P2564" s="9"/>
    </row>
    <row r="2565">
      <c r="A2565" s="6" t="s">
        <v>6097</v>
      </c>
      <c r="B2565" s="6" t="s">
        <v>4383</v>
      </c>
      <c r="C2565" s="6" t="s">
        <v>37</v>
      </c>
      <c r="D2565" s="6" t="s">
        <v>6098</v>
      </c>
      <c r="E2565" s="6" t="s">
        <v>6099</v>
      </c>
      <c r="F2565" s="6" t="s">
        <v>636</v>
      </c>
      <c r="G2565" s="7">
        <v>0.14</v>
      </c>
      <c r="H2565" s="6" t="s">
        <v>99</v>
      </c>
      <c r="I2565" s="6" t="s">
        <v>20</v>
      </c>
      <c r="J2565" s="6">
        <v>2022.0</v>
      </c>
      <c r="K2565" s="10">
        <v>46084.0</v>
      </c>
      <c r="L2565" s="6">
        <v>1.0</v>
      </c>
      <c r="M2565" s="8">
        <f t="shared" si="3"/>
        <v>0.14</v>
      </c>
      <c r="P2565" s="9"/>
    </row>
    <row r="2566">
      <c r="A2566" s="6" t="s">
        <v>6100</v>
      </c>
      <c r="B2566" s="6" t="s">
        <v>6101</v>
      </c>
      <c r="C2566" s="6" t="s">
        <v>377</v>
      </c>
      <c r="D2566" s="6" t="s">
        <v>4240</v>
      </c>
      <c r="E2566" s="6" t="s">
        <v>708</v>
      </c>
      <c r="F2566" s="6" t="s">
        <v>112</v>
      </c>
      <c r="G2566" s="7">
        <v>0.05</v>
      </c>
      <c r="H2566" s="7" t="s">
        <v>283</v>
      </c>
      <c r="I2566" s="6" t="s">
        <v>20</v>
      </c>
      <c r="J2566" s="6">
        <v>2013.0</v>
      </c>
      <c r="K2566" s="10">
        <v>46116.0</v>
      </c>
      <c r="L2566" s="6">
        <v>1.0</v>
      </c>
      <c r="M2566" s="8">
        <f t="shared" si="3"/>
        <v>0.05</v>
      </c>
      <c r="P2566" s="9"/>
    </row>
    <row r="2567">
      <c r="A2567" s="6" t="s">
        <v>6102</v>
      </c>
      <c r="B2567" s="6" t="s">
        <v>861</v>
      </c>
      <c r="C2567" s="6" t="s">
        <v>43</v>
      </c>
      <c r="D2567" s="6" t="s">
        <v>6103</v>
      </c>
      <c r="E2567" s="6" t="s">
        <v>2030</v>
      </c>
      <c r="F2567" s="6" t="s">
        <v>40</v>
      </c>
      <c r="G2567" s="7">
        <v>0.03</v>
      </c>
      <c r="H2567" s="6" t="s">
        <v>382</v>
      </c>
      <c r="I2567" s="6" t="s">
        <v>20</v>
      </c>
      <c r="J2567" s="6">
        <v>2020.0</v>
      </c>
      <c r="K2567" s="10">
        <v>46176.0</v>
      </c>
      <c r="L2567" s="6">
        <v>8.0</v>
      </c>
      <c r="M2567" s="8">
        <f t="shared" si="3"/>
        <v>0.24</v>
      </c>
      <c r="P2567" s="9"/>
    </row>
    <row r="2568">
      <c r="A2568" s="6" t="s">
        <v>6104</v>
      </c>
      <c r="B2568" s="6" t="s">
        <v>1520</v>
      </c>
      <c r="C2568" s="6" t="s">
        <v>43</v>
      </c>
      <c r="D2568" s="6" t="s">
        <v>6105</v>
      </c>
      <c r="E2568" s="6" t="s">
        <v>224</v>
      </c>
      <c r="F2568" s="6" t="s">
        <v>18</v>
      </c>
      <c r="G2568" s="7">
        <v>0.04</v>
      </c>
      <c r="H2568" s="6" t="s">
        <v>148</v>
      </c>
      <c r="I2568" s="6" t="s">
        <v>20</v>
      </c>
      <c r="J2568" s="6">
        <v>2026.0</v>
      </c>
      <c r="L2568" s="6">
        <v>2.0</v>
      </c>
      <c r="M2568" s="8">
        <f t="shared" si="3"/>
        <v>0.08</v>
      </c>
      <c r="P2568" s="9"/>
    </row>
    <row r="2569">
      <c r="A2569" s="6" t="s">
        <v>6104</v>
      </c>
      <c r="B2569" s="6" t="s">
        <v>1520</v>
      </c>
      <c r="C2569" s="6" t="s">
        <v>43</v>
      </c>
      <c r="D2569" s="6" t="s">
        <v>6105</v>
      </c>
      <c r="E2569" s="6" t="s">
        <v>224</v>
      </c>
      <c r="F2569" s="6" t="s">
        <v>18</v>
      </c>
      <c r="G2569" s="7">
        <v>0.2</v>
      </c>
      <c r="H2569" s="6" t="s">
        <v>148</v>
      </c>
      <c r="I2569" s="6" t="s">
        <v>45</v>
      </c>
      <c r="J2569" s="6">
        <v>2026.0</v>
      </c>
      <c r="L2569" s="6">
        <v>1.0</v>
      </c>
      <c r="M2569" s="8">
        <f t="shared" si="3"/>
        <v>0.2</v>
      </c>
      <c r="P2569" s="9"/>
    </row>
    <row r="2570">
      <c r="A2570" s="6" t="s">
        <v>6106</v>
      </c>
      <c r="B2570" s="6" t="s">
        <v>192</v>
      </c>
      <c r="C2570" s="6" t="s">
        <v>43</v>
      </c>
      <c r="D2570" s="6" t="s">
        <v>6107</v>
      </c>
      <c r="E2570" s="6" t="s">
        <v>526</v>
      </c>
      <c r="F2570" s="6" t="s">
        <v>26</v>
      </c>
      <c r="G2570" s="7">
        <v>0.07</v>
      </c>
      <c r="H2570" s="6" t="s">
        <v>582</v>
      </c>
      <c r="I2570" s="6" t="s">
        <v>20</v>
      </c>
      <c r="J2570" s="6">
        <v>2023.0</v>
      </c>
      <c r="L2570" s="6">
        <v>1.0</v>
      </c>
      <c r="M2570" s="8">
        <f t="shared" si="3"/>
        <v>0.07</v>
      </c>
      <c r="P2570" s="9"/>
    </row>
    <row r="2571">
      <c r="A2571" s="6" t="s">
        <v>6108</v>
      </c>
      <c r="B2571" s="6" t="s">
        <v>2880</v>
      </c>
      <c r="C2571" s="6" t="s">
        <v>37</v>
      </c>
      <c r="D2571" s="6" t="s">
        <v>6109</v>
      </c>
      <c r="E2571" s="6" t="s">
        <v>98</v>
      </c>
      <c r="F2571" s="6" t="s">
        <v>18</v>
      </c>
      <c r="G2571" s="7">
        <v>0.05</v>
      </c>
      <c r="H2571" s="6" t="s">
        <v>88</v>
      </c>
      <c r="I2571" s="6" t="s">
        <v>20</v>
      </c>
      <c r="J2571" s="6">
        <v>2026.0</v>
      </c>
      <c r="K2571" s="6" t="s">
        <v>4557</v>
      </c>
      <c r="L2571" s="6">
        <v>1.0</v>
      </c>
      <c r="M2571" s="8">
        <f t="shared" si="3"/>
        <v>0.05</v>
      </c>
      <c r="P2571" s="9"/>
    </row>
    <row r="2572">
      <c r="A2572" s="6" t="s">
        <v>6110</v>
      </c>
      <c r="B2572" s="6" t="s">
        <v>3585</v>
      </c>
      <c r="C2572" s="6" t="s">
        <v>43</v>
      </c>
      <c r="E2572" s="6" t="s">
        <v>164</v>
      </c>
      <c r="F2572" s="6" t="s">
        <v>112</v>
      </c>
      <c r="G2572" s="7">
        <v>0.09</v>
      </c>
      <c r="H2572" s="6" t="s">
        <v>6111</v>
      </c>
      <c r="I2572" s="6" t="s">
        <v>20</v>
      </c>
      <c r="J2572" s="6">
        <v>2014.0</v>
      </c>
      <c r="K2572" s="10">
        <v>46055.0</v>
      </c>
      <c r="L2572" s="6">
        <v>2.0</v>
      </c>
      <c r="M2572" s="8">
        <f t="shared" si="3"/>
        <v>0.18</v>
      </c>
      <c r="P2572" s="9"/>
    </row>
    <row r="2573">
      <c r="A2573" s="6" t="s">
        <v>6112</v>
      </c>
      <c r="B2573" s="6" t="s">
        <v>192</v>
      </c>
      <c r="C2573" s="6" t="s">
        <v>43</v>
      </c>
      <c r="D2573" s="6" t="s">
        <v>6113</v>
      </c>
      <c r="E2573" s="6" t="s">
        <v>526</v>
      </c>
      <c r="F2573" s="6" t="s">
        <v>26</v>
      </c>
      <c r="G2573" s="7">
        <v>0.08</v>
      </c>
      <c r="H2573" s="6" t="s">
        <v>631</v>
      </c>
      <c r="I2573" s="6" t="s">
        <v>20</v>
      </c>
      <c r="J2573" s="6">
        <v>1995.0</v>
      </c>
      <c r="L2573" s="6">
        <v>1.0</v>
      </c>
      <c r="M2573" s="8">
        <f t="shared" si="3"/>
        <v>0.08</v>
      </c>
      <c r="P2573" s="9"/>
    </row>
    <row r="2574">
      <c r="A2574" s="6" t="s">
        <v>6114</v>
      </c>
      <c r="B2574" s="6" t="s">
        <v>162</v>
      </c>
      <c r="C2574" s="6" t="s">
        <v>37</v>
      </c>
      <c r="D2574" s="6" t="s">
        <v>6115</v>
      </c>
      <c r="E2574" s="6" t="s">
        <v>125</v>
      </c>
      <c r="F2574" s="6" t="s">
        <v>40</v>
      </c>
      <c r="G2574" s="7">
        <v>0.04</v>
      </c>
      <c r="H2574" s="6" t="s">
        <v>99</v>
      </c>
      <c r="I2574" s="6" t="s">
        <v>20</v>
      </c>
      <c r="J2574" s="6">
        <v>2022.0</v>
      </c>
      <c r="L2574" s="6">
        <v>1.0</v>
      </c>
      <c r="M2574" s="8">
        <f t="shared" si="3"/>
        <v>0.04</v>
      </c>
      <c r="P2574" s="9"/>
    </row>
    <row r="2575">
      <c r="A2575" s="6" t="s">
        <v>6116</v>
      </c>
      <c r="B2575" s="6" t="s">
        <v>52</v>
      </c>
      <c r="C2575" s="6" t="s">
        <v>377</v>
      </c>
      <c r="D2575" s="6" t="s">
        <v>6117</v>
      </c>
      <c r="E2575" s="6" t="s">
        <v>810</v>
      </c>
      <c r="F2575" s="6" t="s">
        <v>26</v>
      </c>
      <c r="G2575" s="7">
        <v>0.21</v>
      </c>
      <c r="H2575" s="6" t="s">
        <v>3535</v>
      </c>
      <c r="I2575" s="6" t="s">
        <v>20</v>
      </c>
      <c r="J2575" s="6">
        <v>2011.0</v>
      </c>
      <c r="L2575" s="6">
        <v>1.0</v>
      </c>
      <c r="M2575" s="8">
        <f t="shared" si="3"/>
        <v>0.21</v>
      </c>
      <c r="P2575" s="9"/>
    </row>
    <row r="2576">
      <c r="A2576" s="6" t="s">
        <v>6118</v>
      </c>
      <c r="B2576" s="6" t="s">
        <v>6119</v>
      </c>
      <c r="C2576" s="6" t="s">
        <v>43</v>
      </c>
      <c r="D2576" s="6" t="s">
        <v>6120</v>
      </c>
      <c r="E2576" s="6" t="s">
        <v>579</v>
      </c>
      <c r="F2576" s="6" t="s">
        <v>112</v>
      </c>
      <c r="G2576" s="7">
        <v>0.1</v>
      </c>
      <c r="H2576" s="6" t="s">
        <v>89</v>
      </c>
      <c r="I2576" s="6" t="s">
        <v>20</v>
      </c>
      <c r="J2576" s="6">
        <v>2021.0</v>
      </c>
      <c r="K2576" s="10">
        <v>46023.0</v>
      </c>
      <c r="L2576" s="6">
        <v>1.0</v>
      </c>
      <c r="M2576" s="8">
        <f t="shared" si="3"/>
        <v>0.1</v>
      </c>
      <c r="P2576" s="9"/>
    </row>
    <row r="2577">
      <c r="A2577" s="6" t="s">
        <v>6121</v>
      </c>
      <c r="B2577" s="6" t="s">
        <v>619</v>
      </c>
      <c r="C2577" s="6" t="s">
        <v>43</v>
      </c>
      <c r="E2577" s="6" t="s">
        <v>389</v>
      </c>
      <c r="F2577" s="6" t="s">
        <v>87</v>
      </c>
      <c r="G2577" s="7">
        <v>0.06</v>
      </c>
      <c r="H2577" s="6" t="s">
        <v>1148</v>
      </c>
      <c r="I2577" s="6" t="s">
        <v>20</v>
      </c>
      <c r="J2577" s="6">
        <v>2012.0</v>
      </c>
      <c r="K2577" s="10">
        <v>46084.0</v>
      </c>
      <c r="L2577" s="6">
        <v>1.0</v>
      </c>
      <c r="M2577" s="8">
        <f t="shared" si="3"/>
        <v>0.06</v>
      </c>
      <c r="P2577" s="9"/>
    </row>
    <row r="2578">
      <c r="A2578" s="6" t="s">
        <v>6122</v>
      </c>
      <c r="B2578" s="6" t="s">
        <v>6123</v>
      </c>
      <c r="C2578" s="6" t="s">
        <v>377</v>
      </c>
      <c r="D2578" s="6" t="s">
        <v>6124</v>
      </c>
      <c r="E2578" s="6" t="s">
        <v>579</v>
      </c>
      <c r="F2578" s="6" t="s">
        <v>112</v>
      </c>
      <c r="G2578" s="7">
        <v>0.1</v>
      </c>
      <c r="H2578" s="7" t="s">
        <v>746</v>
      </c>
      <c r="I2578" s="6" t="s">
        <v>20</v>
      </c>
      <c r="J2578" s="6">
        <v>2024.0</v>
      </c>
      <c r="K2578" s="10">
        <v>46116.0</v>
      </c>
      <c r="L2578" s="6">
        <v>1.0</v>
      </c>
      <c r="M2578" s="8">
        <f t="shared" si="3"/>
        <v>0.1</v>
      </c>
      <c r="P2578" s="9"/>
    </row>
    <row r="2579">
      <c r="A2579" s="6" t="s">
        <v>6125</v>
      </c>
      <c r="B2579" s="6" t="s">
        <v>192</v>
      </c>
      <c r="C2579" s="6" t="s">
        <v>377</v>
      </c>
      <c r="D2579" s="6" t="s">
        <v>6126</v>
      </c>
      <c r="E2579" s="6" t="s">
        <v>994</v>
      </c>
      <c r="F2579" s="6" t="s">
        <v>312</v>
      </c>
      <c r="G2579" s="7">
        <v>0.03</v>
      </c>
      <c r="H2579" s="6" t="s">
        <v>468</v>
      </c>
      <c r="I2579" s="6" t="s">
        <v>20</v>
      </c>
      <c r="J2579" s="6">
        <v>2015.0</v>
      </c>
      <c r="K2579" s="10">
        <v>46147.0</v>
      </c>
      <c r="L2579" s="6">
        <v>1.0</v>
      </c>
      <c r="M2579" s="8">
        <f t="shared" si="3"/>
        <v>0.03</v>
      </c>
      <c r="P2579" s="9"/>
    </row>
    <row r="2580">
      <c r="A2580" s="6" t="s">
        <v>6127</v>
      </c>
      <c r="B2580" s="6" t="s">
        <v>603</v>
      </c>
      <c r="C2580" s="6" t="s">
        <v>43</v>
      </c>
      <c r="D2580" s="6" t="s">
        <v>1500</v>
      </c>
      <c r="E2580" s="6" t="s">
        <v>125</v>
      </c>
      <c r="F2580" s="6" t="s">
        <v>40</v>
      </c>
      <c r="G2580" s="7">
        <v>0.03</v>
      </c>
      <c r="H2580" s="6" t="s">
        <v>78</v>
      </c>
      <c r="I2580" s="6" t="s">
        <v>20</v>
      </c>
      <c r="J2580" s="6">
        <v>2018.0</v>
      </c>
      <c r="K2580" s="10">
        <v>46054.0</v>
      </c>
      <c r="L2580" s="6">
        <v>2.0</v>
      </c>
      <c r="M2580" s="8">
        <f t="shared" si="3"/>
        <v>0.06</v>
      </c>
      <c r="P2580" s="9"/>
    </row>
    <row r="2581">
      <c r="A2581" s="6" t="s">
        <v>6128</v>
      </c>
      <c r="B2581" s="6" t="s">
        <v>462</v>
      </c>
      <c r="C2581" s="6" t="s">
        <v>37</v>
      </c>
      <c r="D2581" s="6" t="s">
        <v>6129</v>
      </c>
      <c r="E2581" s="6" t="s">
        <v>117</v>
      </c>
      <c r="F2581" s="6" t="s">
        <v>77</v>
      </c>
      <c r="G2581" s="7">
        <v>0.23</v>
      </c>
      <c r="H2581" s="6" t="s">
        <v>746</v>
      </c>
      <c r="I2581" s="6" t="s">
        <v>20</v>
      </c>
      <c r="J2581" s="6">
        <v>2024.0</v>
      </c>
      <c r="L2581" s="6">
        <v>1.0</v>
      </c>
      <c r="M2581" s="8">
        <f t="shared" si="3"/>
        <v>0.23</v>
      </c>
      <c r="P2581" s="9"/>
    </row>
    <row r="2582">
      <c r="A2582" s="6" t="s">
        <v>6130</v>
      </c>
      <c r="B2582" s="6" t="s">
        <v>6131</v>
      </c>
      <c r="C2582" s="6" t="s">
        <v>15</v>
      </c>
      <c r="D2582" s="6" t="s">
        <v>6132</v>
      </c>
      <c r="E2582" s="6" t="s">
        <v>6133</v>
      </c>
      <c r="F2582" s="6" t="s">
        <v>2431</v>
      </c>
      <c r="G2582" s="7">
        <v>0.15</v>
      </c>
      <c r="H2582" s="6" t="s">
        <v>153</v>
      </c>
      <c r="I2582" s="6" t="s">
        <v>20</v>
      </c>
      <c r="J2582" s="6">
        <v>2025.0</v>
      </c>
      <c r="K2582" s="10">
        <v>46054.0</v>
      </c>
      <c r="L2582" s="6">
        <v>2.0</v>
      </c>
      <c r="M2582" s="8">
        <f t="shared" si="3"/>
        <v>0.3</v>
      </c>
      <c r="P2582" s="9"/>
    </row>
    <row r="2583">
      <c r="A2583" s="6" t="s">
        <v>6134</v>
      </c>
      <c r="B2583" s="6" t="s">
        <v>115</v>
      </c>
      <c r="C2583" s="6" t="s">
        <v>15</v>
      </c>
      <c r="D2583" s="6" t="s">
        <v>6135</v>
      </c>
      <c r="E2583" s="6" t="s">
        <v>818</v>
      </c>
      <c r="F2583" s="6" t="s">
        <v>112</v>
      </c>
      <c r="G2583" s="7">
        <v>0.2</v>
      </c>
      <c r="H2583" s="6" t="s">
        <v>153</v>
      </c>
      <c r="I2583" s="6" t="s">
        <v>20</v>
      </c>
      <c r="J2583" s="6">
        <v>2025.0</v>
      </c>
      <c r="L2583" s="6">
        <v>1.0</v>
      </c>
      <c r="M2583" s="8">
        <f t="shared" si="3"/>
        <v>0.2</v>
      </c>
      <c r="P2583" s="9"/>
    </row>
    <row r="2584">
      <c r="A2584" s="6" t="s">
        <v>6136</v>
      </c>
      <c r="B2584" s="6" t="s">
        <v>2256</v>
      </c>
      <c r="C2584" s="6" t="s">
        <v>23</v>
      </c>
      <c r="D2584" s="6" t="s">
        <v>6137</v>
      </c>
      <c r="E2584" s="6" t="s">
        <v>1364</v>
      </c>
      <c r="F2584" s="6" t="s">
        <v>18</v>
      </c>
      <c r="G2584" s="7">
        <v>0.13</v>
      </c>
      <c r="H2584" s="6" t="s">
        <v>27</v>
      </c>
      <c r="I2584" s="6" t="s">
        <v>20</v>
      </c>
      <c r="J2584" s="6">
        <v>2026.0</v>
      </c>
      <c r="K2584" s="10">
        <v>46055.0</v>
      </c>
      <c r="L2584" s="6">
        <v>1.0</v>
      </c>
      <c r="M2584" s="8">
        <f t="shared" si="3"/>
        <v>0.13</v>
      </c>
      <c r="P2584" s="9"/>
    </row>
    <row r="2585">
      <c r="A2585" s="6" t="s">
        <v>6138</v>
      </c>
      <c r="B2585" s="6" t="s">
        <v>6139</v>
      </c>
      <c r="C2585" s="6" t="s">
        <v>43</v>
      </c>
      <c r="D2585" s="6" t="s">
        <v>6140</v>
      </c>
      <c r="E2585" s="6" t="s">
        <v>1702</v>
      </c>
      <c r="F2585" s="6" t="s">
        <v>112</v>
      </c>
      <c r="G2585" s="7">
        <v>0.04</v>
      </c>
      <c r="H2585" s="6" t="s">
        <v>34</v>
      </c>
      <c r="I2585" s="6" t="s">
        <v>20</v>
      </c>
      <c r="J2585" s="6">
        <v>2025.0</v>
      </c>
      <c r="K2585" s="10">
        <v>46210.0</v>
      </c>
      <c r="L2585" s="6">
        <v>5.0</v>
      </c>
      <c r="M2585" s="8">
        <f t="shared" si="3"/>
        <v>0.2</v>
      </c>
      <c r="P2585" s="9"/>
    </row>
    <row r="2586">
      <c r="A2586" s="6" t="s">
        <v>6138</v>
      </c>
      <c r="B2586" s="6" t="s">
        <v>6139</v>
      </c>
      <c r="C2586" s="6" t="s">
        <v>43</v>
      </c>
      <c r="D2586" s="6" t="s">
        <v>6140</v>
      </c>
      <c r="E2586" s="6" t="s">
        <v>1702</v>
      </c>
      <c r="F2586" s="6" t="s">
        <v>112</v>
      </c>
      <c r="G2586" s="7">
        <v>0.34</v>
      </c>
      <c r="H2586" s="6" t="s">
        <v>34</v>
      </c>
      <c r="I2586" s="6" t="s">
        <v>45</v>
      </c>
      <c r="J2586" s="6">
        <v>2025.0</v>
      </c>
      <c r="K2586" s="10">
        <v>46210.0</v>
      </c>
      <c r="L2586" s="6">
        <v>1.0</v>
      </c>
      <c r="M2586" s="8">
        <f t="shared" si="3"/>
        <v>0.34</v>
      </c>
      <c r="P2586" s="9"/>
    </row>
    <row r="2587">
      <c r="A2587" s="6" t="s">
        <v>6141</v>
      </c>
      <c r="B2587" s="6" t="s">
        <v>1324</v>
      </c>
      <c r="C2587" s="6" t="s">
        <v>23</v>
      </c>
      <c r="D2587" s="6" t="s">
        <v>6142</v>
      </c>
      <c r="E2587" s="6" t="s">
        <v>509</v>
      </c>
      <c r="F2587" s="6" t="s">
        <v>87</v>
      </c>
      <c r="G2587" s="7">
        <v>0.17</v>
      </c>
      <c r="H2587" s="6" t="s">
        <v>153</v>
      </c>
      <c r="I2587" s="6" t="s">
        <v>20</v>
      </c>
      <c r="J2587" s="6">
        <v>2025.0</v>
      </c>
      <c r="K2587" s="10">
        <v>46024.0</v>
      </c>
      <c r="L2587" s="6">
        <v>10.0</v>
      </c>
      <c r="M2587" s="8">
        <f t="shared" si="3"/>
        <v>1.7</v>
      </c>
      <c r="P2587" s="9"/>
    </row>
    <row r="2588">
      <c r="A2588" s="6" t="s">
        <v>6141</v>
      </c>
      <c r="B2588" s="6" t="s">
        <v>1324</v>
      </c>
      <c r="C2588" s="6" t="s">
        <v>23</v>
      </c>
      <c r="D2588" s="6" t="s">
        <v>6142</v>
      </c>
      <c r="E2588" s="6" t="s">
        <v>509</v>
      </c>
      <c r="F2588" s="6" t="s">
        <v>87</v>
      </c>
      <c r="G2588" s="7">
        <v>0.24</v>
      </c>
      <c r="H2588" s="6" t="s">
        <v>153</v>
      </c>
      <c r="I2588" s="6" t="s">
        <v>45</v>
      </c>
      <c r="J2588" s="6">
        <v>2025.0</v>
      </c>
      <c r="K2588" s="10">
        <v>46024.0</v>
      </c>
      <c r="L2588" s="6">
        <v>1.0</v>
      </c>
      <c r="M2588" s="8">
        <f t="shared" si="3"/>
        <v>0.24</v>
      </c>
      <c r="P2588" s="9"/>
    </row>
    <row r="2589">
      <c r="A2589" s="6" t="s">
        <v>6143</v>
      </c>
      <c r="B2589" s="6" t="s">
        <v>1356</v>
      </c>
      <c r="C2589" s="6" t="s">
        <v>43</v>
      </c>
      <c r="D2589" s="6" t="s">
        <v>6144</v>
      </c>
      <c r="E2589" s="6" t="s">
        <v>256</v>
      </c>
      <c r="F2589" s="6" t="s">
        <v>87</v>
      </c>
      <c r="G2589" s="7">
        <v>0.05</v>
      </c>
      <c r="H2589" s="6" t="s">
        <v>187</v>
      </c>
      <c r="I2589" s="6" t="s">
        <v>20</v>
      </c>
      <c r="J2589" s="6">
        <v>1995.0</v>
      </c>
      <c r="K2589" s="10">
        <v>46024.0</v>
      </c>
      <c r="L2589" s="6">
        <v>3.0</v>
      </c>
      <c r="M2589" s="8">
        <f t="shared" si="3"/>
        <v>0.15</v>
      </c>
      <c r="P2589" s="9"/>
    </row>
    <row r="2590">
      <c r="A2590" s="6" t="s">
        <v>6145</v>
      </c>
      <c r="B2590" s="6" t="s">
        <v>494</v>
      </c>
      <c r="C2590" s="6" t="s">
        <v>37</v>
      </c>
      <c r="D2590" s="6" t="s">
        <v>6146</v>
      </c>
      <c r="E2590" s="6" t="s">
        <v>248</v>
      </c>
      <c r="F2590" s="6" t="s">
        <v>77</v>
      </c>
      <c r="G2590" s="7">
        <v>0.06</v>
      </c>
      <c r="H2590" s="6" t="s">
        <v>2033</v>
      </c>
      <c r="I2590" s="6" t="s">
        <v>20</v>
      </c>
      <c r="J2590" s="6">
        <v>2019.0</v>
      </c>
      <c r="L2590" s="6">
        <v>1.0</v>
      </c>
      <c r="M2590" s="8">
        <f t="shared" si="3"/>
        <v>0.06</v>
      </c>
      <c r="P2590" s="9"/>
    </row>
    <row r="2591">
      <c r="A2591" s="6" t="s">
        <v>6147</v>
      </c>
      <c r="B2591" s="6" t="s">
        <v>1929</v>
      </c>
      <c r="C2591" s="6" t="s">
        <v>377</v>
      </c>
      <c r="D2591" s="6" t="s">
        <v>6148</v>
      </c>
      <c r="E2591" s="6" t="s">
        <v>579</v>
      </c>
      <c r="F2591" s="6" t="s">
        <v>112</v>
      </c>
      <c r="G2591" s="7">
        <v>0.1</v>
      </c>
      <c r="H2591" s="6" t="s">
        <v>471</v>
      </c>
      <c r="I2591" s="6" t="s">
        <v>20</v>
      </c>
      <c r="J2591" s="6">
        <v>2026.0</v>
      </c>
      <c r="K2591" s="10">
        <v>46116.0</v>
      </c>
      <c r="L2591" s="6">
        <v>2.0</v>
      </c>
      <c r="M2591" s="8">
        <f t="shared" si="3"/>
        <v>0.2</v>
      </c>
      <c r="P2591" s="9"/>
    </row>
    <row r="2592">
      <c r="A2592" s="6" t="s">
        <v>6149</v>
      </c>
      <c r="B2592" s="6" t="s">
        <v>657</v>
      </c>
      <c r="C2592" s="6" t="s">
        <v>23</v>
      </c>
      <c r="D2592" s="6" t="s">
        <v>6150</v>
      </c>
      <c r="E2592" s="6" t="s">
        <v>659</v>
      </c>
      <c r="F2592" s="6" t="s">
        <v>18</v>
      </c>
      <c r="G2592" s="7">
        <v>0.09</v>
      </c>
      <c r="H2592" s="6" t="s">
        <v>153</v>
      </c>
      <c r="I2592" s="6" t="s">
        <v>20</v>
      </c>
      <c r="J2592" s="6">
        <v>2025.0</v>
      </c>
      <c r="L2592" s="6">
        <v>5.0</v>
      </c>
      <c r="M2592" s="8">
        <f t="shared" si="3"/>
        <v>0.45</v>
      </c>
      <c r="P2592" s="9"/>
    </row>
    <row r="2593">
      <c r="A2593" s="6" t="s">
        <v>6151</v>
      </c>
      <c r="B2593" s="6" t="s">
        <v>3638</v>
      </c>
      <c r="C2593" s="6" t="s">
        <v>43</v>
      </c>
      <c r="D2593" s="6" t="s">
        <v>6152</v>
      </c>
      <c r="E2593" s="6" t="s">
        <v>98</v>
      </c>
      <c r="F2593" s="6" t="s">
        <v>18</v>
      </c>
      <c r="G2593" s="7">
        <v>0.09</v>
      </c>
      <c r="H2593" s="6" t="s">
        <v>65</v>
      </c>
      <c r="I2593" s="6" t="s">
        <v>20</v>
      </c>
      <c r="J2593" s="6">
        <v>2013.0</v>
      </c>
      <c r="K2593" s="10">
        <v>46083.0</v>
      </c>
      <c r="L2593" s="6">
        <v>1.0</v>
      </c>
      <c r="M2593" s="8">
        <f t="shared" si="3"/>
        <v>0.09</v>
      </c>
      <c r="P2593" s="9"/>
    </row>
    <row r="2594">
      <c r="A2594" s="6" t="s">
        <v>6153</v>
      </c>
      <c r="B2594" s="6" t="s">
        <v>6154</v>
      </c>
      <c r="C2594" s="6" t="s">
        <v>43</v>
      </c>
      <c r="D2594" s="6" t="s">
        <v>6155</v>
      </c>
      <c r="E2594" s="6" t="s">
        <v>448</v>
      </c>
      <c r="F2594" s="6" t="s">
        <v>112</v>
      </c>
      <c r="G2594" s="7">
        <v>0.06</v>
      </c>
      <c r="H2594" s="6" t="s">
        <v>922</v>
      </c>
      <c r="I2594" s="6" t="s">
        <v>20</v>
      </c>
      <c r="J2594" s="6">
        <v>2014.0</v>
      </c>
      <c r="K2594" s="10">
        <v>46144.0</v>
      </c>
      <c r="L2594" s="6">
        <v>1.0</v>
      </c>
      <c r="M2594" s="8">
        <f t="shared" si="3"/>
        <v>0.06</v>
      </c>
      <c r="P2594" s="9"/>
    </row>
    <row r="2595">
      <c r="A2595" s="6" t="s">
        <v>6156</v>
      </c>
      <c r="B2595" s="6" t="s">
        <v>6157</v>
      </c>
      <c r="C2595" s="6" t="s">
        <v>23</v>
      </c>
      <c r="D2595" s="6" t="s">
        <v>6158</v>
      </c>
      <c r="E2595" s="6" t="s">
        <v>852</v>
      </c>
      <c r="F2595" s="6" t="s">
        <v>18</v>
      </c>
      <c r="G2595" s="7">
        <v>0.05</v>
      </c>
      <c r="H2595" s="6" t="s">
        <v>3143</v>
      </c>
      <c r="I2595" s="6" t="s">
        <v>20</v>
      </c>
      <c r="J2595" s="6">
        <v>2025.0</v>
      </c>
      <c r="K2595" s="10">
        <v>46082.0</v>
      </c>
      <c r="L2595" s="6">
        <v>6.0</v>
      </c>
      <c r="M2595" s="8">
        <f t="shared" si="3"/>
        <v>0.3</v>
      </c>
      <c r="P2595" s="9"/>
    </row>
    <row r="2596">
      <c r="A2596" s="6" t="s">
        <v>6156</v>
      </c>
      <c r="B2596" s="6" t="s">
        <v>6157</v>
      </c>
      <c r="C2596" s="6" t="s">
        <v>23</v>
      </c>
      <c r="D2596" s="6" t="s">
        <v>6158</v>
      </c>
      <c r="E2596" s="6" t="s">
        <v>852</v>
      </c>
      <c r="F2596" s="6" t="s">
        <v>18</v>
      </c>
      <c r="G2596" s="7">
        <v>0.05</v>
      </c>
      <c r="H2596" s="6" t="s">
        <v>3143</v>
      </c>
      <c r="I2596" s="6" t="s">
        <v>45</v>
      </c>
      <c r="J2596" s="6">
        <v>2025.0</v>
      </c>
      <c r="K2596" s="10">
        <v>46082.0</v>
      </c>
      <c r="L2596" s="6">
        <v>1.0</v>
      </c>
      <c r="M2596" s="8">
        <f t="shared" si="3"/>
        <v>0.05</v>
      </c>
      <c r="P2596" s="9"/>
    </row>
    <row r="2597">
      <c r="A2597" s="6" t="s">
        <v>6159</v>
      </c>
      <c r="B2597" s="6" t="s">
        <v>6160</v>
      </c>
      <c r="C2597" s="6" t="s">
        <v>37</v>
      </c>
      <c r="D2597" s="6" t="s">
        <v>6161</v>
      </c>
      <c r="E2597" s="6" t="s">
        <v>2942</v>
      </c>
      <c r="F2597" s="6" t="s">
        <v>50</v>
      </c>
      <c r="G2597" s="7">
        <v>0.43</v>
      </c>
      <c r="H2597" s="6" t="s">
        <v>290</v>
      </c>
      <c r="I2597" s="6" t="s">
        <v>20</v>
      </c>
      <c r="J2597" s="6">
        <v>2019.0</v>
      </c>
      <c r="L2597" s="6">
        <v>4.0</v>
      </c>
      <c r="M2597" s="8">
        <f t="shared" si="3"/>
        <v>1.72</v>
      </c>
      <c r="P2597" s="9"/>
    </row>
    <row r="2598">
      <c r="A2598" s="6" t="s">
        <v>6162</v>
      </c>
      <c r="B2598" s="6" t="s">
        <v>1577</v>
      </c>
      <c r="C2598" s="6" t="s">
        <v>37</v>
      </c>
      <c r="D2598" s="6" t="s">
        <v>6163</v>
      </c>
      <c r="F2598" s="6" t="s">
        <v>536</v>
      </c>
      <c r="G2598" s="7">
        <v>0.6</v>
      </c>
      <c r="H2598" s="6" t="s">
        <v>350</v>
      </c>
      <c r="I2598" s="6" t="s">
        <v>20</v>
      </c>
      <c r="J2598" s="6">
        <v>2003.0</v>
      </c>
      <c r="L2598" s="6">
        <v>1.0</v>
      </c>
      <c r="M2598" s="8">
        <f t="shared" si="3"/>
        <v>0.6</v>
      </c>
      <c r="P2598" s="9"/>
    </row>
    <row r="2599">
      <c r="A2599" s="6" t="s">
        <v>6164</v>
      </c>
      <c r="B2599" s="6" t="s">
        <v>3374</v>
      </c>
      <c r="C2599" s="6" t="s">
        <v>15</v>
      </c>
      <c r="D2599" s="6" t="s">
        <v>6165</v>
      </c>
      <c r="E2599" s="6" t="s">
        <v>1010</v>
      </c>
      <c r="F2599" s="6" t="s">
        <v>87</v>
      </c>
      <c r="G2599" s="7">
        <v>0.09</v>
      </c>
      <c r="H2599" s="6" t="s">
        <v>19</v>
      </c>
      <c r="I2599" s="6" t="s">
        <v>20</v>
      </c>
      <c r="J2599" s="6">
        <v>2023.0</v>
      </c>
      <c r="K2599" s="10">
        <v>46023.0</v>
      </c>
      <c r="L2599" s="6">
        <v>1.0</v>
      </c>
      <c r="M2599" s="8">
        <f t="shared" si="3"/>
        <v>0.09</v>
      </c>
      <c r="P2599" s="9"/>
    </row>
    <row r="2600">
      <c r="A2600" s="6" t="s">
        <v>6166</v>
      </c>
      <c r="B2600" s="6" t="s">
        <v>115</v>
      </c>
      <c r="C2600" s="6" t="s">
        <v>23</v>
      </c>
      <c r="D2600" s="6" t="s">
        <v>6167</v>
      </c>
      <c r="E2600" s="6" t="s">
        <v>179</v>
      </c>
      <c r="F2600" s="6" t="s">
        <v>112</v>
      </c>
      <c r="G2600" s="7">
        <v>0.05</v>
      </c>
      <c r="H2600" s="6" t="s">
        <v>780</v>
      </c>
      <c r="I2600" s="6" t="s">
        <v>20</v>
      </c>
      <c r="J2600" s="6">
        <v>2025.0</v>
      </c>
      <c r="L2600" s="6">
        <v>1.0</v>
      </c>
      <c r="M2600" s="8">
        <f t="shared" si="3"/>
        <v>0.05</v>
      </c>
      <c r="P2600" s="9"/>
    </row>
    <row r="2601">
      <c r="A2601" s="6" t="s">
        <v>6168</v>
      </c>
      <c r="B2601" s="6" t="s">
        <v>6169</v>
      </c>
      <c r="C2601" s="6" t="s">
        <v>30</v>
      </c>
      <c r="D2601" s="6" t="s">
        <v>6170</v>
      </c>
      <c r="E2601" s="6" t="s">
        <v>39</v>
      </c>
      <c r="F2601" s="6" t="s">
        <v>40</v>
      </c>
      <c r="G2601" s="7">
        <v>0.06</v>
      </c>
      <c r="H2601" s="6" t="s">
        <v>58</v>
      </c>
      <c r="I2601" s="6" t="s">
        <v>20</v>
      </c>
      <c r="J2601" s="6">
        <v>1995.0</v>
      </c>
      <c r="K2601" s="6" t="s">
        <v>233</v>
      </c>
      <c r="L2601" s="6">
        <v>1.0</v>
      </c>
      <c r="M2601" s="8">
        <f t="shared" si="3"/>
        <v>0.06</v>
      </c>
      <c r="P2601" s="9"/>
    </row>
    <row r="2602">
      <c r="A2602" s="6" t="s">
        <v>6171</v>
      </c>
      <c r="B2602" s="6" t="s">
        <v>685</v>
      </c>
      <c r="C2602" s="6" t="s">
        <v>43</v>
      </c>
      <c r="D2602" s="6" t="s">
        <v>6172</v>
      </c>
      <c r="E2602" s="6" t="s">
        <v>135</v>
      </c>
      <c r="F2602" s="6" t="s">
        <v>40</v>
      </c>
      <c r="G2602" s="7">
        <v>0.15</v>
      </c>
      <c r="H2602" s="6" t="s">
        <v>99</v>
      </c>
      <c r="I2602" s="6" t="s">
        <v>45</v>
      </c>
      <c r="J2602" s="6">
        <v>2022.0</v>
      </c>
      <c r="K2602" s="10">
        <v>46024.0</v>
      </c>
      <c r="L2602" s="6">
        <v>1.0</v>
      </c>
      <c r="M2602" s="8">
        <f t="shared" si="3"/>
        <v>0.15</v>
      </c>
      <c r="P2602" s="9"/>
    </row>
    <row r="2603">
      <c r="A2603" s="6" t="s">
        <v>6171</v>
      </c>
      <c r="B2603" s="6" t="s">
        <v>685</v>
      </c>
      <c r="C2603" s="6" t="s">
        <v>43</v>
      </c>
      <c r="D2603" s="6" t="s">
        <v>6172</v>
      </c>
      <c r="E2603" s="6" t="s">
        <v>135</v>
      </c>
      <c r="F2603" s="6" t="s">
        <v>40</v>
      </c>
      <c r="G2603" s="7">
        <v>0.06</v>
      </c>
      <c r="H2603" s="6" t="s">
        <v>99</v>
      </c>
      <c r="I2603" s="6" t="s">
        <v>20</v>
      </c>
      <c r="J2603" s="6">
        <v>2022.0</v>
      </c>
      <c r="K2603" s="10">
        <v>46024.0</v>
      </c>
      <c r="L2603" s="6">
        <v>2.0</v>
      </c>
      <c r="M2603" s="8">
        <f t="shared" si="3"/>
        <v>0.12</v>
      </c>
      <c r="P2603" s="9"/>
    </row>
    <row r="2604">
      <c r="A2604" s="6" t="s">
        <v>6173</v>
      </c>
      <c r="B2604" s="6" t="s">
        <v>657</v>
      </c>
      <c r="C2604" s="6" t="s">
        <v>15</v>
      </c>
      <c r="D2604" s="6" t="s">
        <v>6174</v>
      </c>
      <c r="E2604" s="6" t="s">
        <v>129</v>
      </c>
      <c r="F2604" s="6" t="s">
        <v>87</v>
      </c>
      <c r="G2604" s="7">
        <v>0.2</v>
      </c>
      <c r="H2604" s="6" t="s">
        <v>153</v>
      </c>
      <c r="I2604" s="6" t="s">
        <v>20</v>
      </c>
      <c r="J2604" s="6">
        <v>2025.0</v>
      </c>
      <c r="L2604" s="6">
        <v>1.0</v>
      </c>
      <c r="M2604" s="8">
        <f t="shared" si="3"/>
        <v>0.2</v>
      </c>
      <c r="P2604" s="9"/>
    </row>
    <row r="2605">
      <c r="A2605" s="6" t="s">
        <v>6175</v>
      </c>
      <c r="B2605" s="6" t="s">
        <v>6068</v>
      </c>
      <c r="C2605" s="6" t="s">
        <v>37</v>
      </c>
      <c r="D2605" s="6" t="s">
        <v>6176</v>
      </c>
      <c r="E2605" s="6" t="s">
        <v>135</v>
      </c>
      <c r="F2605" s="6" t="s">
        <v>40</v>
      </c>
      <c r="G2605" s="7">
        <v>0.25</v>
      </c>
      <c r="H2605" s="6" t="s">
        <v>19</v>
      </c>
      <c r="I2605" s="6" t="s">
        <v>20</v>
      </c>
      <c r="J2605" s="6">
        <v>2023.0</v>
      </c>
      <c r="K2605" s="10">
        <v>46024.0</v>
      </c>
      <c r="L2605" s="6">
        <v>2.0</v>
      </c>
      <c r="M2605" s="8">
        <f t="shared" si="3"/>
        <v>0.5</v>
      </c>
      <c r="P2605" s="9"/>
    </row>
    <row r="2606">
      <c r="A2606" s="6" t="s">
        <v>6177</v>
      </c>
      <c r="B2606" s="6" t="s">
        <v>6178</v>
      </c>
      <c r="C2606" s="6" t="s">
        <v>30</v>
      </c>
      <c r="D2606" s="6" t="s">
        <v>6179</v>
      </c>
      <c r="E2606" s="6" t="s">
        <v>6180</v>
      </c>
      <c r="F2606" s="6" t="s">
        <v>50</v>
      </c>
      <c r="G2606" s="7">
        <v>0.27</v>
      </c>
      <c r="H2606" s="6" t="s">
        <v>471</v>
      </c>
      <c r="I2606" s="6" t="s">
        <v>20</v>
      </c>
      <c r="J2606" s="6">
        <v>2026.0</v>
      </c>
      <c r="K2606" s="10">
        <v>46114.0</v>
      </c>
      <c r="L2606" s="6">
        <v>1.0</v>
      </c>
      <c r="M2606" s="8">
        <f t="shared" si="3"/>
        <v>0.27</v>
      </c>
      <c r="P2606" s="9"/>
    </row>
    <row r="2607">
      <c r="A2607" s="6" t="s">
        <v>6181</v>
      </c>
      <c r="B2607" s="6" t="s">
        <v>138</v>
      </c>
      <c r="C2607" s="6" t="s">
        <v>43</v>
      </c>
      <c r="D2607" s="6" t="s">
        <v>6182</v>
      </c>
      <c r="E2607" s="6" t="s">
        <v>39</v>
      </c>
      <c r="F2607" s="6" t="s">
        <v>40</v>
      </c>
      <c r="G2607" s="7">
        <v>0.1</v>
      </c>
      <c r="H2607" s="6" t="s">
        <v>34</v>
      </c>
      <c r="I2607" s="6" t="s">
        <v>20</v>
      </c>
      <c r="J2607" s="6">
        <v>2025.0</v>
      </c>
      <c r="L2607" s="6">
        <v>1.0</v>
      </c>
      <c r="M2607" s="8">
        <f t="shared" si="3"/>
        <v>0.1</v>
      </c>
      <c r="P2607" s="9"/>
    </row>
    <row r="2608">
      <c r="A2608" s="6" t="s">
        <v>6183</v>
      </c>
      <c r="B2608" s="6" t="s">
        <v>6184</v>
      </c>
      <c r="C2608" s="6" t="s">
        <v>37</v>
      </c>
      <c r="D2608" s="6" t="s">
        <v>6185</v>
      </c>
      <c r="E2608" s="6" t="s">
        <v>1713</v>
      </c>
      <c r="F2608" s="6" t="s">
        <v>26</v>
      </c>
      <c r="G2608" s="7">
        <v>0.15</v>
      </c>
      <c r="H2608" s="6" t="s">
        <v>113</v>
      </c>
      <c r="I2608" s="6" t="s">
        <v>20</v>
      </c>
      <c r="J2608" s="6">
        <v>2023.0</v>
      </c>
      <c r="K2608" s="10">
        <v>46116.0</v>
      </c>
      <c r="L2608" s="6">
        <v>1.0</v>
      </c>
      <c r="M2608" s="8">
        <f t="shared" si="3"/>
        <v>0.15</v>
      </c>
      <c r="P2608" s="9"/>
    </row>
    <row r="2609">
      <c r="A2609" s="6" t="s">
        <v>6186</v>
      </c>
      <c r="B2609" s="6" t="s">
        <v>504</v>
      </c>
      <c r="C2609" s="6" t="s">
        <v>43</v>
      </c>
      <c r="D2609" s="6" t="s">
        <v>6187</v>
      </c>
      <c r="E2609" s="6" t="s">
        <v>420</v>
      </c>
      <c r="F2609" s="6" t="s">
        <v>40</v>
      </c>
      <c r="G2609" s="7">
        <v>0.06</v>
      </c>
      <c r="H2609" s="6" t="s">
        <v>701</v>
      </c>
      <c r="I2609" s="6" t="s">
        <v>20</v>
      </c>
      <c r="J2609" s="6">
        <v>2015.0</v>
      </c>
      <c r="K2609" s="10">
        <v>46115.0</v>
      </c>
      <c r="L2609" s="6">
        <v>3.0</v>
      </c>
      <c r="M2609" s="8">
        <f t="shared" si="3"/>
        <v>0.18</v>
      </c>
      <c r="P2609" s="9"/>
    </row>
    <row r="2610">
      <c r="A2610" s="6" t="s">
        <v>6188</v>
      </c>
      <c r="B2610" s="6" t="s">
        <v>4004</v>
      </c>
      <c r="C2610" s="6" t="s">
        <v>15</v>
      </c>
      <c r="D2610" s="6" t="s">
        <v>6189</v>
      </c>
      <c r="E2610" s="6" t="s">
        <v>1568</v>
      </c>
      <c r="F2610" s="6" t="s">
        <v>1335</v>
      </c>
      <c r="G2610" s="7">
        <v>0.2</v>
      </c>
      <c r="H2610" s="6" t="s">
        <v>6190</v>
      </c>
      <c r="I2610" s="6" t="s">
        <v>20</v>
      </c>
      <c r="J2610" s="6">
        <v>2025.0</v>
      </c>
      <c r="K2610" s="10">
        <v>46117.0</v>
      </c>
      <c r="L2610" s="6">
        <v>1.0</v>
      </c>
      <c r="M2610" s="8">
        <f t="shared" si="3"/>
        <v>0.2</v>
      </c>
      <c r="P2610" s="9"/>
    </row>
    <row r="2611">
      <c r="A2611" s="6" t="s">
        <v>6191</v>
      </c>
      <c r="B2611" s="6" t="s">
        <v>6192</v>
      </c>
      <c r="C2611" s="6" t="s">
        <v>43</v>
      </c>
      <c r="D2611" s="6" t="s">
        <v>6193</v>
      </c>
      <c r="E2611" s="6" t="s">
        <v>76</v>
      </c>
      <c r="F2611" s="6" t="s">
        <v>77</v>
      </c>
      <c r="G2611" s="7">
        <v>0.08</v>
      </c>
      <c r="H2611" s="6" t="s">
        <v>88</v>
      </c>
      <c r="I2611" s="6" t="s">
        <v>20</v>
      </c>
      <c r="J2611" s="6">
        <v>2024.0</v>
      </c>
      <c r="K2611" s="10">
        <v>46082.0</v>
      </c>
      <c r="L2611" s="6">
        <v>1.0</v>
      </c>
      <c r="M2611" s="8">
        <f t="shared" si="3"/>
        <v>0.08</v>
      </c>
      <c r="P2611" s="9"/>
    </row>
    <row r="2612">
      <c r="A2612" s="6" t="s">
        <v>6194</v>
      </c>
      <c r="B2612" s="6" t="s">
        <v>4324</v>
      </c>
      <c r="C2612" s="6" t="s">
        <v>377</v>
      </c>
      <c r="D2612" s="6" t="s">
        <v>6195</v>
      </c>
      <c r="E2612" s="6" t="s">
        <v>117</v>
      </c>
      <c r="F2612" s="6" t="s">
        <v>2232</v>
      </c>
      <c r="G2612" s="7">
        <v>0.03</v>
      </c>
      <c r="H2612" s="6" t="s">
        <v>895</v>
      </c>
      <c r="I2612" s="6" t="s">
        <v>20</v>
      </c>
      <c r="J2612" s="6">
        <v>2018.0</v>
      </c>
      <c r="K2612" s="10">
        <v>46054.0</v>
      </c>
      <c r="L2612" s="6">
        <v>4.0</v>
      </c>
      <c r="M2612" s="8">
        <f t="shared" si="3"/>
        <v>0.12</v>
      </c>
      <c r="P2612" s="9"/>
    </row>
    <row r="2613">
      <c r="A2613" s="6" t="s">
        <v>6196</v>
      </c>
      <c r="B2613" s="6" t="s">
        <v>2368</v>
      </c>
      <c r="C2613" s="6" t="s">
        <v>43</v>
      </c>
      <c r="D2613" s="6" t="s">
        <v>6197</v>
      </c>
      <c r="E2613" s="6" t="s">
        <v>117</v>
      </c>
      <c r="F2613" s="6" t="s">
        <v>77</v>
      </c>
      <c r="G2613" s="7">
        <v>0.04</v>
      </c>
      <c r="H2613" s="6" t="s">
        <v>266</v>
      </c>
      <c r="I2613" s="6" t="s">
        <v>20</v>
      </c>
      <c r="J2613" s="6">
        <v>2025.0</v>
      </c>
      <c r="K2613" s="10">
        <v>46054.0</v>
      </c>
      <c r="L2613" s="6">
        <v>1.0</v>
      </c>
      <c r="M2613" s="8">
        <f t="shared" si="3"/>
        <v>0.04</v>
      </c>
      <c r="P2613" s="9"/>
    </row>
    <row r="2614">
      <c r="A2614" s="6" t="s">
        <v>6198</v>
      </c>
      <c r="B2614" s="6" t="s">
        <v>3406</v>
      </c>
      <c r="C2614" s="6" t="s">
        <v>43</v>
      </c>
      <c r="D2614" s="6" t="s">
        <v>6199</v>
      </c>
      <c r="E2614" s="6" t="s">
        <v>140</v>
      </c>
      <c r="F2614" s="6" t="s">
        <v>87</v>
      </c>
      <c r="G2614" s="7">
        <v>0.06</v>
      </c>
      <c r="H2614" s="6" t="s">
        <v>363</v>
      </c>
      <c r="I2614" s="6" t="s">
        <v>20</v>
      </c>
      <c r="J2614" s="6">
        <v>2024.0</v>
      </c>
      <c r="K2614" s="10">
        <v>46023.0</v>
      </c>
      <c r="L2614" s="6">
        <v>1.0</v>
      </c>
      <c r="M2614" s="8">
        <f t="shared" si="3"/>
        <v>0.06</v>
      </c>
      <c r="P2614" s="9"/>
    </row>
    <row r="2615">
      <c r="A2615" s="6" t="s">
        <v>6200</v>
      </c>
      <c r="B2615" s="6" t="s">
        <v>6201</v>
      </c>
      <c r="C2615" s="6" t="s">
        <v>43</v>
      </c>
      <c r="D2615" s="6" t="s">
        <v>6202</v>
      </c>
      <c r="E2615" s="6" t="s">
        <v>179</v>
      </c>
      <c r="F2615" s="6" t="s">
        <v>112</v>
      </c>
      <c r="G2615" s="7">
        <v>0.25</v>
      </c>
      <c r="H2615" s="7" t="s">
        <v>431</v>
      </c>
      <c r="I2615" s="6" t="s">
        <v>20</v>
      </c>
      <c r="J2615" s="6">
        <v>2019.0</v>
      </c>
      <c r="K2615" s="6" t="s">
        <v>1924</v>
      </c>
      <c r="L2615" s="6">
        <v>1.0</v>
      </c>
      <c r="M2615" s="8">
        <f t="shared" si="3"/>
        <v>0.25</v>
      </c>
      <c r="P2615" s="9"/>
    </row>
    <row r="2616">
      <c r="A2616" s="6" t="s">
        <v>6203</v>
      </c>
      <c r="B2616" s="6" t="s">
        <v>3168</v>
      </c>
      <c r="C2616" s="6" t="s">
        <v>15</v>
      </c>
      <c r="D2616" s="6" t="s">
        <v>6204</v>
      </c>
      <c r="E2616" s="6" t="s">
        <v>2721</v>
      </c>
      <c r="F2616" s="6" t="s">
        <v>18</v>
      </c>
      <c r="G2616" s="7">
        <v>0.25</v>
      </c>
      <c r="H2616" s="6" t="s">
        <v>19</v>
      </c>
      <c r="I2616" s="6" t="s">
        <v>20</v>
      </c>
      <c r="J2616" s="6">
        <v>2023.0</v>
      </c>
      <c r="K2616" s="10">
        <v>46116.0</v>
      </c>
      <c r="L2616" s="6">
        <v>1.0</v>
      </c>
      <c r="M2616" s="8">
        <f t="shared" si="3"/>
        <v>0.25</v>
      </c>
      <c r="P2616" s="9"/>
    </row>
    <row r="2617">
      <c r="A2617" s="6" t="s">
        <v>6205</v>
      </c>
      <c r="B2617" s="6" t="s">
        <v>6206</v>
      </c>
      <c r="C2617" s="6" t="s">
        <v>43</v>
      </c>
      <c r="D2617" s="6" t="s">
        <v>6207</v>
      </c>
      <c r="E2617" s="6" t="s">
        <v>164</v>
      </c>
      <c r="F2617" s="6" t="s">
        <v>112</v>
      </c>
      <c r="G2617" s="7">
        <v>0.03</v>
      </c>
      <c r="H2617" s="6" t="s">
        <v>249</v>
      </c>
      <c r="I2617" s="6" t="s">
        <v>20</v>
      </c>
      <c r="J2617" s="6">
        <v>2014.0</v>
      </c>
      <c r="K2617" s="10">
        <v>46023.0</v>
      </c>
      <c r="L2617" s="6">
        <v>4.0</v>
      </c>
      <c r="M2617" s="8">
        <f t="shared" si="3"/>
        <v>0.12</v>
      </c>
      <c r="P2617" s="9"/>
    </row>
    <row r="2618">
      <c r="A2618" s="6" t="s">
        <v>6208</v>
      </c>
      <c r="B2618" s="6" t="s">
        <v>494</v>
      </c>
      <c r="C2618" s="6" t="s">
        <v>43</v>
      </c>
      <c r="D2618" s="6" t="s">
        <v>6209</v>
      </c>
      <c r="E2618" s="6" t="s">
        <v>329</v>
      </c>
      <c r="F2618" s="6" t="s">
        <v>112</v>
      </c>
      <c r="G2618" s="7">
        <v>0.03</v>
      </c>
      <c r="H2618" s="6" t="s">
        <v>3781</v>
      </c>
      <c r="I2618" s="6" t="s">
        <v>20</v>
      </c>
      <c r="J2618" s="6">
        <v>2008.0</v>
      </c>
      <c r="L2618" s="6">
        <v>1.0</v>
      </c>
      <c r="M2618" s="8">
        <f t="shared" si="3"/>
        <v>0.03</v>
      </c>
      <c r="P2618" s="9"/>
    </row>
    <row r="2619">
      <c r="A2619" s="6" t="s">
        <v>6210</v>
      </c>
      <c r="B2619" s="6" t="s">
        <v>1517</v>
      </c>
      <c r="C2619" s="6" t="s">
        <v>43</v>
      </c>
      <c r="E2619" s="6" t="s">
        <v>125</v>
      </c>
      <c r="F2619" s="6" t="s">
        <v>40</v>
      </c>
      <c r="G2619" s="7">
        <v>0.8</v>
      </c>
      <c r="H2619" s="6" t="s">
        <v>1833</v>
      </c>
      <c r="I2619" s="6" t="s">
        <v>45</v>
      </c>
      <c r="J2619" s="6">
        <v>2018.0</v>
      </c>
      <c r="K2619" s="10">
        <v>46024.0</v>
      </c>
      <c r="L2619" s="6">
        <v>1.0</v>
      </c>
      <c r="M2619" s="8">
        <f t="shared" si="3"/>
        <v>0.8</v>
      </c>
      <c r="P2619" s="9"/>
    </row>
    <row r="2620">
      <c r="A2620" s="6" t="s">
        <v>6211</v>
      </c>
      <c r="B2620" s="6" t="s">
        <v>6212</v>
      </c>
      <c r="C2620" s="6" t="s">
        <v>30</v>
      </c>
      <c r="D2620" s="6" t="s">
        <v>6213</v>
      </c>
      <c r="E2620" s="6" t="s">
        <v>82</v>
      </c>
      <c r="F2620" s="6" t="s">
        <v>77</v>
      </c>
      <c r="G2620" s="7">
        <v>0.9</v>
      </c>
      <c r="H2620" s="6" t="s">
        <v>136</v>
      </c>
      <c r="I2620" s="6" t="s">
        <v>20</v>
      </c>
      <c r="J2620" s="6">
        <v>2026.0</v>
      </c>
      <c r="K2620" s="10">
        <v>46116.0</v>
      </c>
      <c r="L2620" s="6">
        <v>1.0</v>
      </c>
      <c r="M2620" s="8">
        <f t="shared" si="3"/>
        <v>0.9</v>
      </c>
      <c r="P2620" s="9"/>
    </row>
    <row r="2621">
      <c r="A2621" s="6" t="s">
        <v>6214</v>
      </c>
      <c r="B2621" s="6" t="s">
        <v>138</v>
      </c>
      <c r="C2621" s="6" t="s">
        <v>37</v>
      </c>
      <c r="D2621" s="6" t="s">
        <v>6215</v>
      </c>
      <c r="E2621" s="6" t="s">
        <v>164</v>
      </c>
      <c r="F2621" s="6" t="s">
        <v>112</v>
      </c>
      <c r="G2621" s="7">
        <v>0.1</v>
      </c>
      <c r="H2621" s="6" t="s">
        <v>136</v>
      </c>
      <c r="I2621" s="6" t="s">
        <v>20</v>
      </c>
      <c r="J2621" s="6">
        <v>2026.0</v>
      </c>
      <c r="L2621" s="6">
        <v>2.0</v>
      </c>
      <c r="M2621" s="8">
        <f t="shared" si="3"/>
        <v>0.2</v>
      </c>
      <c r="P2621" s="9"/>
    </row>
    <row r="2622">
      <c r="A2622" s="6" t="s">
        <v>6216</v>
      </c>
      <c r="B2622" s="6" t="s">
        <v>74</v>
      </c>
      <c r="C2622" s="6" t="s">
        <v>43</v>
      </c>
      <c r="D2622" s="6" t="s">
        <v>6217</v>
      </c>
      <c r="E2622" s="6" t="s">
        <v>190</v>
      </c>
      <c r="F2622" s="6" t="s">
        <v>18</v>
      </c>
      <c r="G2622" s="7">
        <v>0.04</v>
      </c>
      <c r="H2622" s="6" t="s">
        <v>1148</v>
      </c>
      <c r="I2622" s="6" t="s">
        <v>20</v>
      </c>
      <c r="J2622" s="6">
        <v>2012.0</v>
      </c>
      <c r="L2622" s="6">
        <v>2.0</v>
      </c>
      <c r="M2622" s="8">
        <f t="shared" si="3"/>
        <v>0.08</v>
      </c>
      <c r="P2622" s="9"/>
    </row>
    <row r="2623">
      <c r="A2623" s="6" t="s">
        <v>6218</v>
      </c>
      <c r="B2623" s="6" t="s">
        <v>138</v>
      </c>
      <c r="C2623" s="6" t="s">
        <v>43</v>
      </c>
      <c r="D2623" s="6" t="s">
        <v>6219</v>
      </c>
      <c r="E2623" s="6" t="s">
        <v>76</v>
      </c>
      <c r="F2623" s="6" t="s">
        <v>77</v>
      </c>
      <c r="G2623" s="7">
        <v>0.18</v>
      </c>
      <c r="H2623" s="6" t="s">
        <v>746</v>
      </c>
      <c r="I2623" s="6" t="s">
        <v>20</v>
      </c>
      <c r="J2623" s="6">
        <v>2024.0</v>
      </c>
      <c r="L2623" s="6">
        <v>2.0</v>
      </c>
      <c r="M2623" s="8">
        <f t="shared" si="3"/>
        <v>0.36</v>
      </c>
      <c r="P2623" s="9"/>
    </row>
    <row r="2624">
      <c r="A2624" s="6" t="s">
        <v>6220</v>
      </c>
      <c r="B2624" s="6" t="s">
        <v>477</v>
      </c>
      <c r="C2624" s="6" t="s">
        <v>37</v>
      </c>
      <c r="D2624" s="6" t="s">
        <v>6221</v>
      </c>
      <c r="E2624" s="6" t="s">
        <v>579</v>
      </c>
      <c r="F2624" s="6" t="s">
        <v>112</v>
      </c>
      <c r="G2624" s="7">
        <v>0.1</v>
      </c>
      <c r="H2624" s="6" t="s">
        <v>89</v>
      </c>
      <c r="I2624" s="6" t="s">
        <v>20</v>
      </c>
      <c r="J2624" s="6">
        <v>2021.0</v>
      </c>
      <c r="K2624" s="10">
        <v>46085.0</v>
      </c>
      <c r="L2624" s="6">
        <v>1.0</v>
      </c>
      <c r="M2624" s="8">
        <f t="shared" si="3"/>
        <v>0.1</v>
      </c>
      <c r="P2624" s="9"/>
    </row>
    <row r="2625">
      <c r="A2625" s="6" t="s">
        <v>6222</v>
      </c>
      <c r="B2625" s="6" t="s">
        <v>462</v>
      </c>
      <c r="C2625" s="6" t="s">
        <v>43</v>
      </c>
      <c r="D2625" s="6" t="s">
        <v>6223</v>
      </c>
      <c r="E2625" s="6" t="s">
        <v>164</v>
      </c>
      <c r="F2625" s="6" t="s">
        <v>112</v>
      </c>
      <c r="G2625" s="7">
        <v>0.05</v>
      </c>
      <c r="H2625" s="6" t="s">
        <v>475</v>
      </c>
      <c r="I2625" s="6" t="s">
        <v>20</v>
      </c>
      <c r="J2625" s="6">
        <v>2024.0</v>
      </c>
      <c r="L2625" s="6">
        <v>1.0</v>
      </c>
      <c r="M2625" s="8">
        <f t="shared" si="3"/>
        <v>0.05</v>
      </c>
      <c r="P2625" s="9"/>
    </row>
    <row r="2626">
      <c r="A2626" s="6" t="s">
        <v>6224</v>
      </c>
      <c r="B2626" s="6" t="s">
        <v>6225</v>
      </c>
      <c r="C2626" s="6" t="s">
        <v>156</v>
      </c>
      <c r="D2626" s="6" t="s">
        <v>6226</v>
      </c>
      <c r="E2626" s="6" t="s">
        <v>2992</v>
      </c>
      <c r="F2626" s="6" t="s">
        <v>112</v>
      </c>
      <c r="G2626" s="7">
        <v>2.85</v>
      </c>
      <c r="H2626" s="6" t="s">
        <v>153</v>
      </c>
      <c r="I2626" s="6" t="s">
        <v>20</v>
      </c>
      <c r="J2626" s="6">
        <v>2025.0</v>
      </c>
      <c r="K2626" s="10">
        <v>46084.0</v>
      </c>
      <c r="L2626" s="6">
        <v>1.0</v>
      </c>
      <c r="M2626" s="8">
        <f t="shared" si="3"/>
        <v>2.85</v>
      </c>
      <c r="P2626" s="9"/>
    </row>
    <row r="2627">
      <c r="A2627" s="6" t="s">
        <v>6227</v>
      </c>
      <c r="B2627" s="6" t="s">
        <v>3820</v>
      </c>
      <c r="C2627" s="6" t="s">
        <v>37</v>
      </c>
      <c r="D2627" s="6" t="s">
        <v>6228</v>
      </c>
      <c r="E2627" s="6" t="s">
        <v>1592</v>
      </c>
      <c r="F2627" s="6" t="s">
        <v>636</v>
      </c>
      <c r="G2627" s="7">
        <v>0.1</v>
      </c>
      <c r="H2627" s="6" t="s">
        <v>270</v>
      </c>
      <c r="I2627" s="6" t="s">
        <v>20</v>
      </c>
      <c r="J2627" s="6">
        <v>2022.0</v>
      </c>
      <c r="K2627" s="10">
        <v>46146.0</v>
      </c>
      <c r="L2627" s="6">
        <v>1.0</v>
      </c>
      <c r="M2627" s="8">
        <f t="shared" si="3"/>
        <v>0.1</v>
      </c>
      <c r="P2627" s="9"/>
    </row>
    <row r="2628">
      <c r="A2628" s="6" t="s">
        <v>6229</v>
      </c>
      <c r="B2628" s="6" t="s">
        <v>162</v>
      </c>
      <c r="C2628" s="6" t="s">
        <v>43</v>
      </c>
      <c r="D2628" s="6" t="s">
        <v>6230</v>
      </c>
      <c r="E2628" s="6" t="s">
        <v>329</v>
      </c>
      <c r="F2628" s="6" t="s">
        <v>112</v>
      </c>
      <c r="G2628" s="7">
        <v>0.25</v>
      </c>
      <c r="H2628" s="6" t="s">
        <v>428</v>
      </c>
      <c r="I2628" s="6" t="s">
        <v>20</v>
      </c>
      <c r="J2628" s="6">
        <v>2022.0</v>
      </c>
      <c r="L2628" s="6">
        <v>1.0</v>
      </c>
      <c r="M2628" s="8">
        <f t="shared" si="3"/>
        <v>0.25</v>
      </c>
      <c r="P2628" s="9"/>
    </row>
    <row r="2629">
      <c r="A2629" s="6" t="s">
        <v>6231</v>
      </c>
      <c r="B2629" s="6" t="s">
        <v>4642</v>
      </c>
      <c r="C2629" s="6" t="s">
        <v>377</v>
      </c>
      <c r="D2629" s="6" t="s">
        <v>6232</v>
      </c>
      <c r="E2629" s="6" t="s">
        <v>76</v>
      </c>
      <c r="F2629" s="6" t="s">
        <v>77</v>
      </c>
      <c r="G2629" s="7">
        <v>0.1</v>
      </c>
      <c r="H2629" s="6" t="s">
        <v>471</v>
      </c>
      <c r="I2629" s="6" t="s">
        <v>20</v>
      </c>
      <c r="J2629" s="6">
        <v>2026.0</v>
      </c>
      <c r="K2629" s="10">
        <v>46055.0</v>
      </c>
      <c r="L2629" s="6">
        <v>1.0</v>
      </c>
      <c r="M2629" s="8">
        <f t="shared" si="3"/>
        <v>0.1</v>
      </c>
      <c r="P2629" s="9"/>
    </row>
    <row r="2630">
      <c r="A2630" s="6" t="s">
        <v>6233</v>
      </c>
      <c r="B2630" s="6" t="s">
        <v>138</v>
      </c>
      <c r="C2630" s="6" t="s">
        <v>37</v>
      </c>
      <c r="D2630" s="6" t="s">
        <v>6234</v>
      </c>
      <c r="E2630" s="6" t="s">
        <v>420</v>
      </c>
      <c r="F2630" s="6" t="s">
        <v>40</v>
      </c>
      <c r="G2630" s="7">
        <v>0.1</v>
      </c>
      <c r="H2630" s="6" t="s">
        <v>206</v>
      </c>
      <c r="I2630" s="6" t="s">
        <v>20</v>
      </c>
      <c r="J2630" s="6">
        <v>1996.0</v>
      </c>
      <c r="L2630" s="6">
        <v>1.0</v>
      </c>
      <c r="M2630" s="8">
        <f t="shared" si="3"/>
        <v>0.1</v>
      </c>
      <c r="P2630" s="9"/>
    </row>
    <row r="2631">
      <c r="A2631" s="6" t="s">
        <v>6235</v>
      </c>
      <c r="B2631" s="6" t="s">
        <v>162</v>
      </c>
      <c r="C2631" s="6" t="s">
        <v>43</v>
      </c>
      <c r="D2631" s="6" t="s">
        <v>6236</v>
      </c>
      <c r="E2631" s="6" t="s">
        <v>2772</v>
      </c>
      <c r="F2631" s="6" t="s">
        <v>536</v>
      </c>
      <c r="G2631" s="7">
        <v>0.15</v>
      </c>
      <c r="H2631" s="6" t="s">
        <v>1048</v>
      </c>
      <c r="I2631" s="6" t="s">
        <v>20</v>
      </c>
      <c r="J2631" s="6">
        <v>2008.0</v>
      </c>
      <c r="L2631" s="6">
        <v>1.0</v>
      </c>
      <c r="M2631" s="8">
        <f t="shared" si="3"/>
        <v>0.15</v>
      </c>
      <c r="P2631" s="9"/>
    </row>
    <row r="2632">
      <c r="A2632" s="6" t="s">
        <v>6237</v>
      </c>
      <c r="B2632" s="6" t="s">
        <v>2192</v>
      </c>
      <c r="C2632" s="6" t="s">
        <v>43</v>
      </c>
      <c r="E2632" s="6" t="s">
        <v>176</v>
      </c>
      <c r="F2632" s="6" t="s">
        <v>77</v>
      </c>
      <c r="G2632" s="7">
        <v>0.09</v>
      </c>
      <c r="H2632" s="6" t="s">
        <v>83</v>
      </c>
      <c r="I2632" s="6" t="s">
        <v>20</v>
      </c>
      <c r="J2632" s="6">
        <v>1995.0</v>
      </c>
      <c r="K2632" s="10">
        <v>46055.0</v>
      </c>
      <c r="L2632" s="6">
        <v>6.0</v>
      </c>
      <c r="M2632" s="8">
        <f t="shared" si="3"/>
        <v>0.54</v>
      </c>
      <c r="P2632" s="9"/>
    </row>
    <row r="2633">
      <c r="A2633" s="6" t="s">
        <v>6237</v>
      </c>
      <c r="B2633" s="6" t="s">
        <v>2192</v>
      </c>
      <c r="C2633" s="6" t="s">
        <v>43</v>
      </c>
      <c r="E2633" s="6" t="s">
        <v>176</v>
      </c>
      <c r="F2633" s="6" t="s">
        <v>77</v>
      </c>
      <c r="G2633" s="7">
        <v>0.22</v>
      </c>
      <c r="H2633" s="6" t="s">
        <v>453</v>
      </c>
      <c r="I2633" s="6" t="s">
        <v>20</v>
      </c>
      <c r="J2633" s="6">
        <v>1995.0</v>
      </c>
      <c r="K2633" s="10">
        <v>46055.0</v>
      </c>
      <c r="L2633" s="6">
        <v>2.0</v>
      </c>
      <c r="M2633" s="8">
        <f t="shared" si="3"/>
        <v>0.44</v>
      </c>
      <c r="P2633" s="9"/>
    </row>
    <row r="2634">
      <c r="A2634" s="6" t="s">
        <v>6237</v>
      </c>
      <c r="B2634" s="6" t="s">
        <v>2192</v>
      </c>
      <c r="C2634" s="6" t="s">
        <v>43</v>
      </c>
      <c r="E2634" s="6" t="s">
        <v>176</v>
      </c>
      <c r="F2634" s="6" t="s">
        <v>77</v>
      </c>
      <c r="G2634" s="7">
        <v>0.09</v>
      </c>
      <c r="H2634" s="6" t="s">
        <v>6238</v>
      </c>
      <c r="I2634" s="6" t="s">
        <v>45</v>
      </c>
      <c r="J2634" s="6">
        <v>2001.0</v>
      </c>
      <c r="K2634" s="10">
        <v>46055.0</v>
      </c>
      <c r="L2634" s="6">
        <v>1.0</v>
      </c>
      <c r="M2634" s="8">
        <f t="shared" si="3"/>
        <v>0.09</v>
      </c>
      <c r="P2634" s="9"/>
    </row>
    <row r="2635">
      <c r="A2635" s="6" t="s">
        <v>6239</v>
      </c>
      <c r="B2635" s="6" t="s">
        <v>396</v>
      </c>
      <c r="C2635" s="6" t="s">
        <v>43</v>
      </c>
      <c r="D2635" s="6" t="s">
        <v>6240</v>
      </c>
      <c r="E2635" s="6" t="s">
        <v>86</v>
      </c>
      <c r="F2635" s="6" t="s">
        <v>87</v>
      </c>
      <c r="G2635" s="7">
        <v>0.05</v>
      </c>
      <c r="H2635" s="6" t="s">
        <v>165</v>
      </c>
      <c r="I2635" s="6" t="s">
        <v>20</v>
      </c>
      <c r="J2635" s="6">
        <v>2020.0</v>
      </c>
      <c r="L2635" s="6">
        <v>1.0</v>
      </c>
      <c r="M2635" s="8">
        <f t="shared" si="3"/>
        <v>0.05</v>
      </c>
      <c r="P2635" s="9"/>
    </row>
    <row r="2636">
      <c r="A2636" s="6" t="s">
        <v>6241</v>
      </c>
      <c r="B2636" s="6" t="s">
        <v>625</v>
      </c>
      <c r="C2636" s="6" t="s">
        <v>37</v>
      </c>
      <c r="D2636" s="6" t="s">
        <v>6242</v>
      </c>
      <c r="E2636" s="6" t="s">
        <v>248</v>
      </c>
      <c r="F2636" s="6" t="s">
        <v>77</v>
      </c>
      <c r="G2636" s="7">
        <v>0.06</v>
      </c>
      <c r="H2636" s="6" t="s">
        <v>83</v>
      </c>
      <c r="I2636" s="6" t="s">
        <v>20</v>
      </c>
      <c r="J2636" s="6">
        <v>1995.0</v>
      </c>
      <c r="K2636" s="10">
        <v>46055.0</v>
      </c>
      <c r="L2636" s="6">
        <v>2.0</v>
      </c>
      <c r="M2636" s="8">
        <f t="shared" si="3"/>
        <v>0.12</v>
      </c>
      <c r="P2636" s="9"/>
    </row>
    <row r="2637">
      <c r="A2637" s="6" t="s">
        <v>6241</v>
      </c>
      <c r="B2637" s="6" t="s">
        <v>625</v>
      </c>
      <c r="C2637" s="6" t="s">
        <v>37</v>
      </c>
      <c r="D2637" s="6" t="s">
        <v>6242</v>
      </c>
      <c r="E2637" s="6" t="s">
        <v>248</v>
      </c>
      <c r="F2637" s="6" t="s">
        <v>77</v>
      </c>
      <c r="G2637" s="7">
        <v>0.49</v>
      </c>
      <c r="H2637" s="6" t="s">
        <v>1064</v>
      </c>
      <c r="I2637" s="6" t="s">
        <v>20</v>
      </c>
      <c r="J2637" s="6">
        <v>1995.0</v>
      </c>
      <c r="K2637" s="10">
        <v>46055.0</v>
      </c>
      <c r="L2637" s="6">
        <v>3.0</v>
      </c>
      <c r="M2637" s="8">
        <f t="shared" si="3"/>
        <v>1.47</v>
      </c>
      <c r="P2637" s="9"/>
    </row>
    <row r="2638">
      <c r="A2638" s="6" t="s">
        <v>6243</v>
      </c>
      <c r="B2638" s="6" t="s">
        <v>685</v>
      </c>
      <c r="C2638" s="6" t="s">
        <v>43</v>
      </c>
      <c r="D2638" s="6" t="s">
        <v>6244</v>
      </c>
      <c r="E2638" s="6" t="s">
        <v>57</v>
      </c>
      <c r="F2638" s="6" t="s">
        <v>40</v>
      </c>
      <c r="G2638" s="7">
        <v>0.05</v>
      </c>
      <c r="H2638" s="6" t="s">
        <v>496</v>
      </c>
      <c r="I2638" s="6" t="s">
        <v>20</v>
      </c>
      <c r="J2638" s="6">
        <v>2013.0</v>
      </c>
      <c r="K2638" s="10">
        <v>46113.0</v>
      </c>
      <c r="L2638" s="6">
        <v>1.0</v>
      </c>
      <c r="M2638" s="8">
        <f t="shared" si="3"/>
        <v>0.05</v>
      </c>
      <c r="P2638" s="9"/>
    </row>
    <row r="2639">
      <c r="A2639" s="6" t="s">
        <v>6245</v>
      </c>
      <c r="B2639" s="6" t="s">
        <v>808</v>
      </c>
      <c r="C2639" s="6" t="s">
        <v>183</v>
      </c>
      <c r="D2639" s="6" t="s">
        <v>6246</v>
      </c>
      <c r="F2639" s="6" t="s">
        <v>186</v>
      </c>
      <c r="G2639" s="7">
        <v>0.18</v>
      </c>
      <c r="H2639" s="6" t="s">
        <v>206</v>
      </c>
      <c r="I2639" s="6" t="s">
        <v>20</v>
      </c>
      <c r="J2639" s="6">
        <v>1996.0</v>
      </c>
      <c r="L2639" s="6">
        <v>1.0</v>
      </c>
      <c r="M2639" s="8">
        <f t="shared" si="3"/>
        <v>0.18</v>
      </c>
      <c r="P2639" s="9"/>
    </row>
    <row r="2640">
      <c r="A2640" s="6" t="s">
        <v>6247</v>
      </c>
      <c r="B2640" s="6" t="s">
        <v>1651</v>
      </c>
      <c r="C2640" s="6" t="s">
        <v>43</v>
      </c>
      <c r="D2640" s="6" t="s">
        <v>6248</v>
      </c>
      <c r="E2640" s="6" t="s">
        <v>76</v>
      </c>
      <c r="F2640" s="6" t="s">
        <v>77</v>
      </c>
      <c r="G2640" s="7">
        <v>0.04</v>
      </c>
      <c r="H2640" s="6" t="s">
        <v>651</v>
      </c>
      <c r="I2640" s="6" t="s">
        <v>20</v>
      </c>
      <c r="J2640" s="6">
        <v>2022.0</v>
      </c>
      <c r="L2640" s="6">
        <v>1.0</v>
      </c>
      <c r="M2640" s="8">
        <f t="shared" si="3"/>
        <v>0.04</v>
      </c>
      <c r="P2640" s="9"/>
    </row>
    <row r="2641">
      <c r="A2641" s="6" t="s">
        <v>6249</v>
      </c>
      <c r="B2641" s="6" t="s">
        <v>6250</v>
      </c>
      <c r="C2641" s="6" t="s">
        <v>15</v>
      </c>
      <c r="D2641" s="6" t="s">
        <v>6251</v>
      </c>
      <c r="E2641" s="6" t="s">
        <v>1417</v>
      </c>
      <c r="F2641" s="6" t="s">
        <v>665</v>
      </c>
      <c r="G2641" s="7">
        <v>0.2</v>
      </c>
      <c r="H2641" s="6" t="s">
        <v>617</v>
      </c>
      <c r="I2641" s="6" t="s">
        <v>20</v>
      </c>
      <c r="J2641" s="6">
        <v>2026.0</v>
      </c>
      <c r="K2641" s="10">
        <v>46055.0</v>
      </c>
      <c r="L2641" s="6">
        <v>1.0</v>
      </c>
      <c r="M2641" s="8">
        <f t="shared" si="3"/>
        <v>0.2</v>
      </c>
      <c r="P2641" s="9"/>
    </row>
    <row r="2642">
      <c r="A2642" s="6" t="s">
        <v>6252</v>
      </c>
      <c r="B2642" s="6" t="s">
        <v>74</v>
      </c>
      <c r="C2642" s="6" t="s">
        <v>43</v>
      </c>
      <c r="D2642" s="6" t="s">
        <v>6253</v>
      </c>
      <c r="E2642" s="6" t="s">
        <v>86</v>
      </c>
      <c r="F2642" s="6" t="s">
        <v>87</v>
      </c>
      <c r="G2642" s="7">
        <v>0.06</v>
      </c>
      <c r="H2642" s="6" t="s">
        <v>104</v>
      </c>
      <c r="I2642" s="6" t="s">
        <v>20</v>
      </c>
      <c r="J2642" s="6">
        <v>2019.0</v>
      </c>
      <c r="L2642" s="6">
        <v>1.0</v>
      </c>
      <c r="M2642" s="8">
        <f t="shared" si="3"/>
        <v>0.06</v>
      </c>
      <c r="P2642" s="9"/>
    </row>
    <row r="2643">
      <c r="A2643" s="6" t="s">
        <v>6254</v>
      </c>
      <c r="B2643" s="6" t="s">
        <v>6255</v>
      </c>
      <c r="C2643" s="6" t="s">
        <v>23</v>
      </c>
      <c r="D2643" s="6" t="s">
        <v>6256</v>
      </c>
      <c r="E2643" s="6" t="s">
        <v>659</v>
      </c>
      <c r="F2643" s="6" t="s">
        <v>18</v>
      </c>
      <c r="G2643" s="7">
        <v>0.05</v>
      </c>
      <c r="H2643" s="6" t="s">
        <v>153</v>
      </c>
      <c r="I2643" s="6" t="s">
        <v>20</v>
      </c>
      <c r="J2643" s="6">
        <v>2025.0</v>
      </c>
      <c r="K2643" s="10">
        <v>46113.0</v>
      </c>
      <c r="L2643" s="6">
        <v>5.0</v>
      </c>
      <c r="M2643" s="8">
        <f t="shared" si="3"/>
        <v>0.25</v>
      </c>
      <c r="P2643" s="9"/>
    </row>
    <row r="2644">
      <c r="A2644" s="6" t="s">
        <v>6254</v>
      </c>
      <c r="B2644" s="6" t="s">
        <v>6255</v>
      </c>
      <c r="C2644" s="6" t="s">
        <v>23</v>
      </c>
      <c r="D2644" s="6" t="s">
        <v>6256</v>
      </c>
      <c r="E2644" s="6" t="s">
        <v>659</v>
      </c>
      <c r="F2644" s="6" t="s">
        <v>18</v>
      </c>
      <c r="G2644" s="7">
        <v>0.24</v>
      </c>
      <c r="H2644" s="6" t="s">
        <v>153</v>
      </c>
      <c r="I2644" s="6" t="s">
        <v>45</v>
      </c>
      <c r="J2644" s="6">
        <v>2025.0</v>
      </c>
      <c r="K2644" s="10">
        <v>46113.0</v>
      </c>
      <c r="L2644" s="6">
        <v>1.0</v>
      </c>
      <c r="M2644" s="8">
        <f t="shared" si="3"/>
        <v>0.24</v>
      </c>
      <c r="P2644" s="9"/>
    </row>
    <row r="2645">
      <c r="A2645" s="6" t="s">
        <v>6257</v>
      </c>
      <c r="B2645" s="6" t="s">
        <v>6258</v>
      </c>
      <c r="C2645" s="6" t="s">
        <v>15</v>
      </c>
      <c r="D2645" s="6" t="s">
        <v>6259</v>
      </c>
      <c r="E2645" s="6" t="s">
        <v>1568</v>
      </c>
      <c r="F2645" s="6" t="s">
        <v>87</v>
      </c>
      <c r="G2645" s="7">
        <v>0.09</v>
      </c>
      <c r="H2645" s="6" t="s">
        <v>130</v>
      </c>
      <c r="I2645" s="6" t="s">
        <v>20</v>
      </c>
      <c r="J2645" s="6">
        <v>2014.0</v>
      </c>
      <c r="K2645" s="10">
        <v>46084.0</v>
      </c>
      <c r="L2645" s="6">
        <v>1.0</v>
      </c>
      <c r="M2645" s="8">
        <f t="shared" si="3"/>
        <v>0.09</v>
      </c>
      <c r="P2645" s="9"/>
    </row>
    <row r="2646">
      <c r="A2646" s="6" t="s">
        <v>6260</v>
      </c>
      <c r="B2646" s="6" t="s">
        <v>162</v>
      </c>
      <c r="C2646" s="6" t="s">
        <v>43</v>
      </c>
      <c r="D2646" s="6" t="s">
        <v>6261</v>
      </c>
      <c r="E2646" s="6" t="s">
        <v>329</v>
      </c>
      <c r="F2646" s="6" t="s">
        <v>112</v>
      </c>
      <c r="G2646" s="7">
        <v>0.05</v>
      </c>
      <c r="H2646" s="6" t="s">
        <v>922</v>
      </c>
      <c r="I2646" s="6" t="s">
        <v>20</v>
      </c>
      <c r="J2646" s="6">
        <v>2014.0</v>
      </c>
      <c r="L2646" s="6">
        <v>1.0</v>
      </c>
      <c r="M2646" s="8">
        <f t="shared" si="3"/>
        <v>0.05</v>
      </c>
      <c r="P2646" s="9"/>
    </row>
    <row r="2647">
      <c r="A2647" s="6" t="s">
        <v>6262</v>
      </c>
      <c r="B2647" s="6" t="s">
        <v>219</v>
      </c>
      <c r="C2647" s="6" t="s">
        <v>37</v>
      </c>
      <c r="D2647" s="6" t="s">
        <v>6263</v>
      </c>
      <c r="E2647" s="6" t="s">
        <v>215</v>
      </c>
      <c r="F2647" s="6" t="s">
        <v>26</v>
      </c>
      <c r="G2647" s="7">
        <v>0.06</v>
      </c>
      <c r="H2647" s="6" t="s">
        <v>431</v>
      </c>
      <c r="I2647" s="6" t="s">
        <v>20</v>
      </c>
      <c r="J2647" s="6">
        <v>2019.0</v>
      </c>
      <c r="L2647" s="6">
        <v>1.0</v>
      </c>
      <c r="M2647" s="8">
        <f t="shared" si="3"/>
        <v>0.06</v>
      </c>
      <c r="P2647" s="9"/>
    </row>
    <row r="2648">
      <c r="A2648" s="6" t="s">
        <v>6264</v>
      </c>
      <c r="B2648" s="6" t="s">
        <v>2192</v>
      </c>
      <c r="C2648" s="6" t="s">
        <v>43</v>
      </c>
      <c r="D2648" s="6" t="s">
        <v>6265</v>
      </c>
      <c r="E2648" s="6" t="s">
        <v>107</v>
      </c>
      <c r="F2648" s="6" t="s">
        <v>18</v>
      </c>
      <c r="G2648" s="7">
        <v>0.05</v>
      </c>
      <c r="H2648" s="6" t="s">
        <v>1148</v>
      </c>
      <c r="I2648" s="6" t="s">
        <v>20</v>
      </c>
      <c r="J2648" s="6">
        <v>2012.0</v>
      </c>
      <c r="K2648" s="10">
        <v>46024.0</v>
      </c>
      <c r="L2648" s="6">
        <v>1.0</v>
      </c>
      <c r="M2648" s="8">
        <f t="shared" si="3"/>
        <v>0.05</v>
      </c>
      <c r="P2648" s="9"/>
    </row>
    <row r="2649">
      <c r="A2649" s="6" t="s">
        <v>6266</v>
      </c>
      <c r="B2649" s="6" t="s">
        <v>6267</v>
      </c>
      <c r="C2649" s="6" t="s">
        <v>43</v>
      </c>
      <c r="D2649" s="6" t="s">
        <v>6268</v>
      </c>
      <c r="E2649" s="6" t="s">
        <v>164</v>
      </c>
      <c r="F2649" s="6" t="s">
        <v>112</v>
      </c>
      <c r="G2649" s="7">
        <v>0.05</v>
      </c>
      <c r="H2649" s="6" t="s">
        <v>404</v>
      </c>
      <c r="I2649" s="6" t="s">
        <v>20</v>
      </c>
      <c r="J2649" s="6">
        <v>2020.0</v>
      </c>
      <c r="K2649" s="6" t="s">
        <v>527</v>
      </c>
      <c r="L2649" s="6">
        <v>1.0</v>
      </c>
      <c r="M2649" s="8">
        <f t="shared" si="3"/>
        <v>0.05</v>
      </c>
      <c r="P2649" s="9"/>
    </row>
    <row r="2650">
      <c r="A2650" s="6" t="s">
        <v>6269</v>
      </c>
      <c r="B2650" s="6" t="s">
        <v>6270</v>
      </c>
      <c r="C2650" s="6" t="s">
        <v>37</v>
      </c>
      <c r="D2650" s="6" t="s">
        <v>6271</v>
      </c>
      <c r="E2650" s="6" t="s">
        <v>107</v>
      </c>
      <c r="F2650" s="6" t="s">
        <v>18</v>
      </c>
      <c r="G2650" s="7">
        <v>0.25</v>
      </c>
      <c r="H2650" s="6" t="s">
        <v>228</v>
      </c>
      <c r="I2650" s="6" t="s">
        <v>20</v>
      </c>
      <c r="J2650" s="6">
        <v>2025.0</v>
      </c>
      <c r="K2650" s="10">
        <v>46054.0</v>
      </c>
      <c r="L2650" s="6">
        <v>1.0</v>
      </c>
      <c r="M2650" s="8">
        <f t="shared" si="3"/>
        <v>0.25</v>
      </c>
      <c r="P2650" s="9"/>
    </row>
    <row r="2651">
      <c r="A2651" s="6" t="s">
        <v>6272</v>
      </c>
      <c r="B2651" s="6" t="s">
        <v>146</v>
      </c>
      <c r="C2651" s="6" t="s">
        <v>37</v>
      </c>
      <c r="D2651" s="6" t="s">
        <v>6273</v>
      </c>
      <c r="E2651" s="6" t="s">
        <v>1679</v>
      </c>
      <c r="F2651" s="6" t="s">
        <v>1000</v>
      </c>
      <c r="G2651" s="7">
        <v>0.06</v>
      </c>
      <c r="H2651" s="6" t="s">
        <v>363</v>
      </c>
      <c r="I2651" s="6" t="s">
        <v>20</v>
      </c>
      <c r="J2651" s="6">
        <v>2024.0</v>
      </c>
      <c r="L2651" s="6">
        <v>1.0</v>
      </c>
      <c r="M2651" s="8">
        <f t="shared" si="3"/>
        <v>0.06</v>
      </c>
      <c r="P2651" s="9"/>
    </row>
    <row r="2652">
      <c r="A2652" s="6" t="s">
        <v>6274</v>
      </c>
      <c r="B2652" s="6" t="s">
        <v>146</v>
      </c>
      <c r="C2652" s="6" t="s">
        <v>37</v>
      </c>
      <c r="D2652" s="6" t="s">
        <v>6275</v>
      </c>
      <c r="E2652" s="6" t="s">
        <v>107</v>
      </c>
      <c r="F2652" s="6" t="s">
        <v>18</v>
      </c>
      <c r="G2652" s="7">
        <v>0.1</v>
      </c>
      <c r="H2652" s="6" t="s">
        <v>121</v>
      </c>
      <c r="I2652" s="6" t="s">
        <v>20</v>
      </c>
      <c r="J2652" s="6">
        <v>2021.0</v>
      </c>
      <c r="L2652" s="6">
        <v>1.0</v>
      </c>
      <c r="M2652" s="8">
        <f t="shared" si="3"/>
        <v>0.1</v>
      </c>
      <c r="P2652" s="9"/>
    </row>
    <row r="2653">
      <c r="A2653" s="6" t="s">
        <v>6276</v>
      </c>
      <c r="B2653" s="6" t="s">
        <v>647</v>
      </c>
      <c r="C2653" s="6" t="s">
        <v>37</v>
      </c>
      <c r="D2653" s="6" t="s">
        <v>6277</v>
      </c>
      <c r="E2653" s="6" t="s">
        <v>185</v>
      </c>
      <c r="F2653" s="6" t="s">
        <v>26</v>
      </c>
      <c r="G2653" s="7">
        <v>0.04</v>
      </c>
      <c r="H2653" s="6" t="s">
        <v>734</v>
      </c>
      <c r="I2653" s="6" t="s">
        <v>20</v>
      </c>
      <c r="J2653" s="6">
        <v>2022.0</v>
      </c>
      <c r="K2653" s="10">
        <v>46026.0</v>
      </c>
      <c r="L2653" s="6">
        <v>1.0</v>
      </c>
      <c r="M2653" s="8">
        <f t="shared" si="3"/>
        <v>0.04</v>
      </c>
      <c r="P2653" s="9"/>
    </row>
    <row r="2654">
      <c r="A2654" s="6" t="s">
        <v>6278</v>
      </c>
      <c r="B2654" s="6" t="s">
        <v>3318</v>
      </c>
      <c r="C2654" s="6" t="s">
        <v>377</v>
      </c>
      <c r="D2654" s="6" t="s">
        <v>6279</v>
      </c>
      <c r="E2654" s="6" t="s">
        <v>179</v>
      </c>
      <c r="F2654" s="6" t="s">
        <v>112</v>
      </c>
      <c r="G2654" s="7">
        <v>0.23</v>
      </c>
      <c r="H2654" s="7" t="s">
        <v>460</v>
      </c>
      <c r="I2654" s="6" t="s">
        <v>45</v>
      </c>
      <c r="J2654" s="6">
        <v>2015.0</v>
      </c>
      <c r="K2654" s="10">
        <v>46023.0</v>
      </c>
      <c r="L2654" s="6">
        <v>1.0</v>
      </c>
      <c r="M2654" s="8">
        <f t="shared" si="3"/>
        <v>0.23</v>
      </c>
      <c r="P2654" s="9"/>
    </row>
    <row r="2655">
      <c r="A2655" s="6" t="s">
        <v>6280</v>
      </c>
      <c r="B2655" s="6" t="s">
        <v>1577</v>
      </c>
      <c r="C2655" s="6" t="s">
        <v>30</v>
      </c>
      <c r="D2655" s="6" t="s">
        <v>6281</v>
      </c>
      <c r="F2655" s="6" t="s">
        <v>26</v>
      </c>
      <c r="G2655" s="7">
        <v>0.3</v>
      </c>
      <c r="H2655" s="6" t="s">
        <v>407</v>
      </c>
      <c r="I2655" s="6" t="s">
        <v>20</v>
      </c>
      <c r="J2655" s="6">
        <v>2016.0</v>
      </c>
      <c r="L2655" s="6">
        <v>1.0</v>
      </c>
      <c r="M2655" s="8">
        <f t="shared" si="3"/>
        <v>0.3</v>
      </c>
      <c r="P2655" s="9"/>
    </row>
    <row r="2656">
      <c r="A2656" s="6" t="s">
        <v>6282</v>
      </c>
      <c r="B2656" s="6" t="s">
        <v>440</v>
      </c>
      <c r="C2656" s="6" t="s">
        <v>377</v>
      </c>
      <c r="D2656" s="6" t="s">
        <v>6283</v>
      </c>
      <c r="E2656" s="6" t="s">
        <v>135</v>
      </c>
      <c r="F2656" s="6" t="s">
        <v>697</v>
      </c>
      <c r="G2656" s="7">
        <v>3.45</v>
      </c>
      <c r="H2656" s="6" t="s">
        <v>434</v>
      </c>
      <c r="I2656" s="6" t="s">
        <v>20</v>
      </c>
      <c r="J2656" s="6">
        <v>2000.0</v>
      </c>
      <c r="L2656" s="6">
        <v>1.0</v>
      </c>
      <c r="M2656" s="8">
        <f t="shared" si="3"/>
        <v>3.45</v>
      </c>
      <c r="P2656" s="9"/>
    </row>
    <row r="2657">
      <c r="A2657" s="6" t="s">
        <v>6284</v>
      </c>
      <c r="B2657" s="6" t="s">
        <v>138</v>
      </c>
      <c r="C2657" s="6" t="s">
        <v>418</v>
      </c>
      <c r="D2657" s="6" t="s">
        <v>6285</v>
      </c>
      <c r="E2657" s="6" t="s">
        <v>86</v>
      </c>
      <c r="F2657" s="6" t="s">
        <v>87</v>
      </c>
      <c r="G2657" s="7">
        <v>0.34</v>
      </c>
      <c r="H2657" s="6" t="s">
        <v>471</v>
      </c>
      <c r="I2657" s="6" t="s">
        <v>20</v>
      </c>
      <c r="J2657" s="6">
        <v>2026.0</v>
      </c>
      <c r="L2657" s="6">
        <v>2.0</v>
      </c>
      <c r="M2657" s="8">
        <f t="shared" si="3"/>
        <v>0.68</v>
      </c>
      <c r="P2657" s="9"/>
    </row>
    <row r="2658">
      <c r="A2658" s="6" t="s">
        <v>6286</v>
      </c>
      <c r="B2658" s="6" t="s">
        <v>6287</v>
      </c>
      <c r="C2658" s="6" t="s">
        <v>377</v>
      </c>
      <c r="D2658" s="6" t="s">
        <v>6288</v>
      </c>
      <c r="E2658" s="6" t="s">
        <v>256</v>
      </c>
      <c r="F2658" s="6" t="s">
        <v>87</v>
      </c>
      <c r="G2658" s="7">
        <v>0.05</v>
      </c>
      <c r="H2658" s="6" t="s">
        <v>6289</v>
      </c>
      <c r="I2658" s="6" t="s">
        <v>20</v>
      </c>
      <c r="J2658" s="6">
        <v>1996.0</v>
      </c>
      <c r="K2658" s="10">
        <v>46055.0</v>
      </c>
      <c r="L2658" s="6">
        <v>1.0</v>
      </c>
      <c r="M2658" s="8">
        <f t="shared" si="3"/>
        <v>0.05</v>
      </c>
      <c r="P2658" s="9"/>
    </row>
    <row r="2659">
      <c r="A2659" s="6" t="s">
        <v>6290</v>
      </c>
      <c r="B2659" s="6" t="s">
        <v>74</v>
      </c>
      <c r="C2659" s="6" t="s">
        <v>43</v>
      </c>
      <c r="D2659" s="6" t="s">
        <v>6291</v>
      </c>
      <c r="E2659" s="6" t="s">
        <v>329</v>
      </c>
      <c r="F2659" s="6" t="s">
        <v>112</v>
      </c>
      <c r="G2659" s="7">
        <v>0.13</v>
      </c>
      <c r="H2659" s="6" t="s">
        <v>297</v>
      </c>
      <c r="I2659" s="6" t="s">
        <v>20</v>
      </c>
      <c r="J2659" s="6">
        <v>2022.0</v>
      </c>
      <c r="L2659" s="6">
        <v>1.0</v>
      </c>
      <c r="M2659" s="8">
        <f t="shared" si="3"/>
        <v>0.13</v>
      </c>
      <c r="P2659" s="9"/>
    </row>
    <row r="2660">
      <c r="A2660" s="6" t="s">
        <v>6292</v>
      </c>
      <c r="B2660" s="6" t="s">
        <v>6293</v>
      </c>
      <c r="C2660" s="6" t="s">
        <v>43</v>
      </c>
      <c r="D2660" s="6" t="s">
        <v>5497</v>
      </c>
      <c r="E2660" s="6" t="s">
        <v>179</v>
      </c>
      <c r="F2660" s="6" t="s">
        <v>112</v>
      </c>
      <c r="G2660" s="7">
        <v>0.06</v>
      </c>
      <c r="H2660" s="6" t="s">
        <v>496</v>
      </c>
      <c r="I2660" s="6" t="s">
        <v>20</v>
      </c>
      <c r="J2660" s="6">
        <v>2013.0</v>
      </c>
      <c r="K2660" s="10">
        <v>46023.0</v>
      </c>
      <c r="L2660" s="6">
        <v>1.0</v>
      </c>
      <c r="M2660" s="8">
        <f t="shared" si="3"/>
        <v>0.06</v>
      </c>
      <c r="P2660" s="9"/>
    </row>
    <row r="2661">
      <c r="A2661" s="6" t="s">
        <v>6294</v>
      </c>
      <c r="B2661" s="6" t="s">
        <v>4040</v>
      </c>
      <c r="C2661" s="6" t="s">
        <v>15</v>
      </c>
      <c r="D2661" s="6" t="s">
        <v>6295</v>
      </c>
      <c r="E2661" s="6" t="s">
        <v>158</v>
      </c>
      <c r="F2661" s="6" t="s">
        <v>665</v>
      </c>
      <c r="G2661" s="7">
        <v>0.21</v>
      </c>
      <c r="H2661" s="6" t="s">
        <v>780</v>
      </c>
      <c r="I2661" s="6" t="s">
        <v>20</v>
      </c>
      <c r="J2661" s="6">
        <v>2025.0</v>
      </c>
      <c r="K2661" s="10">
        <v>46083.0</v>
      </c>
      <c r="L2661" s="6">
        <v>1.0</v>
      </c>
      <c r="M2661" s="8">
        <f t="shared" si="3"/>
        <v>0.21</v>
      </c>
      <c r="P2661" s="9"/>
    </row>
    <row r="2662">
      <c r="A2662" s="6" t="s">
        <v>6296</v>
      </c>
      <c r="B2662" s="6" t="s">
        <v>162</v>
      </c>
      <c r="C2662" s="6" t="s">
        <v>37</v>
      </c>
      <c r="D2662" s="6" t="s">
        <v>6297</v>
      </c>
      <c r="E2662" s="6" t="s">
        <v>579</v>
      </c>
      <c r="F2662" s="6" t="s">
        <v>112</v>
      </c>
      <c r="G2662" s="7">
        <v>0.05</v>
      </c>
      <c r="H2662" s="6" t="s">
        <v>922</v>
      </c>
      <c r="I2662" s="6" t="s">
        <v>20</v>
      </c>
      <c r="J2662" s="6">
        <v>2014.0</v>
      </c>
      <c r="L2662" s="6">
        <v>1.0</v>
      </c>
      <c r="M2662" s="8">
        <f t="shared" si="3"/>
        <v>0.05</v>
      </c>
      <c r="N2662" s="6" t="s">
        <v>374</v>
      </c>
      <c r="P2662" s="9"/>
    </row>
    <row r="2663">
      <c r="A2663" s="6" t="s">
        <v>6298</v>
      </c>
      <c r="B2663" s="6" t="s">
        <v>2759</v>
      </c>
      <c r="C2663" s="6" t="s">
        <v>23</v>
      </c>
      <c r="D2663" s="6" t="s">
        <v>6299</v>
      </c>
      <c r="E2663" s="6" t="s">
        <v>282</v>
      </c>
      <c r="F2663" s="6" t="s">
        <v>40</v>
      </c>
      <c r="G2663" s="7">
        <v>0.05</v>
      </c>
      <c r="H2663" s="6" t="s">
        <v>313</v>
      </c>
      <c r="I2663" s="6" t="s">
        <v>20</v>
      </c>
      <c r="J2663" s="6">
        <v>1995.0</v>
      </c>
      <c r="L2663" s="6">
        <v>2.0</v>
      </c>
      <c r="M2663" s="8">
        <f t="shared" si="3"/>
        <v>0.1</v>
      </c>
      <c r="P2663" s="9"/>
    </row>
    <row r="2664">
      <c r="A2664" s="6" t="s">
        <v>6300</v>
      </c>
      <c r="B2664" s="6" t="s">
        <v>254</v>
      </c>
      <c r="C2664" s="6" t="s">
        <v>43</v>
      </c>
      <c r="D2664" s="6" t="s">
        <v>6301</v>
      </c>
      <c r="E2664" s="6" t="s">
        <v>282</v>
      </c>
      <c r="F2664" s="6" t="s">
        <v>40</v>
      </c>
      <c r="G2664" s="7">
        <v>0.05</v>
      </c>
      <c r="H2664" s="6" t="s">
        <v>324</v>
      </c>
      <c r="I2664" s="6" t="s">
        <v>20</v>
      </c>
      <c r="J2664" s="6">
        <v>1995.0</v>
      </c>
      <c r="L2664" s="6">
        <v>2.0</v>
      </c>
      <c r="M2664" s="8">
        <f t="shared" si="3"/>
        <v>0.1</v>
      </c>
      <c r="P2664" s="9"/>
    </row>
    <row r="2665">
      <c r="A2665" s="6" t="s">
        <v>6300</v>
      </c>
      <c r="B2665" s="6" t="s">
        <v>254</v>
      </c>
      <c r="C2665" s="6" t="s">
        <v>43</v>
      </c>
      <c r="D2665" s="6" t="s">
        <v>6301</v>
      </c>
      <c r="E2665" s="6" t="s">
        <v>282</v>
      </c>
      <c r="F2665" s="6" t="s">
        <v>40</v>
      </c>
      <c r="G2665" s="7">
        <v>0.15</v>
      </c>
      <c r="H2665" s="6" t="s">
        <v>316</v>
      </c>
      <c r="I2665" s="6" t="s">
        <v>20</v>
      </c>
      <c r="J2665" s="6">
        <v>1995.0</v>
      </c>
      <c r="L2665" s="6">
        <v>3.0</v>
      </c>
      <c r="M2665" s="8">
        <f t="shared" si="3"/>
        <v>0.45</v>
      </c>
      <c r="P2665" s="9"/>
    </row>
    <row r="2666">
      <c r="A2666" s="6" t="s">
        <v>6302</v>
      </c>
      <c r="B2666" s="6" t="s">
        <v>162</v>
      </c>
      <c r="C2666" s="6" t="s">
        <v>37</v>
      </c>
      <c r="D2666" s="6" t="s">
        <v>6303</v>
      </c>
      <c r="E2666" s="6" t="s">
        <v>256</v>
      </c>
      <c r="F2666" s="6" t="s">
        <v>87</v>
      </c>
      <c r="G2666" s="7">
        <v>0.06</v>
      </c>
      <c r="H2666" s="6" t="s">
        <v>701</v>
      </c>
      <c r="I2666" s="6" t="s">
        <v>20</v>
      </c>
      <c r="J2666" s="6">
        <v>2015.0</v>
      </c>
      <c r="L2666" s="6">
        <v>1.0</v>
      </c>
      <c r="M2666" s="8">
        <f t="shared" si="3"/>
        <v>0.06</v>
      </c>
      <c r="N2666" s="6" t="s">
        <v>374</v>
      </c>
      <c r="P2666" s="9"/>
    </row>
    <row r="2667">
      <c r="A2667" s="6" t="s">
        <v>6302</v>
      </c>
      <c r="B2667" s="6" t="s">
        <v>162</v>
      </c>
      <c r="C2667" s="6" t="s">
        <v>37</v>
      </c>
      <c r="D2667" s="6" t="s">
        <v>6303</v>
      </c>
      <c r="E2667" s="6" t="s">
        <v>256</v>
      </c>
      <c r="F2667" s="6" t="s">
        <v>87</v>
      </c>
      <c r="G2667" s="7">
        <v>0.05</v>
      </c>
      <c r="H2667" s="6" t="s">
        <v>88</v>
      </c>
      <c r="I2667" s="6" t="s">
        <v>20</v>
      </c>
      <c r="J2667" s="6">
        <v>2024.0</v>
      </c>
      <c r="L2667" s="6">
        <v>1.0</v>
      </c>
      <c r="M2667" s="8">
        <f t="shared" si="3"/>
        <v>0.05</v>
      </c>
      <c r="P2667" s="9"/>
    </row>
    <row r="2668">
      <c r="A2668" s="6" t="s">
        <v>6304</v>
      </c>
      <c r="B2668" s="6" t="s">
        <v>42</v>
      </c>
      <c r="C2668" s="6" t="s">
        <v>37</v>
      </c>
      <c r="D2668" s="6" t="s">
        <v>6305</v>
      </c>
      <c r="E2668" s="6" t="s">
        <v>179</v>
      </c>
      <c r="F2668" s="6" t="s">
        <v>112</v>
      </c>
      <c r="G2668" s="7">
        <v>0.2</v>
      </c>
      <c r="H2668" s="6" t="s">
        <v>34</v>
      </c>
      <c r="I2668" s="6" t="s">
        <v>20</v>
      </c>
      <c r="J2668" s="6">
        <v>2025.0</v>
      </c>
      <c r="L2668" s="6">
        <v>1.0</v>
      </c>
      <c r="M2668" s="8">
        <f t="shared" si="3"/>
        <v>0.2</v>
      </c>
      <c r="P2668" s="9"/>
    </row>
    <row r="2669">
      <c r="A2669" s="6" t="s">
        <v>6306</v>
      </c>
      <c r="B2669" s="6" t="s">
        <v>162</v>
      </c>
      <c r="C2669" s="6" t="s">
        <v>43</v>
      </c>
      <c r="D2669" s="6" t="s">
        <v>6307</v>
      </c>
      <c r="E2669" s="6" t="s">
        <v>256</v>
      </c>
      <c r="F2669" s="6" t="s">
        <v>87</v>
      </c>
      <c r="G2669" s="7">
        <v>0.06</v>
      </c>
      <c r="H2669" s="6" t="s">
        <v>148</v>
      </c>
      <c r="I2669" s="6" t="s">
        <v>20</v>
      </c>
      <c r="J2669" s="6">
        <v>2026.0</v>
      </c>
      <c r="L2669" s="6">
        <v>1.0</v>
      </c>
      <c r="M2669" s="8">
        <f t="shared" si="3"/>
        <v>0.06</v>
      </c>
      <c r="P2669" s="9"/>
    </row>
    <row r="2670">
      <c r="A2670" s="6" t="s">
        <v>6308</v>
      </c>
      <c r="B2670" s="6" t="s">
        <v>162</v>
      </c>
      <c r="C2670" s="6" t="s">
        <v>43</v>
      </c>
      <c r="D2670" s="6" t="s">
        <v>6309</v>
      </c>
      <c r="E2670" s="6" t="s">
        <v>356</v>
      </c>
      <c r="F2670" s="6" t="s">
        <v>87</v>
      </c>
      <c r="G2670" s="7">
        <v>0.1</v>
      </c>
      <c r="H2670" s="6" t="s">
        <v>266</v>
      </c>
      <c r="I2670" s="6" t="s">
        <v>20</v>
      </c>
      <c r="J2670" s="6">
        <v>2025.0</v>
      </c>
      <c r="L2670" s="6">
        <v>1.0</v>
      </c>
      <c r="M2670" s="8">
        <f t="shared" si="3"/>
        <v>0.1</v>
      </c>
      <c r="P2670" s="9"/>
    </row>
    <row r="2671">
      <c r="A2671" s="6" t="s">
        <v>6310</v>
      </c>
      <c r="B2671" s="6" t="s">
        <v>254</v>
      </c>
      <c r="C2671" s="6" t="s">
        <v>43</v>
      </c>
      <c r="D2671" s="6" t="s">
        <v>6311</v>
      </c>
      <c r="E2671" s="6" t="s">
        <v>76</v>
      </c>
      <c r="F2671" s="6" t="s">
        <v>77</v>
      </c>
      <c r="G2671" s="7">
        <v>0.05</v>
      </c>
      <c r="H2671" s="6" t="s">
        <v>187</v>
      </c>
      <c r="I2671" s="6" t="s">
        <v>20</v>
      </c>
      <c r="J2671" s="6">
        <v>1995.0</v>
      </c>
      <c r="L2671" s="6">
        <v>3.0</v>
      </c>
      <c r="M2671" s="8">
        <f t="shared" si="3"/>
        <v>0.15</v>
      </c>
      <c r="P2671" s="9"/>
    </row>
    <row r="2672">
      <c r="A2672" s="6" t="s">
        <v>6312</v>
      </c>
      <c r="B2672" s="6" t="s">
        <v>1577</v>
      </c>
      <c r="C2672" s="6" t="s">
        <v>43</v>
      </c>
      <c r="D2672" s="6" t="s">
        <v>6313</v>
      </c>
      <c r="F2672" s="6" t="s">
        <v>40</v>
      </c>
      <c r="G2672" s="7">
        <v>0.3</v>
      </c>
      <c r="H2672" s="6" t="s">
        <v>232</v>
      </c>
      <c r="I2672" s="6" t="s">
        <v>20</v>
      </c>
      <c r="J2672" s="6">
        <v>2010.0</v>
      </c>
      <c r="L2672" s="6">
        <v>2.0</v>
      </c>
      <c r="M2672" s="8">
        <f t="shared" si="3"/>
        <v>0.6</v>
      </c>
      <c r="P2672" s="9"/>
    </row>
    <row r="2673">
      <c r="A2673" s="6" t="s">
        <v>6314</v>
      </c>
      <c r="B2673" s="6" t="s">
        <v>606</v>
      </c>
      <c r="C2673" s="6" t="s">
        <v>15</v>
      </c>
      <c r="D2673" s="6" t="s">
        <v>6315</v>
      </c>
      <c r="E2673" s="6" t="s">
        <v>509</v>
      </c>
      <c r="F2673" s="6" t="s">
        <v>87</v>
      </c>
      <c r="G2673" s="7">
        <v>0.5</v>
      </c>
      <c r="H2673" s="6" t="s">
        <v>153</v>
      </c>
      <c r="I2673" s="6" t="s">
        <v>20</v>
      </c>
      <c r="J2673" s="6">
        <v>2025.0</v>
      </c>
      <c r="L2673" s="6">
        <v>2.0</v>
      </c>
      <c r="M2673" s="8">
        <f t="shared" si="3"/>
        <v>1</v>
      </c>
      <c r="P2673" s="9"/>
    </row>
    <row r="2674">
      <c r="A2674" s="6" t="s">
        <v>6316</v>
      </c>
      <c r="B2674" s="6" t="s">
        <v>162</v>
      </c>
      <c r="C2674" s="6" t="s">
        <v>37</v>
      </c>
      <c r="D2674" s="6" t="s">
        <v>6317</v>
      </c>
      <c r="E2674" s="6" t="s">
        <v>237</v>
      </c>
      <c r="F2674" s="6" t="s">
        <v>18</v>
      </c>
      <c r="G2674" s="7">
        <v>0.1</v>
      </c>
      <c r="H2674" s="6" t="s">
        <v>88</v>
      </c>
      <c r="I2674" s="6" t="s">
        <v>20</v>
      </c>
      <c r="J2674" s="6">
        <v>2024.0</v>
      </c>
      <c r="L2674" s="6">
        <v>4.0</v>
      </c>
      <c r="M2674" s="8">
        <f t="shared" si="3"/>
        <v>0.4</v>
      </c>
      <c r="P2674" s="9"/>
    </row>
    <row r="2675">
      <c r="A2675" s="6" t="s">
        <v>6318</v>
      </c>
      <c r="B2675" s="6" t="s">
        <v>6319</v>
      </c>
      <c r="C2675" s="6" t="s">
        <v>43</v>
      </c>
      <c r="D2675" s="6" t="s">
        <v>6320</v>
      </c>
      <c r="E2675" s="6" t="s">
        <v>1027</v>
      </c>
      <c r="F2675" s="6" t="s">
        <v>77</v>
      </c>
      <c r="G2675" s="7">
        <v>0.08</v>
      </c>
      <c r="H2675" s="6" t="s">
        <v>58</v>
      </c>
      <c r="I2675" s="6" t="s">
        <v>20</v>
      </c>
      <c r="J2675" s="6">
        <v>1995.0</v>
      </c>
      <c r="K2675" s="10">
        <v>46054.0</v>
      </c>
      <c r="L2675" s="6">
        <v>2.0</v>
      </c>
      <c r="M2675" s="8">
        <f t="shared" si="3"/>
        <v>0.16</v>
      </c>
      <c r="P2675" s="9"/>
    </row>
    <row r="2676">
      <c r="A2676" s="6" t="s">
        <v>6321</v>
      </c>
      <c r="B2676" s="6" t="s">
        <v>331</v>
      </c>
      <c r="C2676" s="6" t="s">
        <v>37</v>
      </c>
      <c r="D2676" s="6" t="s">
        <v>6322</v>
      </c>
      <c r="E2676" s="6" t="s">
        <v>82</v>
      </c>
      <c r="F2676" s="6" t="s">
        <v>77</v>
      </c>
      <c r="G2676" s="7">
        <v>0.5</v>
      </c>
      <c r="H2676" s="6" t="s">
        <v>83</v>
      </c>
      <c r="I2676" s="6" t="s">
        <v>20</v>
      </c>
      <c r="J2676" s="6">
        <v>1995.0</v>
      </c>
      <c r="K2676" s="10">
        <v>46116.0</v>
      </c>
      <c r="L2676" s="6">
        <v>1.0</v>
      </c>
      <c r="M2676" s="8">
        <f t="shared" si="3"/>
        <v>0.5</v>
      </c>
      <c r="P2676" s="9"/>
    </row>
    <row r="2677">
      <c r="A2677" s="6" t="s">
        <v>6323</v>
      </c>
      <c r="B2677" s="6" t="s">
        <v>6324</v>
      </c>
      <c r="C2677" s="6" t="s">
        <v>30</v>
      </c>
      <c r="D2677" s="6" t="s">
        <v>6325</v>
      </c>
      <c r="E2677" s="6" t="s">
        <v>329</v>
      </c>
      <c r="F2677" s="6" t="s">
        <v>112</v>
      </c>
      <c r="G2677" s="7">
        <v>3.9</v>
      </c>
      <c r="H2677" s="6" t="s">
        <v>582</v>
      </c>
      <c r="I2677" s="6" t="s">
        <v>20</v>
      </c>
      <c r="J2677" s="6">
        <v>2023.0</v>
      </c>
      <c r="K2677" s="10">
        <v>46115.0</v>
      </c>
      <c r="L2677" s="6">
        <v>1.0</v>
      </c>
      <c r="M2677" s="8">
        <f t="shared" si="3"/>
        <v>3.9</v>
      </c>
      <c r="N2677" s="6" t="s">
        <v>122</v>
      </c>
      <c r="P2677" s="9"/>
    </row>
    <row r="2678">
      <c r="A2678" s="6" t="s">
        <v>6326</v>
      </c>
      <c r="B2678" s="6" t="s">
        <v>4706</v>
      </c>
      <c r="C2678" s="6" t="s">
        <v>43</v>
      </c>
      <c r="D2678" s="6" t="s">
        <v>6327</v>
      </c>
      <c r="E2678" s="6" t="s">
        <v>111</v>
      </c>
      <c r="F2678" s="6" t="s">
        <v>112</v>
      </c>
      <c r="G2678" s="7">
        <v>0.05</v>
      </c>
      <c r="H2678" s="6" t="s">
        <v>404</v>
      </c>
      <c r="I2678" s="6" t="s">
        <v>20</v>
      </c>
      <c r="J2678" s="6">
        <v>2020.0</v>
      </c>
      <c r="K2678" s="10">
        <v>46116.0</v>
      </c>
      <c r="L2678" s="6">
        <v>2.0</v>
      </c>
      <c r="M2678" s="8">
        <f t="shared" si="3"/>
        <v>0.1</v>
      </c>
      <c r="P2678" s="9"/>
    </row>
    <row r="2679">
      <c r="A2679" s="6" t="s">
        <v>6328</v>
      </c>
      <c r="B2679" s="6" t="s">
        <v>6329</v>
      </c>
      <c r="C2679" s="6" t="s">
        <v>15</v>
      </c>
      <c r="D2679" s="6" t="s">
        <v>6330</v>
      </c>
      <c r="E2679" s="6">
        <v>6.0</v>
      </c>
      <c r="F2679" s="6" t="s">
        <v>26</v>
      </c>
      <c r="G2679" s="7">
        <v>0.05</v>
      </c>
      <c r="H2679" s="6" t="s">
        <v>342</v>
      </c>
      <c r="I2679" s="6" t="s">
        <v>20</v>
      </c>
      <c r="J2679" s="6">
        <v>2014.0</v>
      </c>
      <c r="K2679" s="10">
        <v>46116.0</v>
      </c>
      <c r="L2679" s="6">
        <v>1.0</v>
      </c>
      <c r="M2679" s="8">
        <f t="shared" si="3"/>
        <v>0.05</v>
      </c>
      <c r="P2679" s="9"/>
    </row>
    <row r="2680">
      <c r="A2680" s="6" t="s">
        <v>6331</v>
      </c>
      <c r="B2680" s="6" t="s">
        <v>6332</v>
      </c>
      <c r="C2680" s="6" t="s">
        <v>204</v>
      </c>
      <c r="D2680" s="6" t="s">
        <v>6333</v>
      </c>
      <c r="E2680" s="6" t="s">
        <v>57</v>
      </c>
      <c r="F2680" s="6" t="s">
        <v>40</v>
      </c>
      <c r="G2680" s="7">
        <v>0.06</v>
      </c>
      <c r="H2680" s="6" t="s">
        <v>586</v>
      </c>
      <c r="I2680" s="6" t="s">
        <v>20</v>
      </c>
      <c r="J2680" s="6">
        <v>2012.0</v>
      </c>
      <c r="K2680" s="10">
        <v>46056.0</v>
      </c>
      <c r="L2680" s="6">
        <v>1.0</v>
      </c>
      <c r="M2680" s="8">
        <f t="shared" si="3"/>
        <v>0.06</v>
      </c>
      <c r="P2680" s="9"/>
    </row>
    <row r="2681">
      <c r="A2681" s="6" t="s">
        <v>6334</v>
      </c>
      <c r="B2681" s="6" t="s">
        <v>606</v>
      </c>
      <c r="C2681" s="6" t="s">
        <v>23</v>
      </c>
      <c r="D2681" s="6" t="s">
        <v>6335</v>
      </c>
      <c r="E2681" s="6" t="s">
        <v>1550</v>
      </c>
      <c r="F2681" s="6" t="s">
        <v>77</v>
      </c>
      <c r="G2681" s="7">
        <v>0.05</v>
      </c>
      <c r="H2681" s="6" t="s">
        <v>153</v>
      </c>
      <c r="I2681" s="6" t="s">
        <v>20</v>
      </c>
      <c r="J2681" s="6">
        <v>2025.0</v>
      </c>
      <c r="L2681" s="6">
        <v>11.0</v>
      </c>
      <c r="M2681" s="8">
        <f t="shared" si="3"/>
        <v>0.55</v>
      </c>
      <c r="P2681" s="9"/>
    </row>
    <row r="2682">
      <c r="A2682" s="6" t="s">
        <v>6336</v>
      </c>
      <c r="B2682" s="6" t="s">
        <v>6337</v>
      </c>
      <c r="C2682" s="6" t="s">
        <v>37</v>
      </c>
      <c r="D2682" s="6" t="s">
        <v>6338</v>
      </c>
      <c r="E2682" s="6" t="s">
        <v>3201</v>
      </c>
      <c r="F2682" s="6" t="s">
        <v>18</v>
      </c>
      <c r="G2682" s="7">
        <v>0.15</v>
      </c>
      <c r="H2682" s="6" t="s">
        <v>34</v>
      </c>
      <c r="I2682" s="6" t="s">
        <v>20</v>
      </c>
      <c r="J2682" s="6">
        <v>2025.0</v>
      </c>
      <c r="K2682" s="10">
        <v>46148.0</v>
      </c>
      <c r="L2682" s="6">
        <v>1.0</v>
      </c>
      <c r="M2682" s="8">
        <f t="shared" si="3"/>
        <v>0.15</v>
      </c>
      <c r="P2682" s="9"/>
    </row>
    <row r="2683">
      <c r="A2683" s="6" t="s">
        <v>6339</v>
      </c>
      <c r="B2683" s="6" t="s">
        <v>6340</v>
      </c>
      <c r="C2683" s="6" t="s">
        <v>23</v>
      </c>
      <c r="D2683" s="6" t="s">
        <v>6341</v>
      </c>
      <c r="E2683" s="6" t="s">
        <v>179</v>
      </c>
      <c r="F2683" s="6" t="s">
        <v>112</v>
      </c>
      <c r="G2683" s="7">
        <v>0.13</v>
      </c>
      <c r="H2683" s="6" t="s">
        <v>27</v>
      </c>
      <c r="I2683" s="6" t="s">
        <v>20</v>
      </c>
      <c r="J2683" s="6">
        <v>2026.0</v>
      </c>
      <c r="K2683" s="10">
        <v>46023.0</v>
      </c>
      <c r="L2683" s="6">
        <v>1.0</v>
      </c>
      <c r="M2683" s="8">
        <f t="shared" si="3"/>
        <v>0.13</v>
      </c>
      <c r="P2683" s="9"/>
    </row>
    <row r="2684">
      <c r="A2684" s="6" t="s">
        <v>6342</v>
      </c>
      <c r="B2684" s="6" t="s">
        <v>74</v>
      </c>
      <c r="C2684" s="6" t="s">
        <v>43</v>
      </c>
      <c r="D2684" s="6" t="s">
        <v>6343</v>
      </c>
      <c r="E2684" s="6" t="s">
        <v>107</v>
      </c>
      <c r="F2684" s="6" t="s">
        <v>18</v>
      </c>
      <c r="G2684" s="7">
        <v>0.08</v>
      </c>
      <c r="H2684" s="6" t="s">
        <v>89</v>
      </c>
      <c r="I2684" s="6" t="s">
        <v>20</v>
      </c>
      <c r="J2684" s="6">
        <v>2021.0</v>
      </c>
      <c r="L2684" s="6">
        <v>3.0</v>
      </c>
      <c r="M2684" s="8">
        <f t="shared" si="3"/>
        <v>0.24</v>
      </c>
      <c r="P2684" s="9"/>
    </row>
    <row r="2685">
      <c r="A2685" s="6" t="s">
        <v>6344</v>
      </c>
      <c r="B2685" s="6" t="s">
        <v>440</v>
      </c>
      <c r="C2685" s="6" t="s">
        <v>418</v>
      </c>
      <c r="D2685" s="6" t="s">
        <v>6345</v>
      </c>
      <c r="E2685" s="6" t="s">
        <v>135</v>
      </c>
      <c r="F2685" s="6" t="s">
        <v>697</v>
      </c>
      <c r="G2685" s="7">
        <v>2.38</v>
      </c>
      <c r="H2685" s="6" t="s">
        <v>2211</v>
      </c>
      <c r="I2685" s="6" t="s">
        <v>20</v>
      </c>
      <c r="J2685" s="6">
        <v>1999.0</v>
      </c>
      <c r="L2685" s="6">
        <v>1.0</v>
      </c>
      <c r="M2685" s="8">
        <f t="shared" si="3"/>
        <v>2.38</v>
      </c>
      <c r="P2685" s="9"/>
    </row>
    <row r="2686">
      <c r="A2686" s="6" t="s">
        <v>6346</v>
      </c>
      <c r="B2686" s="6" t="s">
        <v>829</v>
      </c>
      <c r="C2686" s="6" t="s">
        <v>418</v>
      </c>
      <c r="D2686" s="6" t="s">
        <v>6347</v>
      </c>
      <c r="E2686" s="6" t="s">
        <v>185</v>
      </c>
      <c r="F2686" s="6" t="s">
        <v>312</v>
      </c>
      <c r="G2686" s="7">
        <v>0.25</v>
      </c>
      <c r="H2686" s="6" t="s">
        <v>379</v>
      </c>
      <c r="I2686" s="6" t="s">
        <v>20</v>
      </c>
      <c r="J2686" s="6">
        <v>1997.0</v>
      </c>
      <c r="K2686" s="10">
        <v>46055.0</v>
      </c>
      <c r="L2686" s="6">
        <v>1.0</v>
      </c>
      <c r="M2686" s="8">
        <f t="shared" si="3"/>
        <v>0.25</v>
      </c>
      <c r="P2686" s="9"/>
    </row>
    <row r="2687">
      <c r="A2687" s="6" t="s">
        <v>6348</v>
      </c>
      <c r="B2687" s="6" t="s">
        <v>6293</v>
      </c>
      <c r="C2687" s="6" t="s">
        <v>43</v>
      </c>
      <c r="D2687" s="6" t="s">
        <v>6349</v>
      </c>
      <c r="E2687" s="6" t="s">
        <v>117</v>
      </c>
      <c r="F2687" s="6" t="s">
        <v>77</v>
      </c>
      <c r="G2687" s="7">
        <v>0.17</v>
      </c>
      <c r="H2687" s="6" t="s">
        <v>336</v>
      </c>
      <c r="I2687" s="6" t="s">
        <v>20</v>
      </c>
      <c r="J2687" s="6">
        <v>2020.0</v>
      </c>
      <c r="K2687" s="10">
        <v>46054.0</v>
      </c>
      <c r="L2687" s="6">
        <v>1.0</v>
      </c>
      <c r="M2687" s="8">
        <f t="shared" si="3"/>
        <v>0.17</v>
      </c>
      <c r="P2687" s="9"/>
    </row>
    <row r="2688">
      <c r="A2688" s="6" t="s">
        <v>6350</v>
      </c>
      <c r="B2688" s="6" t="s">
        <v>371</v>
      </c>
      <c r="C2688" s="6" t="s">
        <v>43</v>
      </c>
      <c r="D2688" s="6" t="s">
        <v>6351</v>
      </c>
      <c r="E2688" s="6" t="s">
        <v>179</v>
      </c>
      <c r="F2688" s="6" t="s">
        <v>112</v>
      </c>
      <c r="G2688" s="7">
        <v>0.09</v>
      </c>
      <c r="H2688" s="6" t="s">
        <v>701</v>
      </c>
      <c r="I2688" s="6" t="s">
        <v>20</v>
      </c>
      <c r="J2688" s="6">
        <v>2015.0</v>
      </c>
      <c r="K2688" s="6" t="s">
        <v>527</v>
      </c>
      <c r="L2688" s="6">
        <v>4.0</v>
      </c>
      <c r="M2688" s="8">
        <f t="shared" si="3"/>
        <v>0.36</v>
      </c>
      <c r="P2688" s="9"/>
    </row>
    <row r="2689">
      <c r="A2689" s="6" t="s">
        <v>6350</v>
      </c>
      <c r="B2689" s="6" t="s">
        <v>371</v>
      </c>
      <c r="C2689" s="6" t="s">
        <v>43</v>
      </c>
      <c r="D2689" s="6" t="s">
        <v>6352</v>
      </c>
      <c r="E2689" s="6" t="s">
        <v>179</v>
      </c>
      <c r="F2689" s="6" t="s">
        <v>112</v>
      </c>
      <c r="G2689" s="7">
        <v>0.08</v>
      </c>
      <c r="H2689" s="6" t="s">
        <v>701</v>
      </c>
      <c r="I2689" s="6" t="s">
        <v>20</v>
      </c>
      <c r="J2689" s="6">
        <v>2015.0</v>
      </c>
      <c r="K2689" s="6" t="s">
        <v>527</v>
      </c>
      <c r="L2689" s="6">
        <v>1.0</v>
      </c>
      <c r="M2689" s="8">
        <f t="shared" si="3"/>
        <v>0.08</v>
      </c>
      <c r="N2689" s="6" t="s">
        <v>374</v>
      </c>
      <c r="P2689" s="9"/>
    </row>
    <row r="2690">
      <c r="A2690" s="6" t="s">
        <v>6350</v>
      </c>
      <c r="B2690" s="6" t="s">
        <v>371</v>
      </c>
      <c r="C2690" s="6" t="s">
        <v>43</v>
      </c>
      <c r="D2690" s="6" t="s">
        <v>6352</v>
      </c>
      <c r="E2690" s="6" t="s">
        <v>179</v>
      </c>
      <c r="F2690" s="6" t="s">
        <v>112</v>
      </c>
      <c r="G2690" s="7">
        <v>0.15</v>
      </c>
      <c r="H2690" s="6" t="s">
        <v>428</v>
      </c>
      <c r="I2690" s="6" t="s">
        <v>20</v>
      </c>
      <c r="J2690" s="6">
        <v>2022.0</v>
      </c>
      <c r="K2690" s="6" t="s">
        <v>527</v>
      </c>
      <c r="L2690" s="6">
        <v>1.0</v>
      </c>
      <c r="M2690" s="8">
        <f t="shared" si="3"/>
        <v>0.15</v>
      </c>
      <c r="P2690" s="9"/>
    </row>
    <row r="2691">
      <c r="A2691" s="6" t="s">
        <v>6353</v>
      </c>
      <c r="B2691" s="6" t="s">
        <v>6354</v>
      </c>
      <c r="C2691" s="6" t="s">
        <v>23</v>
      </c>
      <c r="D2691" s="6" t="s">
        <v>6355</v>
      </c>
      <c r="E2691" s="6" t="s">
        <v>25</v>
      </c>
      <c r="F2691" s="6" t="s">
        <v>26</v>
      </c>
      <c r="G2691" s="7">
        <v>0.03</v>
      </c>
      <c r="H2691" s="6" t="s">
        <v>144</v>
      </c>
      <c r="I2691" s="6" t="s">
        <v>20</v>
      </c>
      <c r="J2691" s="6">
        <v>2018.0</v>
      </c>
      <c r="K2691" s="10">
        <v>46082.0</v>
      </c>
      <c r="L2691" s="6">
        <v>4.0</v>
      </c>
      <c r="M2691" s="8">
        <f t="shared" si="3"/>
        <v>0.12</v>
      </c>
      <c r="P2691" s="9"/>
    </row>
    <row r="2692">
      <c r="A2692" s="6" t="s">
        <v>6356</v>
      </c>
      <c r="B2692" s="6" t="s">
        <v>2250</v>
      </c>
      <c r="C2692" s="6" t="s">
        <v>43</v>
      </c>
      <c r="D2692" s="6" t="s">
        <v>6357</v>
      </c>
      <c r="E2692" s="6" t="s">
        <v>420</v>
      </c>
      <c r="F2692" s="6" t="s">
        <v>40</v>
      </c>
      <c r="G2692" s="7">
        <v>0.05</v>
      </c>
      <c r="H2692" s="6" t="s">
        <v>496</v>
      </c>
      <c r="I2692" s="6" t="s">
        <v>20</v>
      </c>
      <c r="J2692" s="6">
        <v>2013.0</v>
      </c>
      <c r="K2692" s="10">
        <v>46056.0</v>
      </c>
      <c r="L2692" s="6">
        <v>1.0</v>
      </c>
      <c r="M2692" s="8">
        <f t="shared" si="3"/>
        <v>0.05</v>
      </c>
      <c r="P2692" s="9"/>
    </row>
    <row r="2693">
      <c r="A2693" s="6" t="s">
        <v>6358</v>
      </c>
      <c r="B2693" s="6" t="s">
        <v>6359</v>
      </c>
      <c r="C2693" s="6" t="s">
        <v>43</v>
      </c>
      <c r="D2693" s="6" t="s">
        <v>6360</v>
      </c>
      <c r="E2693" s="6" t="s">
        <v>2647</v>
      </c>
      <c r="F2693" s="6" t="s">
        <v>112</v>
      </c>
      <c r="G2693" s="7">
        <v>0.03</v>
      </c>
      <c r="H2693" s="6" t="s">
        <v>1511</v>
      </c>
      <c r="I2693" s="6" t="s">
        <v>20</v>
      </c>
      <c r="J2693" s="6">
        <v>2014.0</v>
      </c>
      <c r="K2693" s="10">
        <v>46023.0</v>
      </c>
      <c r="L2693" s="6">
        <v>1.0</v>
      </c>
      <c r="M2693" s="8">
        <f t="shared" si="3"/>
        <v>0.03</v>
      </c>
      <c r="P2693" s="9"/>
    </row>
    <row r="2694">
      <c r="A2694" s="6" t="s">
        <v>6361</v>
      </c>
      <c r="B2694" s="6" t="s">
        <v>6362</v>
      </c>
      <c r="C2694" s="6" t="s">
        <v>43</v>
      </c>
      <c r="D2694" s="6" t="s">
        <v>6363</v>
      </c>
      <c r="E2694" s="6" t="s">
        <v>39</v>
      </c>
      <c r="F2694" s="6" t="s">
        <v>40</v>
      </c>
      <c r="G2694" s="7">
        <v>0.05</v>
      </c>
      <c r="H2694" s="6" t="s">
        <v>297</v>
      </c>
      <c r="I2694" s="6" t="s">
        <v>20</v>
      </c>
      <c r="J2694" s="6">
        <v>2022.0</v>
      </c>
      <c r="K2694" s="10">
        <v>46083.0</v>
      </c>
      <c r="L2694" s="6">
        <v>3.0</v>
      </c>
      <c r="M2694" s="8">
        <f t="shared" si="3"/>
        <v>0.15</v>
      </c>
      <c r="P2694" s="9"/>
    </row>
    <row r="2695">
      <c r="A2695" s="6" t="s">
        <v>6361</v>
      </c>
      <c r="B2695" s="6" t="s">
        <v>6362</v>
      </c>
      <c r="C2695" s="6" t="s">
        <v>43</v>
      </c>
      <c r="D2695" s="6" t="s">
        <v>6363</v>
      </c>
      <c r="E2695" s="6" t="s">
        <v>39</v>
      </c>
      <c r="F2695" s="6" t="s">
        <v>40</v>
      </c>
      <c r="G2695" s="7">
        <v>0.11</v>
      </c>
      <c r="H2695" s="6" t="s">
        <v>297</v>
      </c>
      <c r="I2695" s="6" t="s">
        <v>20</v>
      </c>
      <c r="J2695" s="6">
        <v>2022.0</v>
      </c>
      <c r="K2695" s="10">
        <v>46083.0</v>
      </c>
      <c r="L2695" s="6">
        <v>1.0</v>
      </c>
      <c r="M2695" s="8">
        <f t="shared" si="3"/>
        <v>0.11</v>
      </c>
      <c r="P2695" s="9"/>
    </row>
    <row r="2696">
      <c r="A2696" s="6" t="s">
        <v>6361</v>
      </c>
      <c r="B2696" s="6" t="s">
        <v>6362</v>
      </c>
      <c r="C2696" s="6" t="s">
        <v>43</v>
      </c>
      <c r="D2696" s="6" t="s">
        <v>6363</v>
      </c>
      <c r="E2696" s="6" t="s">
        <v>39</v>
      </c>
      <c r="F2696" s="6" t="s">
        <v>40</v>
      </c>
      <c r="G2696" s="7">
        <v>0.11</v>
      </c>
      <c r="H2696" s="6" t="s">
        <v>3621</v>
      </c>
      <c r="I2696" s="6" t="s">
        <v>20</v>
      </c>
      <c r="J2696" s="6">
        <v>2022.0</v>
      </c>
      <c r="K2696" s="10">
        <v>46083.0</v>
      </c>
      <c r="L2696" s="6">
        <v>1.0</v>
      </c>
      <c r="M2696" s="8">
        <f t="shared" si="3"/>
        <v>0.11</v>
      </c>
      <c r="P2696" s="9"/>
    </row>
    <row r="2697">
      <c r="A2697" s="6" t="s">
        <v>6364</v>
      </c>
      <c r="B2697" s="6" t="s">
        <v>192</v>
      </c>
      <c r="C2697" s="6" t="s">
        <v>43</v>
      </c>
      <c r="D2697" s="6" t="s">
        <v>6365</v>
      </c>
      <c r="E2697" s="6" t="s">
        <v>190</v>
      </c>
      <c r="F2697" s="6" t="s">
        <v>18</v>
      </c>
      <c r="G2697" s="7">
        <v>0.28</v>
      </c>
      <c r="H2697" s="6" t="s">
        <v>136</v>
      </c>
      <c r="I2697" s="6" t="s">
        <v>20</v>
      </c>
      <c r="J2697" s="6">
        <v>2026.0</v>
      </c>
      <c r="L2697" s="6">
        <v>4.0</v>
      </c>
      <c r="M2697" s="8">
        <f t="shared" si="3"/>
        <v>1.12</v>
      </c>
      <c r="P2697" s="9"/>
    </row>
    <row r="2698">
      <c r="A2698" s="6" t="s">
        <v>6366</v>
      </c>
      <c r="B2698" s="6" t="s">
        <v>138</v>
      </c>
      <c r="C2698" s="6" t="s">
        <v>309</v>
      </c>
      <c r="D2698" s="6" t="s">
        <v>6367</v>
      </c>
      <c r="E2698" s="6" t="s">
        <v>894</v>
      </c>
      <c r="F2698" s="6" t="s">
        <v>6368</v>
      </c>
      <c r="G2698" s="7">
        <v>0.45</v>
      </c>
      <c r="H2698" s="6" t="s">
        <v>2041</v>
      </c>
      <c r="I2698" s="6" t="s">
        <v>20</v>
      </c>
      <c r="J2698" s="6">
        <v>1998.0</v>
      </c>
      <c r="L2698" s="6">
        <v>1.0</v>
      </c>
      <c r="M2698" s="8">
        <f t="shared" si="3"/>
        <v>0.45</v>
      </c>
      <c r="P2698" s="9"/>
    </row>
    <row r="2699">
      <c r="A2699" s="6" t="s">
        <v>6369</v>
      </c>
      <c r="B2699" s="6" t="s">
        <v>371</v>
      </c>
      <c r="C2699" s="6" t="s">
        <v>37</v>
      </c>
      <c r="D2699" s="6" t="s">
        <v>6370</v>
      </c>
      <c r="E2699" s="6" t="s">
        <v>98</v>
      </c>
      <c r="F2699" s="6" t="s">
        <v>18</v>
      </c>
      <c r="G2699" s="7">
        <v>0.09</v>
      </c>
      <c r="H2699" s="6" t="s">
        <v>160</v>
      </c>
      <c r="I2699" s="6" t="s">
        <v>20</v>
      </c>
      <c r="J2699" s="6">
        <v>2024.0</v>
      </c>
      <c r="K2699" s="10">
        <v>46056.0</v>
      </c>
      <c r="L2699" s="6">
        <v>2.0</v>
      </c>
      <c r="M2699" s="8">
        <f t="shared" si="3"/>
        <v>0.18</v>
      </c>
      <c r="P2699" s="9"/>
    </row>
    <row r="2700">
      <c r="A2700" s="6" t="s">
        <v>6371</v>
      </c>
      <c r="B2700" s="6" t="s">
        <v>494</v>
      </c>
      <c r="C2700" s="6" t="s">
        <v>43</v>
      </c>
      <c r="D2700" s="6" t="s">
        <v>6372</v>
      </c>
      <c r="E2700" s="6" t="s">
        <v>57</v>
      </c>
      <c r="F2700" s="6" t="s">
        <v>40</v>
      </c>
      <c r="G2700" s="7">
        <v>0.05</v>
      </c>
      <c r="H2700" s="6" t="s">
        <v>764</v>
      </c>
      <c r="I2700" s="6" t="s">
        <v>20</v>
      </c>
      <c r="J2700" s="6">
        <v>1999.0</v>
      </c>
      <c r="L2700" s="6">
        <v>1.0</v>
      </c>
      <c r="M2700" s="8">
        <f t="shared" si="3"/>
        <v>0.05</v>
      </c>
      <c r="P2700" s="9"/>
    </row>
    <row r="2701">
      <c r="A2701" s="6" t="s">
        <v>6373</v>
      </c>
      <c r="B2701" s="6" t="s">
        <v>6374</v>
      </c>
      <c r="C2701" s="6" t="s">
        <v>30</v>
      </c>
      <c r="D2701" s="6" t="s">
        <v>6375</v>
      </c>
      <c r="E2701" s="6" t="s">
        <v>1498</v>
      </c>
      <c r="F2701" s="6" t="s">
        <v>1118</v>
      </c>
      <c r="G2701" s="7">
        <v>0.25</v>
      </c>
      <c r="H2701" s="6" t="s">
        <v>471</v>
      </c>
      <c r="I2701" s="6" t="s">
        <v>20</v>
      </c>
      <c r="J2701" s="6">
        <v>2026.0</v>
      </c>
      <c r="K2701" s="10">
        <v>46115.0</v>
      </c>
      <c r="L2701" s="6">
        <v>1.0</v>
      </c>
      <c r="M2701" s="8">
        <f t="shared" si="3"/>
        <v>0.25</v>
      </c>
      <c r="P2701" s="9"/>
    </row>
    <row r="2702">
      <c r="A2702" s="6" t="s">
        <v>6376</v>
      </c>
      <c r="B2702" s="6" t="s">
        <v>685</v>
      </c>
      <c r="C2702" s="6" t="s">
        <v>30</v>
      </c>
      <c r="D2702" s="6" t="s">
        <v>6377</v>
      </c>
      <c r="E2702" s="6" t="s">
        <v>76</v>
      </c>
      <c r="F2702" s="6" t="s">
        <v>77</v>
      </c>
      <c r="G2702" s="7">
        <v>0.45</v>
      </c>
      <c r="H2702" s="6" t="s">
        <v>99</v>
      </c>
      <c r="I2702" s="6" t="s">
        <v>20</v>
      </c>
      <c r="J2702" s="6">
        <v>2022.0</v>
      </c>
      <c r="K2702" s="10">
        <v>46055.0</v>
      </c>
      <c r="L2702" s="6">
        <v>1.0</v>
      </c>
      <c r="M2702" s="8">
        <f t="shared" si="3"/>
        <v>0.45</v>
      </c>
      <c r="P2702" s="9"/>
    </row>
    <row r="2703">
      <c r="A2703" s="6" t="s">
        <v>6378</v>
      </c>
      <c r="B2703" s="6" t="s">
        <v>970</v>
      </c>
      <c r="C2703" s="6" t="s">
        <v>37</v>
      </c>
      <c r="D2703" s="6" t="s">
        <v>6379</v>
      </c>
      <c r="E2703" s="6" t="s">
        <v>6380</v>
      </c>
      <c r="F2703" s="6" t="s">
        <v>6381</v>
      </c>
      <c r="G2703" s="7">
        <v>0.25</v>
      </c>
      <c r="H2703" s="6" t="s">
        <v>19</v>
      </c>
      <c r="I2703" s="6" t="s">
        <v>20</v>
      </c>
      <c r="J2703" s="6">
        <v>2023.0</v>
      </c>
      <c r="K2703" s="10">
        <v>46116.0</v>
      </c>
      <c r="L2703" s="6">
        <v>1.0</v>
      </c>
      <c r="M2703" s="8">
        <f t="shared" si="3"/>
        <v>0.25</v>
      </c>
      <c r="P2703" s="9"/>
    </row>
    <row r="2704">
      <c r="A2704" s="6" t="s">
        <v>6382</v>
      </c>
      <c r="B2704" s="6" t="s">
        <v>6383</v>
      </c>
      <c r="C2704" s="6" t="s">
        <v>30</v>
      </c>
      <c r="D2704" s="6" t="s">
        <v>6384</v>
      </c>
      <c r="E2704" s="6" t="s">
        <v>389</v>
      </c>
      <c r="F2704" s="6" t="s">
        <v>87</v>
      </c>
      <c r="G2704" s="7">
        <v>0.45</v>
      </c>
      <c r="H2704" s="6" t="s">
        <v>1185</v>
      </c>
      <c r="I2704" s="6" t="s">
        <v>20</v>
      </c>
      <c r="J2704" s="6">
        <v>2007.0</v>
      </c>
      <c r="K2704" s="10">
        <v>46179.0</v>
      </c>
      <c r="L2704" s="6">
        <v>1.0</v>
      </c>
      <c r="M2704" s="8">
        <f t="shared" si="3"/>
        <v>0.45</v>
      </c>
      <c r="P2704" s="9"/>
    </row>
    <row r="2705">
      <c r="A2705" s="6" t="s">
        <v>6385</v>
      </c>
      <c r="B2705" s="6" t="s">
        <v>6386</v>
      </c>
      <c r="C2705" s="6" t="s">
        <v>15</v>
      </c>
      <c r="D2705" s="6" t="s">
        <v>6387</v>
      </c>
      <c r="E2705" s="6" t="s">
        <v>263</v>
      </c>
      <c r="F2705" s="6" t="s">
        <v>77</v>
      </c>
      <c r="G2705" s="7">
        <v>0.05</v>
      </c>
      <c r="H2705" s="6" t="s">
        <v>153</v>
      </c>
      <c r="I2705" s="6" t="s">
        <v>20</v>
      </c>
      <c r="J2705" s="6">
        <v>2025.0</v>
      </c>
      <c r="K2705" s="10">
        <v>46084.0</v>
      </c>
      <c r="L2705" s="6">
        <v>2.0</v>
      </c>
      <c r="M2705" s="8">
        <f t="shared" si="3"/>
        <v>0.1</v>
      </c>
      <c r="P2705" s="9"/>
    </row>
    <row r="2706">
      <c r="A2706" s="6" t="s">
        <v>6388</v>
      </c>
      <c r="B2706" s="6" t="s">
        <v>6389</v>
      </c>
      <c r="C2706" s="6" t="s">
        <v>15</v>
      </c>
      <c r="D2706" s="6" t="s">
        <v>6390</v>
      </c>
      <c r="E2706" s="6" t="s">
        <v>6391</v>
      </c>
      <c r="F2706" s="6" t="s">
        <v>665</v>
      </c>
      <c r="G2706" s="7">
        <v>0.09</v>
      </c>
      <c r="H2706" s="6" t="s">
        <v>130</v>
      </c>
      <c r="I2706" s="6" t="s">
        <v>45</v>
      </c>
      <c r="J2706" s="6">
        <v>2014.0</v>
      </c>
      <c r="K2706" s="10">
        <v>46085.0</v>
      </c>
      <c r="L2706" s="6">
        <v>1.0</v>
      </c>
      <c r="M2706" s="8">
        <f t="shared" si="3"/>
        <v>0.09</v>
      </c>
      <c r="P2706" s="9"/>
    </row>
    <row r="2707">
      <c r="A2707" s="6" t="s">
        <v>6388</v>
      </c>
      <c r="B2707" s="6" t="s">
        <v>6389</v>
      </c>
      <c r="C2707" s="6" t="s">
        <v>15</v>
      </c>
      <c r="D2707" s="6" t="s">
        <v>6390</v>
      </c>
      <c r="E2707" s="6" t="s">
        <v>6391</v>
      </c>
      <c r="F2707" s="6" t="s">
        <v>665</v>
      </c>
      <c r="G2707" s="7">
        <v>0.13</v>
      </c>
      <c r="H2707" s="6" t="s">
        <v>130</v>
      </c>
      <c r="I2707" s="6" t="s">
        <v>20</v>
      </c>
      <c r="J2707" s="6">
        <v>2014.0</v>
      </c>
      <c r="K2707" s="10">
        <v>46085.0</v>
      </c>
      <c r="L2707" s="6">
        <v>1.0</v>
      </c>
      <c r="M2707" s="8">
        <f t="shared" si="3"/>
        <v>0.13</v>
      </c>
      <c r="P2707" s="9"/>
    </row>
    <row r="2708">
      <c r="A2708" s="6" t="s">
        <v>6392</v>
      </c>
      <c r="B2708" s="6" t="s">
        <v>647</v>
      </c>
      <c r="C2708" s="6" t="s">
        <v>37</v>
      </c>
      <c r="D2708" s="6" t="s">
        <v>6393</v>
      </c>
      <c r="E2708" s="6" t="s">
        <v>185</v>
      </c>
      <c r="F2708" s="6" t="s">
        <v>26</v>
      </c>
      <c r="G2708" s="7">
        <v>0.13</v>
      </c>
      <c r="H2708" s="6" t="s">
        <v>104</v>
      </c>
      <c r="I2708" s="6" t="s">
        <v>20</v>
      </c>
      <c r="J2708" s="6">
        <v>2019.0</v>
      </c>
      <c r="K2708" s="6" t="s">
        <v>2310</v>
      </c>
      <c r="L2708" s="6">
        <v>1.0</v>
      </c>
      <c r="M2708" s="8">
        <f t="shared" si="3"/>
        <v>0.13</v>
      </c>
      <c r="P2708" s="9"/>
    </row>
    <row r="2709">
      <c r="A2709" s="6" t="s">
        <v>6394</v>
      </c>
      <c r="B2709" s="6" t="s">
        <v>396</v>
      </c>
      <c r="C2709" s="6" t="s">
        <v>43</v>
      </c>
      <c r="D2709" s="6" t="s">
        <v>6395</v>
      </c>
      <c r="E2709" s="6" t="s">
        <v>215</v>
      </c>
      <c r="F2709" s="6" t="s">
        <v>26</v>
      </c>
      <c r="G2709" s="7">
        <v>0.05</v>
      </c>
      <c r="H2709" s="6" t="s">
        <v>415</v>
      </c>
      <c r="I2709" s="6" t="s">
        <v>20</v>
      </c>
      <c r="J2709" s="6">
        <v>2016.0</v>
      </c>
      <c r="L2709" s="6">
        <v>1.0</v>
      </c>
      <c r="M2709" s="8">
        <f t="shared" si="3"/>
        <v>0.05</v>
      </c>
      <c r="N2709" s="6" t="s">
        <v>374</v>
      </c>
      <c r="P2709" s="9"/>
    </row>
    <row r="2710">
      <c r="A2710" s="6" t="s">
        <v>6396</v>
      </c>
      <c r="B2710" s="6" t="s">
        <v>162</v>
      </c>
      <c r="C2710" s="6" t="s">
        <v>43</v>
      </c>
      <c r="D2710" s="6" t="s">
        <v>6397</v>
      </c>
      <c r="E2710" s="6" t="s">
        <v>190</v>
      </c>
      <c r="F2710" s="6" t="s">
        <v>18</v>
      </c>
      <c r="G2710" s="7">
        <v>0.3</v>
      </c>
      <c r="H2710" s="6" t="s">
        <v>6398</v>
      </c>
      <c r="I2710" s="6" t="s">
        <v>20</v>
      </c>
      <c r="J2710" s="6">
        <v>2010.0</v>
      </c>
      <c r="L2710" s="6">
        <v>1.0</v>
      </c>
      <c r="M2710" s="8">
        <f t="shared" si="3"/>
        <v>0.3</v>
      </c>
      <c r="P2710" s="9"/>
    </row>
    <row r="2711">
      <c r="A2711" s="6" t="s">
        <v>6399</v>
      </c>
      <c r="B2711" s="6" t="s">
        <v>42</v>
      </c>
      <c r="C2711" s="6" t="s">
        <v>37</v>
      </c>
      <c r="D2711" s="6" t="s">
        <v>6400</v>
      </c>
      <c r="E2711" s="6" t="s">
        <v>164</v>
      </c>
      <c r="F2711" s="6" t="s">
        <v>112</v>
      </c>
      <c r="G2711" s="7">
        <v>0.98</v>
      </c>
      <c r="H2711" s="6" t="s">
        <v>34</v>
      </c>
      <c r="I2711" s="6" t="s">
        <v>20</v>
      </c>
      <c r="J2711" s="6">
        <v>2025.0</v>
      </c>
      <c r="L2711" s="6">
        <v>1.0</v>
      </c>
      <c r="M2711" s="8">
        <f t="shared" si="3"/>
        <v>0.98</v>
      </c>
      <c r="P2711" s="9"/>
    </row>
    <row r="2712">
      <c r="A2712" s="6" t="s">
        <v>6401</v>
      </c>
      <c r="B2712" s="6" t="s">
        <v>6402</v>
      </c>
      <c r="C2712" s="6" t="s">
        <v>30</v>
      </c>
      <c r="D2712" s="6" t="s">
        <v>6403</v>
      </c>
      <c r="E2712" s="6" t="s">
        <v>93</v>
      </c>
      <c r="F2712" s="6" t="s">
        <v>77</v>
      </c>
      <c r="G2712" s="7">
        <v>8.29</v>
      </c>
      <c r="H2712" s="6" t="s">
        <v>136</v>
      </c>
      <c r="I2712" s="6" t="s">
        <v>45</v>
      </c>
      <c r="J2712" s="6">
        <v>2026.0</v>
      </c>
      <c r="K2712" s="10">
        <v>46116.0</v>
      </c>
      <c r="L2712" s="6">
        <v>1.0</v>
      </c>
      <c r="M2712" s="8">
        <f t="shared" si="3"/>
        <v>8.29</v>
      </c>
      <c r="P2712" s="9"/>
    </row>
    <row r="2713">
      <c r="A2713" s="6" t="s">
        <v>6404</v>
      </c>
      <c r="B2713" s="6" t="s">
        <v>6405</v>
      </c>
      <c r="C2713" s="6" t="s">
        <v>37</v>
      </c>
      <c r="D2713" s="6" t="s">
        <v>6406</v>
      </c>
      <c r="E2713" s="6" t="s">
        <v>3147</v>
      </c>
      <c r="F2713" s="6" t="s">
        <v>977</v>
      </c>
      <c r="G2713" s="7">
        <v>0.49</v>
      </c>
      <c r="H2713" s="6" t="s">
        <v>431</v>
      </c>
      <c r="I2713" s="6" t="s">
        <v>45</v>
      </c>
      <c r="J2713" s="6">
        <v>2019.0</v>
      </c>
      <c r="K2713" s="10">
        <v>46116.0</v>
      </c>
      <c r="L2713" s="6">
        <v>1.0</v>
      </c>
      <c r="M2713" s="8">
        <f t="shared" si="3"/>
        <v>0.49</v>
      </c>
      <c r="P2713" s="9"/>
    </row>
    <row r="2714">
      <c r="A2714" s="6" t="s">
        <v>6407</v>
      </c>
      <c r="B2714" s="6" t="s">
        <v>170</v>
      </c>
      <c r="C2714" s="6" t="s">
        <v>156</v>
      </c>
      <c r="D2714" s="6" t="s">
        <v>6408</v>
      </c>
      <c r="E2714" s="6" t="s">
        <v>172</v>
      </c>
      <c r="F2714" s="6" t="s">
        <v>26</v>
      </c>
      <c r="G2714" s="7">
        <v>0.15</v>
      </c>
      <c r="H2714" s="6" t="s">
        <v>153</v>
      </c>
      <c r="I2714" s="6" t="s">
        <v>20</v>
      </c>
      <c r="J2714" s="6">
        <v>2025.0</v>
      </c>
      <c r="L2714" s="6">
        <v>3.0</v>
      </c>
      <c r="M2714" s="8">
        <f t="shared" si="3"/>
        <v>0.45</v>
      </c>
      <c r="P2714" s="9"/>
    </row>
    <row r="2715">
      <c r="A2715" s="6" t="s">
        <v>6409</v>
      </c>
      <c r="B2715" s="6" t="s">
        <v>74</v>
      </c>
      <c r="C2715" s="6" t="s">
        <v>43</v>
      </c>
      <c r="D2715" s="6" t="s">
        <v>6410</v>
      </c>
      <c r="E2715" s="6" t="s">
        <v>86</v>
      </c>
      <c r="F2715" s="6" t="s">
        <v>87</v>
      </c>
      <c r="G2715" s="7">
        <v>0.05</v>
      </c>
      <c r="H2715" s="6" t="s">
        <v>324</v>
      </c>
      <c r="I2715" s="6" t="s">
        <v>20</v>
      </c>
      <c r="J2715" s="6">
        <v>1995.0</v>
      </c>
      <c r="L2715" s="6">
        <v>3.0</v>
      </c>
      <c r="M2715" s="8">
        <f t="shared" si="3"/>
        <v>0.15</v>
      </c>
      <c r="P2715" s="9"/>
    </row>
    <row r="2716">
      <c r="A2716" s="6" t="s">
        <v>6409</v>
      </c>
      <c r="B2716" s="6" t="s">
        <v>74</v>
      </c>
      <c r="C2716" s="6" t="s">
        <v>43</v>
      </c>
      <c r="D2716" s="6" t="s">
        <v>6410</v>
      </c>
      <c r="E2716" s="6" t="s">
        <v>86</v>
      </c>
      <c r="F2716" s="6" t="s">
        <v>87</v>
      </c>
      <c r="G2716" s="7">
        <v>0.25</v>
      </c>
      <c r="H2716" s="6" t="s">
        <v>316</v>
      </c>
      <c r="I2716" s="6" t="s">
        <v>20</v>
      </c>
      <c r="J2716" s="6">
        <v>1995.0</v>
      </c>
      <c r="L2716" s="6">
        <v>2.0</v>
      </c>
      <c r="M2716" s="8">
        <f t="shared" si="3"/>
        <v>0.5</v>
      </c>
      <c r="P2716" s="9"/>
    </row>
    <row r="2717">
      <c r="A2717" s="6" t="s">
        <v>6409</v>
      </c>
      <c r="B2717" s="6" t="s">
        <v>74</v>
      </c>
      <c r="C2717" s="6" t="s">
        <v>43</v>
      </c>
      <c r="D2717" s="6" t="s">
        <v>6411</v>
      </c>
      <c r="E2717" s="6" t="s">
        <v>86</v>
      </c>
      <c r="F2717" s="6" t="s">
        <v>87</v>
      </c>
      <c r="G2717" s="7">
        <v>0.01</v>
      </c>
      <c r="H2717" s="6" t="s">
        <v>922</v>
      </c>
      <c r="I2717" s="6" t="s">
        <v>20</v>
      </c>
      <c r="J2717" s="6">
        <v>2014.0</v>
      </c>
      <c r="L2717" s="6">
        <v>1.0</v>
      </c>
      <c r="M2717" s="8">
        <f t="shared" si="3"/>
        <v>0.01</v>
      </c>
      <c r="P2717" s="9"/>
    </row>
    <row r="2718">
      <c r="A2718" s="6" t="s">
        <v>6409</v>
      </c>
      <c r="B2718" s="6" t="s">
        <v>74</v>
      </c>
      <c r="C2718" s="6" t="s">
        <v>43</v>
      </c>
      <c r="D2718" s="6" t="s">
        <v>6410</v>
      </c>
      <c r="E2718" s="6" t="s">
        <v>86</v>
      </c>
      <c r="F2718" s="6" t="s">
        <v>87</v>
      </c>
      <c r="G2718" s="7">
        <v>0.06</v>
      </c>
      <c r="H2718" s="6" t="s">
        <v>453</v>
      </c>
      <c r="I2718" s="6" t="s">
        <v>20</v>
      </c>
      <c r="J2718" s="6">
        <v>1994.0</v>
      </c>
      <c r="L2718" s="6">
        <v>3.0</v>
      </c>
      <c r="M2718" s="8">
        <f t="shared" si="3"/>
        <v>0.18</v>
      </c>
      <c r="P2718" s="9"/>
    </row>
    <row r="2719">
      <c r="A2719" s="6" t="s">
        <v>6412</v>
      </c>
      <c r="B2719" s="6" t="s">
        <v>74</v>
      </c>
      <c r="C2719" s="6" t="s">
        <v>43</v>
      </c>
      <c r="D2719" s="6" t="s">
        <v>6413</v>
      </c>
      <c r="E2719" s="6" t="s">
        <v>2290</v>
      </c>
      <c r="F2719" s="6" t="s">
        <v>1000</v>
      </c>
      <c r="G2719" s="7">
        <v>0.09</v>
      </c>
      <c r="H2719" s="6" t="s">
        <v>65</v>
      </c>
      <c r="I2719" s="6" t="s">
        <v>20</v>
      </c>
      <c r="J2719" s="6">
        <v>2013.0</v>
      </c>
      <c r="L2719" s="6">
        <v>4.0</v>
      </c>
      <c r="M2719" s="8">
        <f t="shared" si="3"/>
        <v>0.36</v>
      </c>
      <c r="P2719" s="9"/>
    </row>
    <row r="2720">
      <c r="A2720" s="6" t="s">
        <v>6414</v>
      </c>
      <c r="B2720" s="6" t="s">
        <v>74</v>
      </c>
      <c r="C2720" s="6" t="s">
        <v>43</v>
      </c>
      <c r="D2720" s="6" t="s">
        <v>6415</v>
      </c>
      <c r="E2720" s="6" t="s">
        <v>179</v>
      </c>
      <c r="F2720" s="6" t="s">
        <v>112</v>
      </c>
      <c r="G2720" s="7">
        <v>0.03</v>
      </c>
      <c r="H2720" s="6" t="s">
        <v>531</v>
      </c>
      <c r="I2720" s="6" t="s">
        <v>20</v>
      </c>
      <c r="J2720" s="6">
        <v>2017.0</v>
      </c>
      <c r="L2720" s="6">
        <v>1.0</v>
      </c>
      <c r="M2720" s="8">
        <f t="shared" si="3"/>
        <v>0.03</v>
      </c>
      <c r="P2720" s="9"/>
    </row>
    <row r="2721">
      <c r="A2721" s="6" t="s">
        <v>6416</v>
      </c>
      <c r="B2721" s="6" t="s">
        <v>494</v>
      </c>
      <c r="C2721" s="6" t="s">
        <v>43</v>
      </c>
      <c r="D2721" s="6" t="s">
        <v>6417</v>
      </c>
      <c r="E2721" s="6" t="s">
        <v>329</v>
      </c>
      <c r="F2721" s="6" t="s">
        <v>112</v>
      </c>
      <c r="G2721" s="7">
        <v>0.09</v>
      </c>
      <c r="H2721" s="6" t="s">
        <v>89</v>
      </c>
      <c r="I2721" s="6" t="s">
        <v>20</v>
      </c>
      <c r="J2721" s="6">
        <v>2021.0</v>
      </c>
      <c r="L2721" s="6">
        <v>1.0</v>
      </c>
      <c r="M2721" s="8">
        <f t="shared" si="3"/>
        <v>0.09</v>
      </c>
      <c r="P2721" s="9"/>
    </row>
    <row r="2722">
      <c r="A2722" s="6" t="s">
        <v>6418</v>
      </c>
      <c r="B2722" s="6" t="s">
        <v>102</v>
      </c>
      <c r="C2722" s="6" t="s">
        <v>37</v>
      </c>
      <c r="D2722" s="6" t="s">
        <v>6419</v>
      </c>
      <c r="E2722" s="6" t="s">
        <v>57</v>
      </c>
      <c r="F2722" s="6" t="s">
        <v>40</v>
      </c>
      <c r="G2722" s="7">
        <v>0.1</v>
      </c>
      <c r="H2722" s="6" t="s">
        <v>160</v>
      </c>
      <c r="I2722" s="6" t="s">
        <v>20</v>
      </c>
      <c r="J2722" s="6">
        <v>2024.0</v>
      </c>
      <c r="K2722" s="6" t="s">
        <v>527</v>
      </c>
      <c r="L2722" s="6">
        <v>1.0</v>
      </c>
      <c r="M2722" s="8">
        <f t="shared" si="3"/>
        <v>0.1</v>
      </c>
      <c r="P2722" s="9"/>
    </row>
    <row r="2723">
      <c r="A2723" s="6" t="s">
        <v>6420</v>
      </c>
      <c r="B2723" s="6" t="s">
        <v>762</v>
      </c>
      <c r="C2723" s="6" t="s">
        <v>30</v>
      </c>
      <c r="D2723" s="6" t="s">
        <v>6421</v>
      </c>
      <c r="E2723" s="6" t="s">
        <v>57</v>
      </c>
      <c r="F2723" s="6" t="s">
        <v>40</v>
      </c>
      <c r="G2723" s="7">
        <v>0.09</v>
      </c>
      <c r="H2723" s="6" t="s">
        <v>434</v>
      </c>
      <c r="I2723" s="6" t="s">
        <v>20</v>
      </c>
      <c r="J2723" s="6">
        <v>2000.0</v>
      </c>
      <c r="K2723" s="10">
        <v>46082.0</v>
      </c>
      <c r="L2723" s="6">
        <v>1.0</v>
      </c>
      <c r="M2723" s="8">
        <f t="shared" si="3"/>
        <v>0.09</v>
      </c>
      <c r="P2723" s="9"/>
    </row>
    <row r="2724">
      <c r="A2724" s="6" t="s">
        <v>6422</v>
      </c>
      <c r="B2724" s="6" t="s">
        <v>1794</v>
      </c>
      <c r="C2724" s="6" t="s">
        <v>204</v>
      </c>
      <c r="D2724" s="6" t="s">
        <v>6423</v>
      </c>
      <c r="E2724" s="6" t="s">
        <v>125</v>
      </c>
      <c r="F2724" s="6" t="s">
        <v>40</v>
      </c>
      <c r="G2724" s="7">
        <v>4.9</v>
      </c>
      <c r="H2724" s="6" t="s">
        <v>1687</v>
      </c>
      <c r="I2724" s="6" t="s">
        <v>20</v>
      </c>
      <c r="J2724" s="6">
        <v>2001.0</v>
      </c>
      <c r="L2724" s="6">
        <v>1.0</v>
      </c>
      <c r="M2724" s="8">
        <f t="shared" si="3"/>
        <v>4.9</v>
      </c>
      <c r="N2724" s="6" t="s">
        <v>122</v>
      </c>
      <c r="P2724" s="9"/>
    </row>
    <row r="2725">
      <c r="A2725" s="6" t="s">
        <v>6424</v>
      </c>
      <c r="B2725" s="6" t="s">
        <v>494</v>
      </c>
      <c r="C2725" s="6" t="s">
        <v>43</v>
      </c>
      <c r="D2725" s="6" t="s">
        <v>6425</v>
      </c>
      <c r="E2725" s="6" t="s">
        <v>6426</v>
      </c>
      <c r="F2725" s="6" t="s">
        <v>1382</v>
      </c>
      <c r="G2725" s="7">
        <v>2.16</v>
      </c>
      <c r="H2725" s="6" t="s">
        <v>1048</v>
      </c>
      <c r="I2725" s="6" t="s">
        <v>20</v>
      </c>
      <c r="J2725" s="6">
        <v>2008.0</v>
      </c>
      <c r="L2725" s="6">
        <v>1.0</v>
      </c>
      <c r="M2725" s="8">
        <f t="shared" si="3"/>
        <v>2.16</v>
      </c>
      <c r="P2725" s="9"/>
    </row>
    <row r="2726">
      <c r="A2726" s="6" t="s">
        <v>6427</v>
      </c>
      <c r="B2726" s="6" t="s">
        <v>524</v>
      </c>
      <c r="C2726" s="6" t="s">
        <v>43</v>
      </c>
      <c r="D2726" s="6" t="s">
        <v>6428</v>
      </c>
      <c r="E2726" s="6" t="s">
        <v>994</v>
      </c>
      <c r="F2726" s="6" t="s">
        <v>26</v>
      </c>
      <c r="G2726" s="7">
        <v>1.76</v>
      </c>
      <c r="H2726" s="6" t="s">
        <v>99</v>
      </c>
      <c r="I2726" s="6" t="s">
        <v>45</v>
      </c>
      <c r="J2726" s="6">
        <v>2022.0</v>
      </c>
      <c r="K2726" s="10">
        <v>46082.0</v>
      </c>
      <c r="L2726" s="6">
        <v>1.0</v>
      </c>
      <c r="M2726" s="8">
        <f t="shared" si="3"/>
        <v>1.76</v>
      </c>
      <c r="N2726" s="6" t="s">
        <v>122</v>
      </c>
      <c r="P2726" s="9"/>
    </row>
    <row r="2727">
      <c r="A2727" s="6" t="s">
        <v>6429</v>
      </c>
      <c r="B2727" s="6" t="s">
        <v>6430</v>
      </c>
      <c r="C2727" s="6" t="s">
        <v>43</v>
      </c>
      <c r="D2727" s="6" t="s">
        <v>4381</v>
      </c>
      <c r="E2727" s="6" t="s">
        <v>179</v>
      </c>
      <c r="F2727" s="6" t="s">
        <v>112</v>
      </c>
      <c r="G2727" s="7">
        <v>0.17</v>
      </c>
      <c r="H2727" s="6" t="s">
        <v>297</v>
      </c>
      <c r="I2727" s="6" t="s">
        <v>20</v>
      </c>
      <c r="J2727" s="6">
        <v>2022.0</v>
      </c>
      <c r="K2727" s="10">
        <v>46023.0</v>
      </c>
      <c r="L2727" s="6">
        <v>1.0</v>
      </c>
      <c r="M2727" s="8">
        <f t="shared" si="3"/>
        <v>0.17</v>
      </c>
      <c r="P2727" s="9"/>
    </row>
    <row r="2728">
      <c r="A2728" s="6" t="s">
        <v>6431</v>
      </c>
      <c r="B2728" s="6" t="s">
        <v>1230</v>
      </c>
      <c r="C2728" s="6" t="s">
        <v>37</v>
      </c>
      <c r="D2728" s="6" t="s">
        <v>6432</v>
      </c>
      <c r="E2728" s="6" t="s">
        <v>82</v>
      </c>
      <c r="F2728" s="6" t="s">
        <v>77</v>
      </c>
      <c r="G2728" s="7">
        <v>0.09</v>
      </c>
      <c r="H2728" s="6" t="s">
        <v>6433</v>
      </c>
      <c r="I2728" s="6" t="s">
        <v>20</v>
      </c>
      <c r="J2728" s="6">
        <v>1995.0</v>
      </c>
      <c r="K2728" s="10">
        <v>46116.0</v>
      </c>
      <c r="L2728" s="6">
        <v>3.0</v>
      </c>
      <c r="M2728" s="8">
        <f t="shared" si="3"/>
        <v>0.27</v>
      </c>
      <c r="P2728" s="9"/>
    </row>
    <row r="2729">
      <c r="A2729" s="6" t="s">
        <v>6434</v>
      </c>
      <c r="B2729" s="6" t="s">
        <v>6435</v>
      </c>
      <c r="C2729" s="6" t="s">
        <v>418</v>
      </c>
      <c r="D2729" s="6" t="s">
        <v>6436</v>
      </c>
      <c r="E2729" s="6" t="s">
        <v>891</v>
      </c>
      <c r="F2729" s="6" t="s">
        <v>77</v>
      </c>
      <c r="G2729" s="7">
        <v>0.04</v>
      </c>
      <c r="H2729" s="6" t="s">
        <v>471</v>
      </c>
      <c r="I2729" s="6" t="s">
        <v>20</v>
      </c>
      <c r="J2729" s="6">
        <v>2026.0</v>
      </c>
      <c r="K2729" s="10">
        <v>46145.0</v>
      </c>
      <c r="L2729" s="6">
        <v>1.0</v>
      </c>
      <c r="M2729" s="8">
        <f t="shared" si="3"/>
        <v>0.04</v>
      </c>
      <c r="P2729" s="9"/>
    </row>
    <row r="2730">
      <c r="A2730" s="6" t="s">
        <v>6437</v>
      </c>
      <c r="B2730" s="6" t="s">
        <v>545</v>
      </c>
      <c r="C2730" s="6" t="s">
        <v>23</v>
      </c>
      <c r="D2730" s="6" t="s">
        <v>6438</v>
      </c>
      <c r="E2730" s="6" t="s">
        <v>2959</v>
      </c>
      <c r="F2730" s="6" t="s">
        <v>1811</v>
      </c>
      <c r="G2730" s="7">
        <v>0.05</v>
      </c>
      <c r="H2730" s="6" t="s">
        <v>1336</v>
      </c>
      <c r="I2730" s="6" t="s">
        <v>20</v>
      </c>
      <c r="J2730" s="6">
        <v>2025.0</v>
      </c>
      <c r="K2730" s="10">
        <v>46083.0</v>
      </c>
      <c r="L2730" s="6">
        <v>13.0</v>
      </c>
      <c r="M2730" s="8">
        <f t="shared" si="3"/>
        <v>0.65</v>
      </c>
      <c r="P2730" s="9"/>
    </row>
    <row r="2731">
      <c r="A2731" s="6" t="s">
        <v>6437</v>
      </c>
      <c r="B2731" s="6" t="s">
        <v>545</v>
      </c>
      <c r="C2731" s="6" t="s">
        <v>23</v>
      </c>
      <c r="D2731" s="6" t="s">
        <v>6438</v>
      </c>
      <c r="E2731" s="6" t="s">
        <v>2959</v>
      </c>
      <c r="F2731" s="6" t="s">
        <v>1811</v>
      </c>
      <c r="G2731" s="7">
        <v>0.05</v>
      </c>
      <c r="H2731" s="6" t="s">
        <v>1336</v>
      </c>
      <c r="I2731" s="6" t="s">
        <v>45</v>
      </c>
      <c r="J2731" s="6">
        <v>2025.0</v>
      </c>
      <c r="K2731" s="10">
        <v>46083.0</v>
      </c>
      <c r="L2731" s="6">
        <v>1.0</v>
      </c>
      <c r="M2731" s="8">
        <f t="shared" si="3"/>
        <v>0.05</v>
      </c>
      <c r="P2731" s="9"/>
    </row>
    <row r="2732">
      <c r="A2732" s="6" t="s">
        <v>6439</v>
      </c>
      <c r="B2732" s="6" t="s">
        <v>6440</v>
      </c>
      <c r="C2732" s="6" t="s">
        <v>37</v>
      </c>
      <c r="D2732" s="6" t="s">
        <v>6441</v>
      </c>
      <c r="E2732" s="6" t="s">
        <v>135</v>
      </c>
      <c r="F2732" s="6" t="s">
        <v>40</v>
      </c>
      <c r="G2732" s="7">
        <v>0.09</v>
      </c>
      <c r="H2732" s="6" t="s">
        <v>19</v>
      </c>
      <c r="I2732" s="6" t="s">
        <v>20</v>
      </c>
      <c r="J2732" s="6">
        <v>2023.0</v>
      </c>
      <c r="K2732" s="10">
        <v>46055.0</v>
      </c>
      <c r="L2732" s="6">
        <v>2.0</v>
      </c>
      <c r="M2732" s="8">
        <f t="shared" si="3"/>
        <v>0.18</v>
      </c>
      <c r="P2732" s="9"/>
    </row>
    <row r="2733">
      <c r="A2733" s="6" t="s">
        <v>6442</v>
      </c>
      <c r="B2733" s="6" t="s">
        <v>1529</v>
      </c>
      <c r="C2733" s="6" t="s">
        <v>37</v>
      </c>
      <c r="D2733" s="6" t="s">
        <v>6443</v>
      </c>
      <c r="E2733" s="6" t="s">
        <v>891</v>
      </c>
      <c r="F2733" s="6" t="s">
        <v>77</v>
      </c>
      <c r="G2733" s="7">
        <v>0.25</v>
      </c>
      <c r="H2733" s="6" t="s">
        <v>895</v>
      </c>
      <c r="I2733" s="6" t="s">
        <v>20</v>
      </c>
      <c r="J2733" s="6">
        <v>2018.0</v>
      </c>
      <c r="K2733" s="10">
        <v>46055.0</v>
      </c>
      <c r="L2733" s="6">
        <v>1.0</v>
      </c>
      <c r="M2733" s="8">
        <f t="shared" si="3"/>
        <v>0.25</v>
      </c>
      <c r="P2733" s="9"/>
    </row>
    <row r="2734">
      <c r="A2734" s="6" t="s">
        <v>6444</v>
      </c>
      <c r="B2734" s="6" t="s">
        <v>606</v>
      </c>
      <c r="C2734" s="6" t="s">
        <v>23</v>
      </c>
      <c r="D2734" s="6" t="s">
        <v>6445</v>
      </c>
      <c r="E2734" s="6" t="s">
        <v>1007</v>
      </c>
      <c r="F2734" s="6" t="s">
        <v>87</v>
      </c>
      <c r="G2734" s="7">
        <v>0.09</v>
      </c>
      <c r="H2734" s="6" t="s">
        <v>130</v>
      </c>
      <c r="I2734" s="6" t="s">
        <v>20</v>
      </c>
      <c r="J2734" s="6">
        <v>2014.0</v>
      </c>
      <c r="L2734" s="6">
        <v>1.0</v>
      </c>
      <c r="M2734" s="8">
        <f t="shared" si="3"/>
        <v>0.09</v>
      </c>
      <c r="P2734" s="9"/>
    </row>
    <row r="2735">
      <c r="A2735" s="6" t="s">
        <v>6446</v>
      </c>
      <c r="B2735" s="6" t="s">
        <v>6447</v>
      </c>
      <c r="C2735" s="6" t="s">
        <v>43</v>
      </c>
      <c r="D2735" s="6" t="s">
        <v>6448</v>
      </c>
      <c r="E2735" s="6" t="s">
        <v>190</v>
      </c>
      <c r="F2735" s="6" t="s">
        <v>18</v>
      </c>
      <c r="G2735" s="7">
        <v>0.03</v>
      </c>
      <c r="H2735" s="6" t="s">
        <v>709</v>
      </c>
      <c r="I2735" s="6" t="s">
        <v>20</v>
      </c>
      <c r="J2735" s="6">
        <v>2017.0</v>
      </c>
      <c r="K2735" s="6" t="s">
        <v>1924</v>
      </c>
      <c r="L2735" s="6">
        <v>1.0</v>
      </c>
      <c r="M2735" s="8">
        <f t="shared" si="3"/>
        <v>0.03</v>
      </c>
      <c r="P2735" s="9"/>
    </row>
    <row r="2736">
      <c r="A2736" s="6" t="s">
        <v>6449</v>
      </c>
      <c r="B2736" s="6" t="s">
        <v>6450</v>
      </c>
      <c r="C2736" s="6" t="s">
        <v>43</v>
      </c>
      <c r="D2736" s="6" t="s">
        <v>6451</v>
      </c>
      <c r="E2736" s="6" t="s">
        <v>39</v>
      </c>
      <c r="F2736" s="6" t="s">
        <v>40</v>
      </c>
      <c r="G2736" s="7">
        <v>0.1</v>
      </c>
      <c r="H2736" s="6" t="s">
        <v>471</v>
      </c>
      <c r="I2736" s="6" t="s">
        <v>20</v>
      </c>
      <c r="J2736" s="6">
        <v>2026.0</v>
      </c>
      <c r="K2736" s="10">
        <v>46084.0</v>
      </c>
      <c r="L2736" s="6">
        <v>2.0</v>
      </c>
      <c r="M2736" s="8">
        <f t="shared" si="3"/>
        <v>0.2</v>
      </c>
      <c r="P2736" s="9"/>
    </row>
    <row r="2737">
      <c r="A2737" s="6" t="s">
        <v>6452</v>
      </c>
      <c r="B2737" s="6" t="s">
        <v>480</v>
      </c>
      <c r="C2737" s="6" t="s">
        <v>37</v>
      </c>
      <c r="D2737" s="6" t="s">
        <v>6453</v>
      </c>
      <c r="E2737" s="6" t="s">
        <v>891</v>
      </c>
      <c r="F2737" s="6" t="s">
        <v>77</v>
      </c>
      <c r="G2737" s="7">
        <v>0.24</v>
      </c>
      <c r="H2737" s="6" t="s">
        <v>136</v>
      </c>
      <c r="I2737" s="6" t="s">
        <v>20</v>
      </c>
      <c r="J2737" s="6">
        <v>2026.0</v>
      </c>
      <c r="K2737" s="10">
        <v>46118.0</v>
      </c>
      <c r="L2737" s="6">
        <v>1.0</v>
      </c>
      <c r="M2737" s="8">
        <f t="shared" si="3"/>
        <v>0.24</v>
      </c>
      <c r="P2737" s="9"/>
    </row>
    <row r="2738">
      <c r="A2738" s="6" t="s">
        <v>6454</v>
      </c>
      <c r="B2738" s="6" t="s">
        <v>789</v>
      </c>
      <c r="C2738" s="6" t="s">
        <v>37</v>
      </c>
      <c r="D2738" s="6" t="s">
        <v>6455</v>
      </c>
      <c r="E2738" s="6" t="s">
        <v>76</v>
      </c>
      <c r="F2738" s="6" t="s">
        <v>77</v>
      </c>
      <c r="G2738" s="7">
        <v>0.16</v>
      </c>
      <c r="H2738" s="6" t="s">
        <v>136</v>
      </c>
      <c r="I2738" s="6" t="s">
        <v>20</v>
      </c>
      <c r="J2738" s="6">
        <v>2026.0</v>
      </c>
      <c r="L2738" s="6">
        <v>1.0</v>
      </c>
      <c r="M2738" s="8">
        <f t="shared" si="3"/>
        <v>0.16</v>
      </c>
      <c r="P2738" s="9"/>
    </row>
    <row r="2739">
      <c r="A2739" s="6" t="s">
        <v>6456</v>
      </c>
      <c r="B2739" s="6" t="s">
        <v>462</v>
      </c>
      <c r="C2739" s="6" t="s">
        <v>43</v>
      </c>
      <c r="D2739" s="6" t="s">
        <v>6457</v>
      </c>
      <c r="E2739" s="6" t="s">
        <v>176</v>
      </c>
      <c r="F2739" s="6" t="s">
        <v>77</v>
      </c>
      <c r="G2739" s="7">
        <v>0.1</v>
      </c>
      <c r="H2739" s="6" t="s">
        <v>136</v>
      </c>
      <c r="I2739" s="6" t="s">
        <v>20</v>
      </c>
      <c r="J2739" s="6">
        <v>2026.0</v>
      </c>
      <c r="L2739" s="6">
        <v>3.0</v>
      </c>
      <c r="M2739" s="8">
        <f t="shared" si="3"/>
        <v>0.3</v>
      </c>
      <c r="P2739" s="9"/>
    </row>
    <row r="2740">
      <c r="A2740" s="6" t="s">
        <v>6458</v>
      </c>
      <c r="B2740" s="6" t="s">
        <v>6459</v>
      </c>
      <c r="C2740" s="6" t="s">
        <v>37</v>
      </c>
      <c r="D2740" s="6" t="s">
        <v>6460</v>
      </c>
      <c r="E2740" s="6" t="s">
        <v>1243</v>
      </c>
      <c r="F2740" s="6" t="s">
        <v>1244</v>
      </c>
      <c r="G2740" s="7">
        <v>0.05</v>
      </c>
      <c r="H2740" s="6" t="s">
        <v>475</v>
      </c>
      <c r="I2740" s="6" t="s">
        <v>20</v>
      </c>
      <c r="J2740" s="6">
        <v>2024.0</v>
      </c>
      <c r="K2740" s="10">
        <v>46084.0</v>
      </c>
      <c r="L2740" s="6">
        <v>1.0</v>
      </c>
      <c r="M2740" s="8">
        <f t="shared" si="3"/>
        <v>0.05</v>
      </c>
      <c r="P2740" s="9"/>
    </row>
    <row r="2741">
      <c r="A2741" s="6" t="s">
        <v>6461</v>
      </c>
      <c r="B2741" s="6" t="s">
        <v>6462</v>
      </c>
      <c r="C2741" s="6" t="s">
        <v>43</v>
      </c>
      <c r="D2741" s="6" t="s">
        <v>6463</v>
      </c>
      <c r="E2741" s="6" t="s">
        <v>176</v>
      </c>
      <c r="F2741" s="6" t="s">
        <v>77</v>
      </c>
      <c r="G2741" s="7">
        <v>0.02</v>
      </c>
      <c r="H2741" s="6" t="s">
        <v>290</v>
      </c>
      <c r="I2741" s="6" t="s">
        <v>20</v>
      </c>
      <c r="J2741" s="6">
        <v>2019.0</v>
      </c>
      <c r="K2741" s="10">
        <v>46024.0</v>
      </c>
      <c r="L2741" s="6">
        <v>1.0</v>
      </c>
      <c r="M2741" s="8">
        <f t="shared" si="3"/>
        <v>0.02</v>
      </c>
      <c r="P2741" s="9"/>
    </row>
    <row r="2742">
      <c r="A2742" s="6" t="s">
        <v>6464</v>
      </c>
      <c r="B2742" s="6" t="s">
        <v>854</v>
      </c>
      <c r="C2742" s="6" t="s">
        <v>43</v>
      </c>
      <c r="D2742" s="6" t="s">
        <v>6465</v>
      </c>
      <c r="E2742" s="6" t="s">
        <v>107</v>
      </c>
      <c r="F2742" s="6" t="s">
        <v>18</v>
      </c>
      <c r="G2742" s="7">
        <v>0.09</v>
      </c>
      <c r="H2742" s="6" t="s">
        <v>1148</v>
      </c>
      <c r="I2742" s="6" t="s">
        <v>20</v>
      </c>
      <c r="J2742" s="6">
        <v>2012.0</v>
      </c>
      <c r="K2742" s="10">
        <v>46023.0</v>
      </c>
      <c r="L2742" s="6">
        <v>1.0</v>
      </c>
      <c r="M2742" s="8">
        <f t="shared" si="3"/>
        <v>0.09</v>
      </c>
      <c r="P2742" s="9"/>
    </row>
    <row r="2743">
      <c r="A2743" s="6" t="s">
        <v>6466</v>
      </c>
      <c r="B2743" s="6" t="s">
        <v>647</v>
      </c>
      <c r="C2743" s="6" t="s">
        <v>43</v>
      </c>
      <c r="D2743" s="6" t="s">
        <v>6467</v>
      </c>
      <c r="E2743" s="6" t="s">
        <v>681</v>
      </c>
      <c r="F2743" s="6" t="s">
        <v>26</v>
      </c>
      <c r="G2743" s="7">
        <v>0.25</v>
      </c>
      <c r="H2743" s="6" t="s">
        <v>297</v>
      </c>
      <c r="I2743" s="6" t="s">
        <v>45</v>
      </c>
      <c r="J2743" s="6">
        <v>2022.0</v>
      </c>
      <c r="K2743" s="10">
        <v>46056.0</v>
      </c>
      <c r="L2743" s="6">
        <v>1.0</v>
      </c>
      <c r="M2743" s="8">
        <f t="shared" si="3"/>
        <v>0.25</v>
      </c>
      <c r="P2743" s="9"/>
    </row>
    <row r="2744">
      <c r="A2744" s="6" t="s">
        <v>6466</v>
      </c>
      <c r="B2744" s="6" t="s">
        <v>647</v>
      </c>
      <c r="C2744" s="6" t="s">
        <v>43</v>
      </c>
      <c r="D2744" s="6" t="s">
        <v>6468</v>
      </c>
      <c r="E2744" s="6" t="s">
        <v>681</v>
      </c>
      <c r="F2744" s="6" t="s">
        <v>26</v>
      </c>
      <c r="G2744" s="7">
        <v>0.05</v>
      </c>
      <c r="H2744" s="6" t="s">
        <v>297</v>
      </c>
      <c r="I2744" s="6" t="s">
        <v>20</v>
      </c>
      <c r="J2744" s="6">
        <v>2022.0</v>
      </c>
      <c r="K2744" s="10">
        <v>46056.0</v>
      </c>
      <c r="L2744" s="6">
        <v>1.0</v>
      </c>
      <c r="M2744" s="8">
        <f t="shared" si="3"/>
        <v>0.05</v>
      </c>
      <c r="P2744" s="9"/>
    </row>
    <row r="2745">
      <c r="A2745" s="6" t="s">
        <v>6469</v>
      </c>
      <c r="B2745" s="6" t="s">
        <v>462</v>
      </c>
      <c r="C2745" s="6" t="s">
        <v>377</v>
      </c>
      <c r="D2745" s="6" t="s">
        <v>6470</v>
      </c>
      <c r="E2745" s="6" t="s">
        <v>76</v>
      </c>
      <c r="F2745" s="6" t="s">
        <v>2232</v>
      </c>
      <c r="G2745" s="7">
        <v>0.3</v>
      </c>
      <c r="H2745" s="6" t="s">
        <v>468</v>
      </c>
      <c r="I2745" s="6" t="s">
        <v>45</v>
      </c>
      <c r="J2745" s="6">
        <v>2015.0</v>
      </c>
      <c r="L2745" s="6">
        <v>1.0</v>
      </c>
      <c r="M2745" s="8">
        <f t="shared" si="3"/>
        <v>0.3</v>
      </c>
      <c r="P2745" s="9"/>
    </row>
    <row r="2746">
      <c r="A2746" s="6" t="s">
        <v>6469</v>
      </c>
      <c r="B2746" s="6" t="s">
        <v>462</v>
      </c>
      <c r="C2746" s="6" t="s">
        <v>377</v>
      </c>
      <c r="D2746" s="6" t="s">
        <v>6470</v>
      </c>
      <c r="E2746" s="6" t="s">
        <v>76</v>
      </c>
      <c r="F2746" s="6" t="s">
        <v>2232</v>
      </c>
      <c r="G2746" s="7">
        <v>0.08</v>
      </c>
      <c r="H2746" s="6" t="s">
        <v>468</v>
      </c>
      <c r="I2746" s="6" t="s">
        <v>20</v>
      </c>
      <c r="J2746" s="6">
        <v>2015.0</v>
      </c>
      <c r="L2746" s="6">
        <v>1.0</v>
      </c>
      <c r="M2746" s="8">
        <f t="shared" si="3"/>
        <v>0.08</v>
      </c>
      <c r="P2746" s="9"/>
    </row>
    <row r="2747">
      <c r="A2747" s="6" t="s">
        <v>6471</v>
      </c>
      <c r="B2747" s="6" t="s">
        <v>6435</v>
      </c>
      <c r="C2747" s="6" t="s">
        <v>37</v>
      </c>
      <c r="D2747" s="6" t="s">
        <v>6472</v>
      </c>
      <c r="E2747" s="6" t="s">
        <v>6473</v>
      </c>
      <c r="F2747" s="6" t="s">
        <v>71</v>
      </c>
      <c r="G2747" s="7">
        <v>0.1</v>
      </c>
      <c r="H2747" s="6" t="s">
        <v>475</v>
      </c>
      <c r="I2747" s="6" t="s">
        <v>20</v>
      </c>
      <c r="J2747" s="6">
        <v>2024.0</v>
      </c>
      <c r="K2747" s="10">
        <v>46147.0</v>
      </c>
      <c r="L2747" s="6">
        <v>1.0</v>
      </c>
      <c r="M2747" s="8">
        <f t="shared" si="3"/>
        <v>0.1</v>
      </c>
      <c r="P2747" s="9"/>
    </row>
    <row r="2748">
      <c r="A2748" s="6" t="s">
        <v>6474</v>
      </c>
      <c r="B2748" s="6" t="s">
        <v>6475</v>
      </c>
      <c r="C2748" s="6" t="s">
        <v>43</v>
      </c>
      <c r="D2748" s="6" t="s">
        <v>6476</v>
      </c>
      <c r="E2748" s="6" t="s">
        <v>76</v>
      </c>
      <c r="F2748" s="6" t="s">
        <v>77</v>
      </c>
      <c r="G2748" s="7">
        <v>0.08</v>
      </c>
      <c r="H2748" s="6" t="s">
        <v>1048</v>
      </c>
      <c r="I2748" s="6" t="s">
        <v>20</v>
      </c>
      <c r="J2748" s="6">
        <v>2008.0</v>
      </c>
      <c r="K2748" s="10">
        <v>46024.0</v>
      </c>
      <c r="L2748" s="6">
        <v>1.0</v>
      </c>
      <c r="M2748" s="8">
        <f t="shared" si="3"/>
        <v>0.08</v>
      </c>
      <c r="P2748" s="9"/>
    </row>
    <row r="2749">
      <c r="A2749" s="6" t="s">
        <v>6477</v>
      </c>
      <c r="B2749" s="6" t="s">
        <v>396</v>
      </c>
      <c r="C2749" s="6" t="s">
        <v>43</v>
      </c>
      <c r="D2749" s="6" t="s">
        <v>6478</v>
      </c>
      <c r="E2749" s="6" t="s">
        <v>185</v>
      </c>
      <c r="F2749" s="6" t="s">
        <v>26</v>
      </c>
      <c r="G2749" s="7">
        <v>0.03</v>
      </c>
      <c r="H2749" s="6" t="s">
        <v>1038</v>
      </c>
      <c r="I2749" s="6" t="s">
        <v>20</v>
      </c>
      <c r="J2749" s="6">
        <v>2015.0</v>
      </c>
      <c r="L2749" s="6">
        <v>2.0</v>
      </c>
      <c r="M2749" s="8">
        <f t="shared" si="3"/>
        <v>0.06</v>
      </c>
      <c r="P2749" s="9"/>
    </row>
    <row r="2750">
      <c r="A2750" s="6" t="s">
        <v>6479</v>
      </c>
      <c r="B2750" s="6" t="s">
        <v>778</v>
      </c>
      <c r="C2750" s="6" t="s">
        <v>15</v>
      </c>
      <c r="D2750" s="6" t="s">
        <v>6480</v>
      </c>
      <c r="E2750" s="6" t="s">
        <v>17</v>
      </c>
      <c r="F2750" s="6" t="s">
        <v>18</v>
      </c>
      <c r="G2750" s="7">
        <v>0.14</v>
      </c>
      <c r="H2750" s="6" t="s">
        <v>153</v>
      </c>
      <c r="I2750" s="6" t="s">
        <v>20</v>
      </c>
      <c r="J2750" s="6">
        <v>2025.0</v>
      </c>
      <c r="L2750" s="6">
        <v>1.0</v>
      </c>
      <c r="M2750" s="8">
        <f t="shared" si="3"/>
        <v>0.14</v>
      </c>
      <c r="P2750" s="9"/>
    </row>
    <row r="2751">
      <c r="A2751" s="6" t="s">
        <v>6481</v>
      </c>
      <c r="B2751" s="6" t="s">
        <v>6482</v>
      </c>
      <c r="C2751" s="6" t="s">
        <v>37</v>
      </c>
      <c r="D2751" s="6" t="s">
        <v>6483</v>
      </c>
      <c r="E2751" s="6" t="s">
        <v>224</v>
      </c>
      <c r="F2751" s="6" t="s">
        <v>18</v>
      </c>
      <c r="G2751" s="7">
        <v>0.15</v>
      </c>
      <c r="H2751" s="6" t="s">
        <v>6484</v>
      </c>
      <c r="I2751" s="6" t="s">
        <v>20</v>
      </c>
      <c r="J2751" s="6">
        <v>2025.0</v>
      </c>
      <c r="K2751" s="10">
        <v>46116.0</v>
      </c>
      <c r="L2751" s="6">
        <v>1.0</v>
      </c>
      <c r="M2751" s="8">
        <f t="shared" si="3"/>
        <v>0.15</v>
      </c>
      <c r="P2751" s="9"/>
    </row>
    <row r="2752">
      <c r="A2752" s="6" t="s">
        <v>6485</v>
      </c>
      <c r="B2752" s="6" t="s">
        <v>778</v>
      </c>
      <c r="C2752" s="6" t="s">
        <v>15</v>
      </c>
      <c r="D2752" s="6" t="s">
        <v>6486</v>
      </c>
      <c r="E2752" s="6" t="s">
        <v>252</v>
      </c>
      <c r="F2752" s="6" t="s">
        <v>40</v>
      </c>
      <c r="G2752" s="7">
        <v>0.19</v>
      </c>
      <c r="H2752" s="6" t="s">
        <v>153</v>
      </c>
      <c r="I2752" s="6" t="s">
        <v>20</v>
      </c>
      <c r="J2752" s="6">
        <v>2025.0</v>
      </c>
      <c r="L2752" s="6">
        <v>1.0</v>
      </c>
      <c r="M2752" s="8">
        <f t="shared" si="3"/>
        <v>0.19</v>
      </c>
      <c r="P2752" s="9"/>
    </row>
    <row r="2753">
      <c r="A2753" s="6" t="s">
        <v>6487</v>
      </c>
      <c r="B2753" s="6" t="s">
        <v>778</v>
      </c>
      <c r="C2753" s="6" t="s">
        <v>15</v>
      </c>
      <c r="D2753" s="6" t="s">
        <v>6488</v>
      </c>
      <c r="E2753" s="6" t="s">
        <v>3441</v>
      </c>
      <c r="F2753" s="6" t="s">
        <v>77</v>
      </c>
      <c r="G2753" s="7">
        <v>0.1</v>
      </c>
      <c r="H2753" s="6" t="s">
        <v>153</v>
      </c>
      <c r="I2753" s="6" t="s">
        <v>20</v>
      </c>
      <c r="J2753" s="6">
        <v>2025.0</v>
      </c>
      <c r="L2753" s="6">
        <v>1.0</v>
      </c>
      <c r="M2753" s="8">
        <f t="shared" si="3"/>
        <v>0.1</v>
      </c>
      <c r="P2753" s="9"/>
    </row>
    <row r="2754">
      <c r="A2754" s="6" t="s">
        <v>6489</v>
      </c>
      <c r="B2754" s="6" t="s">
        <v>778</v>
      </c>
      <c r="C2754" s="6" t="s">
        <v>15</v>
      </c>
      <c r="D2754" s="6" t="s">
        <v>6490</v>
      </c>
      <c r="E2754" s="6" t="s">
        <v>129</v>
      </c>
      <c r="F2754" s="6" t="s">
        <v>87</v>
      </c>
      <c r="G2754" s="7">
        <v>0.1</v>
      </c>
      <c r="H2754" s="6" t="s">
        <v>153</v>
      </c>
      <c r="I2754" s="6" t="s">
        <v>20</v>
      </c>
      <c r="J2754" s="6">
        <v>2025.0</v>
      </c>
      <c r="L2754" s="6">
        <v>1.0</v>
      </c>
      <c r="M2754" s="8">
        <f t="shared" si="3"/>
        <v>0.1</v>
      </c>
      <c r="P2754" s="9"/>
    </row>
    <row r="2755">
      <c r="A2755" s="6" t="s">
        <v>6491</v>
      </c>
      <c r="B2755" s="6" t="s">
        <v>778</v>
      </c>
      <c r="C2755" s="6" t="s">
        <v>15</v>
      </c>
      <c r="D2755" s="6" t="s">
        <v>6492</v>
      </c>
      <c r="E2755" s="6" t="s">
        <v>980</v>
      </c>
      <c r="F2755" s="6" t="s">
        <v>112</v>
      </c>
      <c r="G2755" s="7">
        <v>0.15</v>
      </c>
      <c r="H2755" s="6" t="s">
        <v>153</v>
      </c>
      <c r="I2755" s="6" t="s">
        <v>20</v>
      </c>
      <c r="J2755" s="6">
        <v>2025.0</v>
      </c>
      <c r="L2755" s="6">
        <v>1.0</v>
      </c>
      <c r="M2755" s="8">
        <f t="shared" si="3"/>
        <v>0.15</v>
      </c>
      <c r="P2755" s="9"/>
    </row>
    <row r="2756">
      <c r="A2756" s="6" t="s">
        <v>6493</v>
      </c>
      <c r="B2756" s="6" t="s">
        <v>6494</v>
      </c>
      <c r="C2756" s="6" t="s">
        <v>43</v>
      </c>
      <c r="D2756" s="6" t="s">
        <v>6495</v>
      </c>
      <c r="E2756" s="6" t="s">
        <v>329</v>
      </c>
      <c r="F2756" s="6" t="s">
        <v>112</v>
      </c>
      <c r="G2756" s="7">
        <v>0.03</v>
      </c>
      <c r="H2756" s="6" t="s">
        <v>1856</v>
      </c>
      <c r="I2756" s="6" t="s">
        <v>20</v>
      </c>
      <c r="J2756" s="6">
        <v>2017.0</v>
      </c>
      <c r="K2756" s="10">
        <v>46056.0</v>
      </c>
      <c r="L2756" s="6">
        <v>4.0</v>
      </c>
      <c r="M2756" s="8">
        <f t="shared" si="3"/>
        <v>0.12</v>
      </c>
      <c r="P2756" s="9"/>
    </row>
    <row r="2757">
      <c r="A2757" s="6" t="s">
        <v>6496</v>
      </c>
      <c r="B2757" s="6" t="s">
        <v>2192</v>
      </c>
      <c r="C2757" s="6" t="s">
        <v>43</v>
      </c>
      <c r="D2757" s="6" t="s">
        <v>6497</v>
      </c>
      <c r="E2757" s="6" t="s">
        <v>76</v>
      </c>
      <c r="F2757" s="6" t="s">
        <v>77</v>
      </c>
      <c r="G2757" s="7">
        <v>0.06</v>
      </c>
      <c r="H2757" s="6" t="s">
        <v>1300</v>
      </c>
      <c r="I2757" s="6" t="s">
        <v>20</v>
      </c>
      <c r="J2757" s="6">
        <v>2021.0</v>
      </c>
      <c r="K2757" s="10">
        <v>46055.0</v>
      </c>
      <c r="L2757" s="6">
        <v>1.0</v>
      </c>
      <c r="M2757" s="8">
        <f t="shared" si="3"/>
        <v>0.06</v>
      </c>
      <c r="P2757" s="9"/>
    </row>
    <row r="2758">
      <c r="A2758" s="6" t="s">
        <v>6498</v>
      </c>
      <c r="B2758" s="6" t="s">
        <v>836</v>
      </c>
      <c r="C2758" s="6" t="s">
        <v>30</v>
      </c>
      <c r="D2758" s="6" t="s">
        <v>6499</v>
      </c>
      <c r="E2758" s="6" t="s">
        <v>1634</v>
      </c>
      <c r="F2758" s="6" t="s">
        <v>87</v>
      </c>
      <c r="G2758" s="7">
        <v>0.98</v>
      </c>
      <c r="H2758" s="6" t="s">
        <v>144</v>
      </c>
      <c r="I2758" s="6" t="s">
        <v>20</v>
      </c>
      <c r="J2758" s="6">
        <v>2018.0</v>
      </c>
      <c r="K2758" s="10">
        <v>46055.0</v>
      </c>
      <c r="L2758" s="6">
        <v>1.0</v>
      </c>
      <c r="M2758" s="8">
        <f t="shared" si="3"/>
        <v>0.98</v>
      </c>
      <c r="P2758" s="9"/>
    </row>
    <row r="2759">
      <c r="A2759" s="6" t="s">
        <v>6500</v>
      </c>
      <c r="B2759" s="6" t="s">
        <v>6501</v>
      </c>
      <c r="C2759" s="6" t="s">
        <v>43</v>
      </c>
      <c r="D2759" s="6" t="s">
        <v>6502</v>
      </c>
      <c r="E2759" s="6" t="s">
        <v>248</v>
      </c>
      <c r="F2759" s="6" t="s">
        <v>77</v>
      </c>
      <c r="G2759" s="7">
        <v>0.09</v>
      </c>
      <c r="H2759" s="6" t="s">
        <v>1148</v>
      </c>
      <c r="I2759" s="6" t="s">
        <v>20</v>
      </c>
      <c r="J2759" s="6">
        <v>2012.0</v>
      </c>
      <c r="K2759" s="10">
        <v>46055.0</v>
      </c>
      <c r="L2759" s="6">
        <v>1.0</v>
      </c>
      <c r="M2759" s="8">
        <f t="shared" si="3"/>
        <v>0.09</v>
      </c>
      <c r="P2759" s="9"/>
    </row>
    <row r="2760">
      <c r="A2760" s="6" t="s">
        <v>6503</v>
      </c>
      <c r="B2760" s="6" t="s">
        <v>74</v>
      </c>
      <c r="C2760" s="6" t="s">
        <v>43</v>
      </c>
      <c r="D2760" s="6" t="s">
        <v>6504</v>
      </c>
      <c r="E2760" s="6" t="s">
        <v>3084</v>
      </c>
      <c r="F2760" s="6" t="s">
        <v>1244</v>
      </c>
      <c r="G2760" s="7">
        <v>0.2</v>
      </c>
      <c r="H2760" s="6" t="s">
        <v>6505</v>
      </c>
      <c r="I2760" s="6" t="s">
        <v>20</v>
      </c>
      <c r="J2760" s="6">
        <v>2011.0</v>
      </c>
      <c r="L2760" s="6">
        <v>4.0</v>
      </c>
      <c r="M2760" s="8">
        <f t="shared" si="3"/>
        <v>0.8</v>
      </c>
      <c r="P2760" s="9"/>
    </row>
    <row r="2761">
      <c r="A2761" s="6" t="s">
        <v>6506</v>
      </c>
      <c r="B2761" s="6" t="s">
        <v>146</v>
      </c>
      <c r="C2761" s="6" t="s">
        <v>37</v>
      </c>
      <c r="D2761" s="6" t="s">
        <v>6507</v>
      </c>
      <c r="E2761" s="6" t="s">
        <v>39</v>
      </c>
      <c r="F2761" s="6" t="s">
        <v>40</v>
      </c>
      <c r="G2761" s="7">
        <v>0.15</v>
      </c>
      <c r="H2761" s="6" t="s">
        <v>895</v>
      </c>
      <c r="I2761" s="6" t="s">
        <v>20</v>
      </c>
      <c r="J2761" s="6">
        <v>2018.0</v>
      </c>
      <c r="L2761" s="6">
        <v>1.0</v>
      </c>
      <c r="M2761" s="8">
        <f t="shared" si="3"/>
        <v>0.15</v>
      </c>
      <c r="P2761" s="9"/>
    </row>
    <row r="2762">
      <c r="A2762" s="6" t="s">
        <v>6508</v>
      </c>
      <c r="B2762" s="6" t="s">
        <v>74</v>
      </c>
      <c r="C2762" s="6" t="s">
        <v>30</v>
      </c>
      <c r="D2762" s="6" t="s">
        <v>6509</v>
      </c>
      <c r="E2762" s="6" t="s">
        <v>93</v>
      </c>
      <c r="F2762" s="6" t="s">
        <v>77</v>
      </c>
      <c r="G2762" s="7">
        <v>0.13</v>
      </c>
      <c r="H2762" s="6" t="s">
        <v>249</v>
      </c>
      <c r="I2762" s="6" t="s">
        <v>20</v>
      </c>
      <c r="J2762" s="6">
        <v>2014.0</v>
      </c>
      <c r="L2762" s="6">
        <v>1.0</v>
      </c>
      <c r="M2762" s="8">
        <f t="shared" si="3"/>
        <v>0.13</v>
      </c>
      <c r="P2762" s="9"/>
    </row>
    <row r="2763">
      <c r="A2763" s="6" t="s">
        <v>6510</v>
      </c>
      <c r="B2763" s="6" t="s">
        <v>861</v>
      </c>
      <c r="C2763" s="6" t="s">
        <v>43</v>
      </c>
      <c r="E2763" s="6" t="s">
        <v>2030</v>
      </c>
      <c r="F2763" s="6" t="s">
        <v>40</v>
      </c>
      <c r="G2763" s="7">
        <v>0.05</v>
      </c>
      <c r="H2763" s="6" t="s">
        <v>496</v>
      </c>
      <c r="I2763" s="6" t="s">
        <v>20</v>
      </c>
      <c r="J2763" s="6">
        <v>2013.0</v>
      </c>
      <c r="K2763" s="10">
        <v>46145.0</v>
      </c>
      <c r="L2763" s="6">
        <v>2.0</v>
      </c>
      <c r="M2763" s="8">
        <f t="shared" si="3"/>
        <v>0.1</v>
      </c>
      <c r="P2763" s="9"/>
    </row>
    <row r="2764">
      <c r="A2764" s="6" t="s">
        <v>6511</v>
      </c>
      <c r="B2764" s="6" t="s">
        <v>219</v>
      </c>
      <c r="C2764" s="6" t="s">
        <v>37</v>
      </c>
      <c r="D2764" s="6" t="s">
        <v>6512</v>
      </c>
      <c r="E2764" s="6" t="s">
        <v>215</v>
      </c>
      <c r="F2764" s="6" t="s">
        <v>26</v>
      </c>
      <c r="G2764" s="7">
        <v>0.03</v>
      </c>
      <c r="H2764" s="6" t="s">
        <v>1344</v>
      </c>
      <c r="I2764" s="6" t="s">
        <v>20</v>
      </c>
      <c r="J2764" s="6">
        <v>2018.0</v>
      </c>
      <c r="L2764" s="6">
        <v>1.0</v>
      </c>
      <c r="M2764" s="8">
        <f t="shared" si="3"/>
        <v>0.03</v>
      </c>
      <c r="N2764" s="6" t="s">
        <v>374</v>
      </c>
      <c r="P2764" s="9"/>
    </row>
    <row r="2765">
      <c r="A2765" s="6" t="s">
        <v>6513</v>
      </c>
      <c r="B2765" s="6" t="s">
        <v>2234</v>
      </c>
      <c r="C2765" s="6" t="s">
        <v>37</v>
      </c>
      <c r="D2765" s="6" t="s">
        <v>6514</v>
      </c>
      <c r="E2765" s="6" t="s">
        <v>164</v>
      </c>
      <c r="F2765" s="6" t="s">
        <v>112</v>
      </c>
      <c r="G2765" s="7">
        <v>0.17</v>
      </c>
      <c r="H2765" s="6" t="s">
        <v>1475</v>
      </c>
      <c r="I2765" s="6" t="s">
        <v>20</v>
      </c>
      <c r="J2765" s="6">
        <v>2020.0</v>
      </c>
      <c r="K2765" s="10">
        <v>46024.0</v>
      </c>
      <c r="L2765" s="6">
        <v>1.0</v>
      </c>
      <c r="M2765" s="8">
        <f t="shared" si="3"/>
        <v>0.17</v>
      </c>
      <c r="P2765" s="9"/>
    </row>
    <row r="2766">
      <c r="A2766" s="6" t="s">
        <v>6515</v>
      </c>
      <c r="B2766" s="6" t="s">
        <v>6516</v>
      </c>
      <c r="C2766" s="6" t="s">
        <v>43</v>
      </c>
      <c r="D2766" s="6" t="s">
        <v>6517</v>
      </c>
      <c r="E2766" s="6" t="s">
        <v>329</v>
      </c>
      <c r="F2766" s="6" t="s">
        <v>112</v>
      </c>
      <c r="G2766" s="7">
        <v>0.09</v>
      </c>
      <c r="H2766" s="6" t="s">
        <v>651</v>
      </c>
      <c r="I2766" s="6" t="s">
        <v>20</v>
      </c>
      <c r="J2766" s="6">
        <v>2022.0</v>
      </c>
      <c r="K2766" s="10">
        <v>46056.0</v>
      </c>
      <c r="L2766" s="6">
        <v>3.0</v>
      </c>
      <c r="M2766" s="8">
        <f t="shared" si="3"/>
        <v>0.27</v>
      </c>
      <c r="P2766" s="9"/>
    </row>
    <row r="2767">
      <c r="A2767" s="6" t="s">
        <v>6518</v>
      </c>
      <c r="B2767" s="6" t="s">
        <v>1517</v>
      </c>
      <c r="C2767" s="6" t="s">
        <v>43</v>
      </c>
      <c r="E2767" s="6" t="s">
        <v>135</v>
      </c>
      <c r="F2767" s="6" t="s">
        <v>40</v>
      </c>
      <c r="G2767" s="7">
        <v>0.06</v>
      </c>
      <c r="H2767" s="6" t="s">
        <v>4519</v>
      </c>
      <c r="I2767" s="6" t="s">
        <v>20</v>
      </c>
      <c r="J2767" s="6">
        <v>2009.0</v>
      </c>
      <c r="K2767" s="10">
        <v>46055.0</v>
      </c>
      <c r="L2767" s="6">
        <v>1.0</v>
      </c>
      <c r="M2767" s="8">
        <f t="shared" si="3"/>
        <v>0.06</v>
      </c>
      <c r="P2767" s="9"/>
    </row>
    <row r="2768">
      <c r="A2768" s="6" t="s">
        <v>6519</v>
      </c>
      <c r="B2768" s="6" t="s">
        <v>2224</v>
      </c>
      <c r="C2768" s="6" t="s">
        <v>418</v>
      </c>
      <c r="D2768" s="6" t="s">
        <v>6520</v>
      </c>
      <c r="E2768" s="6" t="s">
        <v>107</v>
      </c>
      <c r="F2768" s="6" t="s">
        <v>18</v>
      </c>
      <c r="G2768" s="7">
        <v>0.07</v>
      </c>
      <c r="H2768" s="6" t="s">
        <v>471</v>
      </c>
      <c r="I2768" s="6" t="s">
        <v>20</v>
      </c>
      <c r="J2768" s="6">
        <v>2026.0</v>
      </c>
      <c r="K2768" s="10">
        <v>46024.0</v>
      </c>
      <c r="L2768" s="6">
        <v>1.0</v>
      </c>
      <c r="M2768" s="8">
        <f t="shared" si="3"/>
        <v>0.07</v>
      </c>
      <c r="P2768" s="9"/>
    </row>
    <row r="2769">
      <c r="A2769" s="6" t="s">
        <v>6519</v>
      </c>
      <c r="B2769" s="6" t="s">
        <v>2224</v>
      </c>
      <c r="C2769" s="6" t="s">
        <v>418</v>
      </c>
      <c r="D2769" s="6" t="s">
        <v>6520</v>
      </c>
      <c r="E2769" s="6" t="s">
        <v>107</v>
      </c>
      <c r="F2769" s="6" t="s">
        <v>18</v>
      </c>
      <c r="G2769" s="7">
        <v>0.5</v>
      </c>
      <c r="H2769" s="6" t="s">
        <v>471</v>
      </c>
      <c r="I2769" s="6" t="s">
        <v>45</v>
      </c>
      <c r="J2769" s="6">
        <v>2026.0</v>
      </c>
      <c r="K2769" s="10">
        <v>46024.0</v>
      </c>
      <c r="L2769" s="6">
        <v>1.0</v>
      </c>
      <c r="M2769" s="8">
        <f t="shared" si="3"/>
        <v>0.5</v>
      </c>
      <c r="P2769" s="9"/>
    </row>
    <row r="2770">
      <c r="A2770" s="6" t="s">
        <v>6521</v>
      </c>
      <c r="B2770" s="6" t="s">
        <v>6522</v>
      </c>
      <c r="C2770" s="6" t="s">
        <v>377</v>
      </c>
      <c r="D2770" s="6" t="s">
        <v>6523</v>
      </c>
      <c r="E2770" s="6" t="s">
        <v>98</v>
      </c>
      <c r="F2770" s="6" t="s">
        <v>18</v>
      </c>
      <c r="G2770" s="7">
        <v>0.05</v>
      </c>
      <c r="H2770" s="6" t="s">
        <v>471</v>
      </c>
      <c r="I2770" s="6" t="s">
        <v>20</v>
      </c>
      <c r="J2770" s="6">
        <v>2026.0</v>
      </c>
      <c r="K2770" s="10">
        <v>46083.0</v>
      </c>
      <c r="L2770" s="6">
        <v>1.0</v>
      </c>
      <c r="M2770" s="8">
        <f t="shared" si="3"/>
        <v>0.05</v>
      </c>
      <c r="P2770" s="9"/>
    </row>
    <row r="2771">
      <c r="A2771" s="6" t="s">
        <v>6524</v>
      </c>
      <c r="B2771" s="6" t="s">
        <v>6525</v>
      </c>
      <c r="C2771" s="6" t="s">
        <v>43</v>
      </c>
      <c r="D2771" s="6" t="s">
        <v>6526</v>
      </c>
      <c r="E2771" s="6" t="s">
        <v>140</v>
      </c>
      <c r="F2771" s="6" t="s">
        <v>87</v>
      </c>
      <c r="G2771" s="7">
        <v>0.1</v>
      </c>
      <c r="H2771" s="6" t="s">
        <v>297</v>
      </c>
      <c r="I2771" s="6" t="s">
        <v>20</v>
      </c>
      <c r="J2771" s="6">
        <v>2022.0</v>
      </c>
      <c r="K2771" s="10">
        <v>46023.0</v>
      </c>
      <c r="L2771" s="6">
        <v>1.0</v>
      </c>
      <c r="M2771" s="8">
        <f t="shared" si="3"/>
        <v>0.1</v>
      </c>
      <c r="P2771" s="9"/>
    </row>
    <row r="2772">
      <c r="A2772" s="6" t="s">
        <v>6527</v>
      </c>
      <c r="B2772" s="6" t="s">
        <v>138</v>
      </c>
      <c r="C2772" s="6" t="s">
        <v>37</v>
      </c>
      <c r="D2772" s="6" t="s">
        <v>6528</v>
      </c>
      <c r="E2772" s="6" t="s">
        <v>76</v>
      </c>
      <c r="F2772" s="6" t="s">
        <v>77</v>
      </c>
      <c r="G2772" s="7">
        <v>0.4</v>
      </c>
      <c r="H2772" s="6" t="s">
        <v>83</v>
      </c>
      <c r="I2772" s="6" t="s">
        <v>20</v>
      </c>
      <c r="J2772" s="6">
        <v>1995.0</v>
      </c>
      <c r="L2772" s="6">
        <v>1.0</v>
      </c>
      <c r="M2772" s="8">
        <f t="shared" si="3"/>
        <v>0.4</v>
      </c>
      <c r="P2772" s="9"/>
    </row>
    <row r="2773">
      <c r="A2773" s="6" t="s">
        <v>6527</v>
      </c>
      <c r="B2773" s="6" t="s">
        <v>138</v>
      </c>
      <c r="C2773" s="6" t="s">
        <v>37</v>
      </c>
      <c r="D2773" s="6" t="s">
        <v>6528</v>
      </c>
      <c r="E2773" s="6" t="s">
        <v>76</v>
      </c>
      <c r="F2773" s="6" t="s">
        <v>77</v>
      </c>
      <c r="G2773" s="7">
        <v>0.15</v>
      </c>
      <c r="H2773" s="6" t="s">
        <v>1064</v>
      </c>
      <c r="I2773" s="6" t="s">
        <v>20</v>
      </c>
      <c r="J2773" s="6">
        <v>1995.0</v>
      </c>
      <c r="L2773" s="6">
        <v>1.0</v>
      </c>
      <c r="M2773" s="8">
        <f t="shared" si="3"/>
        <v>0.15</v>
      </c>
      <c r="P2773" s="9"/>
    </row>
    <row r="2774">
      <c r="A2774" s="6" t="s">
        <v>6529</v>
      </c>
      <c r="B2774" s="6" t="s">
        <v>6530</v>
      </c>
      <c r="C2774" s="6" t="s">
        <v>156</v>
      </c>
      <c r="D2774" s="6" t="s">
        <v>6531</v>
      </c>
      <c r="E2774" s="6" t="s">
        <v>6532</v>
      </c>
      <c r="F2774" s="6" t="s">
        <v>6533</v>
      </c>
      <c r="G2774" s="7">
        <v>0.99</v>
      </c>
      <c r="H2774" s="6" t="s">
        <v>153</v>
      </c>
      <c r="I2774" s="6" t="s">
        <v>20</v>
      </c>
      <c r="J2774" s="6">
        <v>2025.0</v>
      </c>
      <c r="K2774" s="10">
        <v>46210.0</v>
      </c>
      <c r="L2774" s="6">
        <v>1.0</v>
      </c>
      <c r="M2774" s="8">
        <f t="shared" si="3"/>
        <v>0.99</v>
      </c>
      <c r="P2774" s="9"/>
    </row>
    <row r="2775">
      <c r="A2775" s="6" t="s">
        <v>6534</v>
      </c>
      <c r="B2775" s="6" t="s">
        <v>6535</v>
      </c>
      <c r="C2775" s="6" t="s">
        <v>23</v>
      </c>
      <c r="D2775" s="6" t="s">
        <v>6536</v>
      </c>
      <c r="E2775" s="6" t="s">
        <v>1364</v>
      </c>
      <c r="F2775" s="6" t="s">
        <v>18</v>
      </c>
      <c r="G2775" s="7">
        <v>0.05</v>
      </c>
      <c r="H2775" s="6" t="s">
        <v>780</v>
      </c>
      <c r="I2775" s="6" t="s">
        <v>20</v>
      </c>
      <c r="J2775" s="6">
        <v>2025.0</v>
      </c>
      <c r="K2775" s="10">
        <v>46083.0</v>
      </c>
      <c r="L2775" s="6">
        <v>1.0</v>
      </c>
      <c r="M2775" s="8">
        <f t="shared" si="3"/>
        <v>0.05</v>
      </c>
      <c r="P2775" s="9"/>
    </row>
    <row r="2776">
      <c r="A2776" s="6" t="s">
        <v>6537</v>
      </c>
      <c r="B2776" s="6" t="s">
        <v>1272</v>
      </c>
      <c r="C2776" s="6" t="s">
        <v>37</v>
      </c>
      <c r="D2776" s="6" t="s">
        <v>6538</v>
      </c>
      <c r="E2776" s="6" t="s">
        <v>753</v>
      </c>
      <c r="F2776" s="6" t="s">
        <v>87</v>
      </c>
      <c r="G2776" s="7">
        <v>0.05</v>
      </c>
      <c r="H2776" s="6" t="s">
        <v>452</v>
      </c>
      <c r="I2776" s="6" t="s">
        <v>20</v>
      </c>
      <c r="J2776" s="6">
        <v>1995.0</v>
      </c>
      <c r="K2776" s="10">
        <v>46055.0</v>
      </c>
      <c r="L2776" s="6">
        <v>2.0</v>
      </c>
      <c r="M2776" s="8">
        <f t="shared" si="3"/>
        <v>0.1</v>
      </c>
      <c r="P2776" s="9"/>
    </row>
    <row r="2777">
      <c r="A2777" s="6" t="s">
        <v>6537</v>
      </c>
      <c r="B2777" s="6" t="s">
        <v>1272</v>
      </c>
      <c r="C2777" s="6" t="s">
        <v>37</v>
      </c>
      <c r="D2777" s="6" t="s">
        <v>6538</v>
      </c>
      <c r="E2777" s="6" t="s">
        <v>753</v>
      </c>
      <c r="F2777" s="6" t="s">
        <v>87</v>
      </c>
      <c r="G2777" s="7">
        <v>0.15</v>
      </c>
      <c r="H2777" s="6" t="s">
        <v>316</v>
      </c>
      <c r="I2777" s="6" t="s">
        <v>20</v>
      </c>
      <c r="J2777" s="6">
        <v>1995.0</v>
      </c>
      <c r="K2777" s="10">
        <v>46055.0</v>
      </c>
      <c r="L2777" s="6">
        <v>6.0</v>
      </c>
      <c r="M2777" s="8">
        <f t="shared" si="3"/>
        <v>0.9</v>
      </c>
      <c r="P2777" s="9"/>
    </row>
    <row r="2778">
      <c r="A2778" s="6" t="s">
        <v>6539</v>
      </c>
      <c r="B2778" s="6" t="s">
        <v>6540</v>
      </c>
      <c r="C2778" s="6" t="s">
        <v>37</v>
      </c>
      <c r="D2778" s="6" t="s">
        <v>6541</v>
      </c>
      <c r="E2778" s="6" t="s">
        <v>248</v>
      </c>
      <c r="F2778" s="6" t="s">
        <v>77</v>
      </c>
      <c r="G2778" s="7">
        <v>0.09</v>
      </c>
      <c r="H2778" s="6" t="s">
        <v>651</v>
      </c>
      <c r="I2778" s="6" t="s">
        <v>20</v>
      </c>
      <c r="J2778" s="6">
        <v>2022.0</v>
      </c>
      <c r="K2778" s="10">
        <v>46084.0</v>
      </c>
      <c r="L2778" s="6">
        <v>1.0</v>
      </c>
      <c r="M2778" s="8">
        <f t="shared" si="3"/>
        <v>0.09</v>
      </c>
      <c r="P2778" s="9"/>
    </row>
    <row r="2779">
      <c r="A2779" s="6" t="s">
        <v>6542</v>
      </c>
      <c r="B2779" s="6" t="s">
        <v>1533</v>
      </c>
      <c r="C2779" s="6" t="s">
        <v>418</v>
      </c>
      <c r="D2779" s="6" t="s">
        <v>6543</v>
      </c>
      <c r="E2779" s="6" t="s">
        <v>256</v>
      </c>
      <c r="F2779" s="6" t="s">
        <v>87</v>
      </c>
      <c r="G2779" s="7">
        <v>0.08</v>
      </c>
      <c r="H2779" s="6" t="s">
        <v>471</v>
      </c>
      <c r="I2779" s="6" t="s">
        <v>20</v>
      </c>
      <c r="J2779" s="6">
        <v>2026.0</v>
      </c>
      <c r="K2779" s="10">
        <v>46056.0</v>
      </c>
      <c r="L2779" s="6">
        <v>1.0</v>
      </c>
      <c r="M2779" s="8">
        <f t="shared" si="3"/>
        <v>0.08</v>
      </c>
      <c r="P2779" s="9"/>
    </row>
    <row r="2780">
      <c r="A2780" s="6" t="s">
        <v>6544</v>
      </c>
      <c r="B2780" s="6" t="s">
        <v>6545</v>
      </c>
      <c r="C2780" s="6" t="s">
        <v>37</v>
      </c>
      <c r="D2780" s="6" t="s">
        <v>6546</v>
      </c>
      <c r="E2780" s="6" t="s">
        <v>448</v>
      </c>
      <c r="F2780" s="6" t="s">
        <v>112</v>
      </c>
      <c r="G2780" s="7">
        <v>0.11</v>
      </c>
      <c r="H2780" s="6" t="s">
        <v>651</v>
      </c>
      <c r="I2780" s="6" t="s">
        <v>20</v>
      </c>
      <c r="J2780" s="6">
        <v>2022.0</v>
      </c>
      <c r="K2780" s="10">
        <v>46116.0</v>
      </c>
      <c r="L2780" s="6">
        <v>1.0</v>
      </c>
      <c r="M2780" s="8">
        <f t="shared" si="3"/>
        <v>0.11</v>
      </c>
      <c r="P2780" s="9"/>
    </row>
    <row r="2781">
      <c r="A2781" s="6" t="s">
        <v>6547</v>
      </c>
      <c r="B2781" s="6" t="s">
        <v>504</v>
      </c>
      <c r="C2781" s="6" t="s">
        <v>30</v>
      </c>
      <c r="D2781" s="6" t="s">
        <v>6548</v>
      </c>
      <c r="E2781" s="6" t="s">
        <v>6549</v>
      </c>
      <c r="F2781" s="6" t="s">
        <v>112</v>
      </c>
      <c r="G2781" s="7">
        <v>0.14</v>
      </c>
      <c r="H2781" s="6" t="s">
        <v>65</v>
      </c>
      <c r="I2781" s="6" t="s">
        <v>20</v>
      </c>
      <c r="J2781" s="6">
        <v>2013.0</v>
      </c>
      <c r="K2781" s="10">
        <v>46274.0</v>
      </c>
      <c r="L2781" s="6">
        <v>1.0</v>
      </c>
      <c r="M2781" s="8">
        <f t="shared" si="3"/>
        <v>0.14</v>
      </c>
      <c r="P2781" s="9"/>
    </row>
    <row r="2782">
      <c r="A2782" s="6" t="s">
        <v>6550</v>
      </c>
      <c r="B2782" s="6" t="s">
        <v>6551</v>
      </c>
      <c r="C2782" s="6" t="s">
        <v>512</v>
      </c>
      <c r="D2782" s="6" t="s">
        <v>6552</v>
      </c>
      <c r="E2782" s="6" t="s">
        <v>6553</v>
      </c>
      <c r="F2782" s="6" t="s">
        <v>87</v>
      </c>
      <c r="G2782" s="7">
        <v>0.43</v>
      </c>
      <c r="H2782" s="6" t="s">
        <v>369</v>
      </c>
      <c r="I2782" s="6" t="s">
        <v>20</v>
      </c>
      <c r="J2782" s="6">
        <v>2019.0</v>
      </c>
      <c r="K2782" s="10">
        <v>46116.0</v>
      </c>
      <c r="L2782" s="6">
        <v>2.0</v>
      </c>
      <c r="M2782" s="8">
        <f t="shared" si="3"/>
        <v>0.86</v>
      </c>
      <c r="P2782" s="9"/>
    </row>
    <row r="2783">
      <c r="A2783" s="6" t="s">
        <v>6554</v>
      </c>
      <c r="B2783" s="6" t="s">
        <v>2356</v>
      </c>
      <c r="C2783" s="6" t="s">
        <v>43</v>
      </c>
      <c r="D2783" s="6" t="s">
        <v>6555</v>
      </c>
      <c r="E2783" s="6" t="s">
        <v>179</v>
      </c>
      <c r="F2783" s="6" t="s">
        <v>112</v>
      </c>
      <c r="G2783" s="7">
        <v>0.23</v>
      </c>
      <c r="H2783" s="6" t="s">
        <v>5061</v>
      </c>
      <c r="I2783" s="6" t="s">
        <v>20</v>
      </c>
      <c r="J2783" s="6">
        <v>2006.0</v>
      </c>
      <c r="K2783" s="10">
        <v>46023.0</v>
      </c>
      <c r="L2783" s="6">
        <v>4.0</v>
      </c>
      <c r="M2783" s="8">
        <f t="shared" si="3"/>
        <v>0.92</v>
      </c>
      <c r="P2783" s="9"/>
    </row>
    <row r="2784">
      <c r="A2784" s="6" t="s">
        <v>6556</v>
      </c>
      <c r="B2784" s="6" t="s">
        <v>789</v>
      </c>
      <c r="C2784" s="6" t="s">
        <v>37</v>
      </c>
      <c r="D2784" s="6" t="s">
        <v>6557</v>
      </c>
      <c r="E2784" s="6" t="s">
        <v>215</v>
      </c>
      <c r="F2784" s="6" t="s">
        <v>26</v>
      </c>
      <c r="G2784" s="7">
        <v>0.25</v>
      </c>
      <c r="H2784" s="6" t="s">
        <v>136</v>
      </c>
      <c r="I2784" s="6" t="s">
        <v>20</v>
      </c>
      <c r="J2784" s="6">
        <v>2026.0</v>
      </c>
      <c r="L2784" s="6">
        <v>3.0</v>
      </c>
      <c r="M2784" s="8">
        <f t="shared" si="3"/>
        <v>0.75</v>
      </c>
      <c r="P2784" s="9"/>
    </row>
    <row r="2785">
      <c r="A2785" s="6" t="s">
        <v>6558</v>
      </c>
      <c r="B2785" s="6" t="s">
        <v>162</v>
      </c>
      <c r="C2785" s="6" t="s">
        <v>43</v>
      </c>
      <c r="D2785" s="6" t="s">
        <v>6559</v>
      </c>
      <c r="E2785" s="6" t="s">
        <v>256</v>
      </c>
      <c r="F2785" s="6" t="s">
        <v>87</v>
      </c>
      <c r="G2785" s="7">
        <v>0.21</v>
      </c>
      <c r="H2785" s="6" t="s">
        <v>431</v>
      </c>
      <c r="I2785" s="6" t="s">
        <v>20</v>
      </c>
      <c r="J2785" s="6">
        <v>2019.0</v>
      </c>
      <c r="L2785" s="6">
        <v>4.0</v>
      </c>
      <c r="M2785" s="8">
        <f t="shared" si="3"/>
        <v>0.84</v>
      </c>
      <c r="P2785" s="9"/>
    </row>
    <row r="2786">
      <c r="A2786" s="6" t="s">
        <v>6560</v>
      </c>
      <c r="B2786" s="6" t="s">
        <v>836</v>
      </c>
      <c r="C2786" s="6" t="s">
        <v>43</v>
      </c>
      <c r="D2786" s="6" t="s">
        <v>6561</v>
      </c>
      <c r="E2786" s="6" t="s">
        <v>753</v>
      </c>
      <c r="F2786" s="6" t="s">
        <v>87</v>
      </c>
      <c r="G2786" s="7">
        <v>0.04</v>
      </c>
      <c r="H2786" s="6" t="s">
        <v>464</v>
      </c>
      <c r="I2786" s="6" t="s">
        <v>20</v>
      </c>
      <c r="J2786" s="6">
        <v>2002.0</v>
      </c>
      <c r="K2786" s="10">
        <v>46024.0</v>
      </c>
      <c r="L2786" s="6">
        <v>1.0</v>
      </c>
      <c r="M2786" s="8">
        <f t="shared" si="3"/>
        <v>0.04</v>
      </c>
      <c r="P2786" s="9"/>
    </row>
    <row r="2787">
      <c r="A2787" s="6" t="s">
        <v>6562</v>
      </c>
      <c r="B2787" s="6" t="s">
        <v>836</v>
      </c>
      <c r="C2787" s="6" t="s">
        <v>30</v>
      </c>
      <c r="D2787" s="6" t="s">
        <v>6563</v>
      </c>
      <c r="E2787" s="6" t="s">
        <v>86</v>
      </c>
      <c r="F2787" s="6" t="s">
        <v>87</v>
      </c>
      <c r="G2787" s="7">
        <v>0.06</v>
      </c>
      <c r="H2787" s="6" t="s">
        <v>6564</v>
      </c>
      <c r="I2787" s="6" t="s">
        <v>45</v>
      </c>
      <c r="J2787" s="6">
        <v>2003.0</v>
      </c>
      <c r="K2787" s="10">
        <v>46024.0</v>
      </c>
      <c r="L2787" s="6">
        <v>1.0</v>
      </c>
      <c r="M2787" s="8">
        <f t="shared" si="3"/>
        <v>0.06</v>
      </c>
      <c r="P2787" s="9"/>
    </row>
    <row r="2788">
      <c r="A2788" s="6" t="s">
        <v>6565</v>
      </c>
      <c r="B2788" s="6" t="s">
        <v>836</v>
      </c>
      <c r="C2788" s="6" t="s">
        <v>43</v>
      </c>
      <c r="D2788" s="6" t="s">
        <v>6566</v>
      </c>
      <c r="E2788" s="6" t="s">
        <v>389</v>
      </c>
      <c r="F2788" s="6" t="s">
        <v>87</v>
      </c>
      <c r="G2788" s="7">
        <v>0.08</v>
      </c>
      <c r="H2788" s="6" t="s">
        <v>3372</v>
      </c>
      <c r="I2788" s="6" t="s">
        <v>20</v>
      </c>
      <c r="J2788" s="6">
        <v>2003.0</v>
      </c>
      <c r="K2788" s="10">
        <v>46055.0</v>
      </c>
      <c r="L2788" s="6">
        <v>1.0</v>
      </c>
      <c r="M2788" s="8">
        <f t="shared" si="3"/>
        <v>0.08</v>
      </c>
      <c r="P2788" s="9"/>
    </row>
    <row r="2789">
      <c r="A2789" s="6" t="s">
        <v>6567</v>
      </c>
      <c r="B2789" s="6" t="s">
        <v>836</v>
      </c>
      <c r="C2789" s="6" t="s">
        <v>37</v>
      </c>
      <c r="D2789" s="6" t="s">
        <v>6568</v>
      </c>
      <c r="E2789" s="6" t="s">
        <v>389</v>
      </c>
      <c r="F2789" s="6" t="s">
        <v>87</v>
      </c>
      <c r="G2789" s="7">
        <v>0.08</v>
      </c>
      <c r="H2789" s="6" t="s">
        <v>3369</v>
      </c>
      <c r="I2789" s="6" t="s">
        <v>20</v>
      </c>
      <c r="J2789" s="6">
        <v>2003.0</v>
      </c>
      <c r="K2789" s="10">
        <v>46025.0</v>
      </c>
      <c r="L2789" s="6">
        <v>1.0</v>
      </c>
      <c r="M2789" s="8">
        <f t="shared" si="3"/>
        <v>0.08</v>
      </c>
      <c r="P2789" s="9"/>
    </row>
    <row r="2790">
      <c r="A2790" s="6" t="s">
        <v>6569</v>
      </c>
      <c r="B2790" s="6" t="s">
        <v>6570</v>
      </c>
      <c r="C2790" s="6" t="s">
        <v>43</v>
      </c>
      <c r="D2790" s="6" t="s">
        <v>6571</v>
      </c>
      <c r="E2790" s="6" t="s">
        <v>2792</v>
      </c>
      <c r="F2790" s="6" t="s">
        <v>87</v>
      </c>
      <c r="G2790" s="7">
        <v>0.1</v>
      </c>
      <c r="H2790" s="6" t="s">
        <v>363</v>
      </c>
      <c r="I2790" s="6" t="s">
        <v>20</v>
      </c>
      <c r="J2790" s="6">
        <v>2024.0</v>
      </c>
      <c r="K2790" s="10">
        <v>46116.0</v>
      </c>
      <c r="L2790" s="6">
        <v>1.0</v>
      </c>
      <c r="M2790" s="8">
        <f t="shared" si="3"/>
        <v>0.1</v>
      </c>
      <c r="P2790" s="9"/>
    </row>
    <row r="2791">
      <c r="A2791" s="6" t="s">
        <v>6572</v>
      </c>
      <c r="B2791" s="6" t="s">
        <v>219</v>
      </c>
      <c r="C2791" s="6" t="s">
        <v>37</v>
      </c>
      <c r="D2791" s="6" t="s">
        <v>6573</v>
      </c>
      <c r="E2791" s="6" t="s">
        <v>994</v>
      </c>
      <c r="F2791" s="6" t="s">
        <v>26</v>
      </c>
      <c r="G2791" s="7">
        <v>0.1</v>
      </c>
      <c r="H2791" s="6" t="s">
        <v>187</v>
      </c>
      <c r="I2791" s="6" t="s">
        <v>20</v>
      </c>
      <c r="J2791" s="6">
        <v>1995.0</v>
      </c>
      <c r="L2791" s="6">
        <v>1.0</v>
      </c>
      <c r="M2791" s="8">
        <f t="shared" si="3"/>
        <v>0.1</v>
      </c>
      <c r="P2791" s="9"/>
    </row>
    <row r="2792">
      <c r="A2792" s="6" t="s">
        <v>6572</v>
      </c>
      <c r="B2792" s="6" t="s">
        <v>219</v>
      </c>
      <c r="C2792" s="6" t="s">
        <v>37</v>
      </c>
      <c r="D2792" s="6" t="s">
        <v>6574</v>
      </c>
      <c r="E2792" s="6" t="s">
        <v>994</v>
      </c>
      <c r="F2792" s="6" t="s">
        <v>26</v>
      </c>
      <c r="G2792" s="7">
        <v>0.25</v>
      </c>
      <c r="H2792" s="6" t="s">
        <v>6046</v>
      </c>
      <c r="I2792" s="6" t="s">
        <v>20</v>
      </c>
      <c r="J2792" s="6">
        <v>1999.0</v>
      </c>
      <c r="L2792" s="6">
        <v>1.0</v>
      </c>
      <c r="M2792" s="8">
        <f t="shared" si="3"/>
        <v>0.25</v>
      </c>
      <c r="P2792" s="9"/>
    </row>
    <row r="2793">
      <c r="A2793" s="6" t="s">
        <v>6575</v>
      </c>
      <c r="B2793" s="6" t="s">
        <v>6576</v>
      </c>
      <c r="C2793" s="6" t="s">
        <v>37</v>
      </c>
      <c r="D2793" s="6" t="s">
        <v>6577</v>
      </c>
      <c r="E2793" s="6" t="s">
        <v>176</v>
      </c>
      <c r="F2793" s="6" t="s">
        <v>77</v>
      </c>
      <c r="G2793" s="7">
        <v>0.09</v>
      </c>
      <c r="H2793" s="6" t="s">
        <v>651</v>
      </c>
      <c r="I2793" s="6" t="s">
        <v>20</v>
      </c>
      <c r="J2793" s="6">
        <v>2022.0</v>
      </c>
      <c r="K2793" s="10">
        <v>46113.0</v>
      </c>
      <c r="L2793" s="6">
        <v>1.0</v>
      </c>
      <c r="M2793" s="8">
        <f t="shared" si="3"/>
        <v>0.09</v>
      </c>
      <c r="P2793" s="9"/>
    </row>
    <row r="2794">
      <c r="A2794" s="6" t="s">
        <v>6578</v>
      </c>
      <c r="B2794" s="6" t="s">
        <v>2005</v>
      </c>
      <c r="C2794" s="6" t="s">
        <v>43</v>
      </c>
      <c r="D2794" s="6" t="s">
        <v>6579</v>
      </c>
      <c r="E2794" s="6" t="s">
        <v>329</v>
      </c>
      <c r="F2794" s="6" t="s">
        <v>112</v>
      </c>
      <c r="G2794" s="7">
        <v>0.04</v>
      </c>
      <c r="H2794" s="6" t="s">
        <v>734</v>
      </c>
      <c r="I2794" s="6" t="s">
        <v>20</v>
      </c>
      <c r="J2794" s="6">
        <v>2022.0</v>
      </c>
      <c r="K2794" s="10">
        <v>46083.0</v>
      </c>
      <c r="L2794" s="6">
        <v>3.0</v>
      </c>
      <c r="M2794" s="8">
        <f t="shared" si="3"/>
        <v>0.12</v>
      </c>
      <c r="P2794" s="9"/>
    </row>
    <row r="2795">
      <c r="A2795" s="6" t="s">
        <v>6580</v>
      </c>
      <c r="B2795" s="6" t="s">
        <v>192</v>
      </c>
      <c r="C2795" s="6" t="s">
        <v>377</v>
      </c>
      <c r="D2795" s="6" t="s">
        <v>6581</v>
      </c>
      <c r="E2795" s="6" t="s">
        <v>25</v>
      </c>
      <c r="F2795" s="6" t="s">
        <v>312</v>
      </c>
      <c r="G2795" s="7">
        <v>2.5</v>
      </c>
      <c r="H2795" s="6" t="s">
        <v>259</v>
      </c>
      <c r="I2795" s="6" t="s">
        <v>20</v>
      </c>
      <c r="J2795" s="6">
        <v>1996.0</v>
      </c>
      <c r="L2795" s="6">
        <v>1.0</v>
      </c>
      <c r="M2795" s="8">
        <f t="shared" si="3"/>
        <v>2.5</v>
      </c>
      <c r="P2795" s="9"/>
    </row>
    <row r="2796">
      <c r="A2796" s="6" t="s">
        <v>6582</v>
      </c>
      <c r="B2796" s="6" t="s">
        <v>494</v>
      </c>
      <c r="C2796" s="6" t="s">
        <v>37</v>
      </c>
      <c r="D2796" s="6" t="s">
        <v>6583</v>
      </c>
      <c r="E2796" s="6" t="s">
        <v>125</v>
      </c>
      <c r="F2796" s="6" t="s">
        <v>40</v>
      </c>
      <c r="G2796" s="7">
        <v>0.03</v>
      </c>
      <c r="H2796" s="6" t="s">
        <v>431</v>
      </c>
      <c r="I2796" s="6" t="s">
        <v>20</v>
      </c>
      <c r="J2796" s="6">
        <v>2019.0</v>
      </c>
      <c r="L2796" s="6">
        <v>1.0</v>
      </c>
      <c r="M2796" s="8">
        <f t="shared" si="3"/>
        <v>0.03</v>
      </c>
      <c r="N2796" s="6" t="s">
        <v>374</v>
      </c>
      <c r="P2796" s="9"/>
    </row>
    <row r="2797">
      <c r="A2797" s="6" t="s">
        <v>6584</v>
      </c>
      <c r="B2797" s="6" t="s">
        <v>603</v>
      </c>
      <c r="C2797" s="6" t="s">
        <v>43</v>
      </c>
      <c r="D2797" s="6" t="s">
        <v>6585</v>
      </c>
      <c r="E2797" s="6" t="s">
        <v>107</v>
      </c>
      <c r="F2797" s="6" t="s">
        <v>18</v>
      </c>
      <c r="G2797" s="7">
        <v>0.03</v>
      </c>
      <c r="H2797" s="6" t="s">
        <v>290</v>
      </c>
      <c r="I2797" s="6" t="s">
        <v>20</v>
      </c>
      <c r="J2797" s="6">
        <v>2019.0</v>
      </c>
      <c r="K2797" s="10">
        <v>46054.0</v>
      </c>
      <c r="L2797" s="6">
        <v>1.0</v>
      </c>
      <c r="M2797" s="8">
        <f t="shared" si="3"/>
        <v>0.03</v>
      </c>
      <c r="P2797" s="9"/>
    </row>
    <row r="2798">
      <c r="A2798" s="6" t="s">
        <v>6586</v>
      </c>
      <c r="B2798" s="6" t="s">
        <v>1677</v>
      </c>
      <c r="C2798" s="6" t="s">
        <v>43</v>
      </c>
      <c r="D2798" s="6" t="s">
        <v>6587</v>
      </c>
      <c r="E2798" s="6" t="s">
        <v>681</v>
      </c>
      <c r="F2798" s="6" t="s">
        <v>26</v>
      </c>
      <c r="G2798" s="7">
        <v>0.05</v>
      </c>
      <c r="H2798" s="6" t="s">
        <v>228</v>
      </c>
      <c r="I2798" s="6" t="s">
        <v>20</v>
      </c>
      <c r="J2798" s="6">
        <v>2025.0</v>
      </c>
      <c r="K2798" s="10">
        <v>46116.0</v>
      </c>
      <c r="L2798" s="6">
        <v>1.0</v>
      </c>
      <c r="M2798" s="8">
        <f t="shared" si="3"/>
        <v>0.05</v>
      </c>
      <c r="P2798" s="9"/>
    </row>
    <row r="2799">
      <c r="A2799" s="6" t="s">
        <v>6588</v>
      </c>
      <c r="B2799" s="6" t="s">
        <v>1394</v>
      </c>
      <c r="C2799" s="6" t="s">
        <v>37</v>
      </c>
      <c r="D2799" s="6" t="s">
        <v>6589</v>
      </c>
      <c r="E2799" s="6" t="s">
        <v>256</v>
      </c>
      <c r="F2799" s="6" t="s">
        <v>87</v>
      </c>
      <c r="G2799" s="7">
        <v>0.08</v>
      </c>
      <c r="H2799" s="6" t="s">
        <v>165</v>
      </c>
      <c r="I2799" s="6" t="s">
        <v>20</v>
      </c>
      <c r="J2799" s="6">
        <v>2020.0</v>
      </c>
      <c r="K2799" s="10">
        <v>46025.0</v>
      </c>
      <c r="L2799" s="6">
        <v>1.0</v>
      </c>
      <c r="M2799" s="8">
        <f t="shared" si="3"/>
        <v>0.08</v>
      </c>
      <c r="P2799" s="9"/>
    </row>
    <row r="2800">
      <c r="A2800" s="6" t="s">
        <v>6590</v>
      </c>
      <c r="B2800" s="6" t="s">
        <v>861</v>
      </c>
      <c r="C2800" s="6" t="s">
        <v>43</v>
      </c>
      <c r="D2800" s="6" t="s">
        <v>6591</v>
      </c>
      <c r="E2800" s="6" t="s">
        <v>757</v>
      </c>
      <c r="F2800" s="6" t="s">
        <v>87</v>
      </c>
      <c r="G2800" s="7">
        <v>0.05</v>
      </c>
      <c r="H2800" s="6" t="s">
        <v>404</v>
      </c>
      <c r="I2800" s="6" t="s">
        <v>20</v>
      </c>
      <c r="J2800" s="6">
        <v>2020.0</v>
      </c>
      <c r="K2800" s="10">
        <v>46085.0</v>
      </c>
      <c r="L2800" s="6">
        <v>1.0</v>
      </c>
      <c r="M2800" s="8">
        <f t="shared" si="3"/>
        <v>0.05</v>
      </c>
      <c r="P2800" s="9"/>
    </row>
    <row r="2801">
      <c r="A2801" s="6" t="s">
        <v>6592</v>
      </c>
      <c r="B2801" s="6" t="s">
        <v>6593</v>
      </c>
      <c r="C2801" s="6" t="s">
        <v>377</v>
      </c>
      <c r="D2801" s="6" t="s">
        <v>6594</v>
      </c>
      <c r="E2801" s="6" t="s">
        <v>681</v>
      </c>
      <c r="F2801" s="6" t="s">
        <v>312</v>
      </c>
      <c r="G2801" s="7">
        <v>0.03</v>
      </c>
      <c r="H2801" s="6" t="s">
        <v>468</v>
      </c>
      <c r="I2801" s="6" t="s">
        <v>20</v>
      </c>
      <c r="J2801" s="6">
        <v>2015.0</v>
      </c>
      <c r="K2801" s="6" t="s">
        <v>527</v>
      </c>
      <c r="L2801" s="6">
        <v>2.0</v>
      </c>
      <c r="M2801" s="8">
        <f t="shared" si="3"/>
        <v>0.06</v>
      </c>
      <c r="P2801" s="9"/>
    </row>
    <row r="2802">
      <c r="A2802" s="6" t="s">
        <v>6595</v>
      </c>
      <c r="B2802" s="6" t="s">
        <v>192</v>
      </c>
      <c r="C2802" s="6" t="s">
        <v>418</v>
      </c>
      <c r="D2802" s="6" t="s">
        <v>6596</v>
      </c>
      <c r="E2802" s="6" t="s">
        <v>25</v>
      </c>
      <c r="F2802" s="6" t="s">
        <v>312</v>
      </c>
      <c r="G2802" s="7">
        <v>7.75</v>
      </c>
      <c r="H2802" s="6" t="s">
        <v>5318</v>
      </c>
      <c r="I2802" s="6" t="s">
        <v>20</v>
      </c>
      <c r="J2802" s="6">
        <v>1998.0</v>
      </c>
      <c r="L2802" s="6">
        <v>1.0</v>
      </c>
      <c r="M2802" s="8">
        <f t="shared" si="3"/>
        <v>7.75</v>
      </c>
      <c r="P2802" s="9"/>
    </row>
    <row r="2803">
      <c r="A2803" s="6" t="s">
        <v>6597</v>
      </c>
      <c r="B2803" s="6" t="s">
        <v>371</v>
      </c>
      <c r="C2803" s="6" t="s">
        <v>43</v>
      </c>
      <c r="D2803" s="6" t="s">
        <v>6598</v>
      </c>
      <c r="E2803" s="6" t="s">
        <v>2030</v>
      </c>
      <c r="F2803" s="6" t="s">
        <v>40</v>
      </c>
      <c r="G2803" s="7">
        <v>0.06</v>
      </c>
      <c r="H2803" s="6" t="s">
        <v>895</v>
      </c>
      <c r="I2803" s="6" t="s">
        <v>20</v>
      </c>
      <c r="J2803" s="6">
        <v>2018.0</v>
      </c>
      <c r="K2803" s="10">
        <v>46055.0</v>
      </c>
      <c r="L2803" s="6">
        <v>1.0</v>
      </c>
      <c r="M2803" s="8">
        <f t="shared" si="3"/>
        <v>0.06</v>
      </c>
      <c r="P2803" s="9"/>
    </row>
    <row r="2804">
      <c r="A2804" s="6" t="s">
        <v>6599</v>
      </c>
      <c r="B2804" s="6" t="s">
        <v>4639</v>
      </c>
      <c r="C2804" s="6" t="s">
        <v>37</v>
      </c>
      <c r="D2804" s="6" t="s">
        <v>6600</v>
      </c>
      <c r="E2804" s="6" t="s">
        <v>179</v>
      </c>
      <c r="F2804" s="6" t="s">
        <v>112</v>
      </c>
      <c r="G2804" s="7">
        <v>0.05</v>
      </c>
      <c r="H2804" s="6" t="s">
        <v>1396</v>
      </c>
      <c r="I2804" s="6" t="s">
        <v>20</v>
      </c>
      <c r="J2804" s="6">
        <v>2020.0</v>
      </c>
      <c r="K2804" s="10">
        <v>46054.0</v>
      </c>
      <c r="L2804" s="6">
        <v>1.0</v>
      </c>
      <c r="M2804" s="8">
        <f t="shared" si="3"/>
        <v>0.05</v>
      </c>
      <c r="P2804" s="9"/>
    </row>
    <row r="2805">
      <c r="A2805" s="6" t="s">
        <v>6601</v>
      </c>
      <c r="B2805" s="6" t="s">
        <v>606</v>
      </c>
      <c r="C2805" s="6" t="s">
        <v>23</v>
      </c>
      <c r="D2805" s="6" t="s">
        <v>6602</v>
      </c>
      <c r="E2805" s="6" t="s">
        <v>152</v>
      </c>
      <c r="F2805" s="6" t="s">
        <v>40</v>
      </c>
      <c r="G2805" s="7">
        <v>0.05</v>
      </c>
      <c r="H2805" s="6" t="s">
        <v>153</v>
      </c>
      <c r="I2805" s="6" t="s">
        <v>20</v>
      </c>
      <c r="J2805" s="6">
        <v>2025.0</v>
      </c>
      <c r="L2805" s="6">
        <v>10.0</v>
      </c>
      <c r="M2805" s="8">
        <f t="shared" si="3"/>
        <v>0.5</v>
      </c>
      <c r="P2805" s="9"/>
    </row>
    <row r="2806">
      <c r="A2806" s="6" t="s">
        <v>6601</v>
      </c>
      <c r="B2806" s="6" t="s">
        <v>606</v>
      </c>
      <c r="C2806" s="6" t="s">
        <v>23</v>
      </c>
      <c r="D2806" s="6" t="s">
        <v>6602</v>
      </c>
      <c r="E2806" s="6" t="s">
        <v>152</v>
      </c>
      <c r="F2806" s="6" t="s">
        <v>40</v>
      </c>
      <c r="G2806" s="7">
        <v>0.2</v>
      </c>
      <c r="H2806" s="6" t="s">
        <v>153</v>
      </c>
      <c r="I2806" s="6" t="s">
        <v>45</v>
      </c>
      <c r="J2806" s="6">
        <v>2025.0</v>
      </c>
      <c r="L2806" s="6">
        <v>1.0</v>
      </c>
      <c r="M2806" s="8">
        <f t="shared" si="3"/>
        <v>0.2</v>
      </c>
      <c r="P2806" s="9"/>
    </row>
    <row r="2807">
      <c r="A2807" s="6" t="s">
        <v>6603</v>
      </c>
      <c r="B2807" s="6" t="s">
        <v>2356</v>
      </c>
      <c r="C2807" s="6" t="s">
        <v>43</v>
      </c>
      <c r="D2807" s="6" t="s">
        <v>6604</v>
      </c>
      <c r="E2807" s="6" t="s">
        <v>176</v>
      </c>
      <c r="F2807" s="6" t="s">
        <v>77</v>
      </c>
      <c r="G2807" s="7">
        <v>0.05</v>
      </c>
      <c r="H2807" s="6" t="s">
        <v>65</v>
      </c>
      <c r="I2807" s="6" t="s">
        <v>20</v>
      </c>
      <c r="J2807" s="6">
        <v>2013.0</v>
      </c>
      <c r="K2807" s="10">
        <v>46055.0</v>
      </c>
      <c r="L2807" s="6">
        <v>1.0</v>
      </c>
      <c r="M2807" s="8">
        <f t="shared" si="3"/>
        <v>0.05</v>
      </c>
      <c r="P2807" s="9"/>
    </row>
    <row r="2808">
      <c r="A2808" s="6" t="s">
        <v>6605</v>
      </c>
      <c r="B2808" s="6" t="s">
        <v>988</v>
      </c>
      <c r="C2808" s="6" t="s">
        <v>43</v>
      </c>
      <c r="D2808" s="6" t="s">
        <v>6606</v>
      </c>
      <c r="E2808" s="6" t="s">
        <v>76</v>
      </c>
      <c r="F2808" s="6" t="s">
        <v>77</v>
      </c>
      <c r="G2808" s="7">
        <v>0.04</v>
      </c>
      <c r="H2808" s="6" t="s">
        <v>407</v>
      </c>
      <c r="I2808" s="6" t="s">
        <v>20</v>
      </c>
      <c r="J2808" s="6">
        <v>2016.0</v>
      </c>
      <c r="K2808" s="10">
        <v>46055.0</v>
      </c>
      <c r="L2808" s="6">
        <v>1.0</v>
      </c>
      <c r="M2808" s="8">
        <f t="shared" si="3"/>
        <v>0.04</v>
      </c>
      <c r="P2808" s="9"/>
    </row>
    <row r="2809">
      <c r="A2809" s="6" t="s">
        <v>6607</v>
      </c>
      <c r="B2809" s="6" t="s">
        <v>6608</v>
      </c>
      <c r="C2809" s="6" t="s">
        <v>43</v>
      </c>
      <c r="D2809" s="6" t="s">
        <v>6609</v>
      </c>
      <c r="E2809" s="6" t="s">
        <v>1702</v>
      </c>
      <c r="F2809" s="6" t="s">
        <v>112</v>
      </c>
      <c r="G2809" s="7">
        <v>0.05</v>
      </c>
      <c r="H2809" s="6" t="s">
        <v>475</v>
      </c>
      <c r="I2809" s="6" t="s">
        <v>20</v>
      </c>
      <c r="J2809" s="6">
        <v>2024.0</v>
      </c>
      <c r="K2809" s="10">
        <v>46180.0</v>
      </c>
      <c r="L2809" s="6">
        <v>2.0</v>
      </c>
      <c r="M2809" s="8">
        <f t="shared" si="3"/>
        <v>0.1</v>
      </c>
      <c r="P2809" s="9"/>
    </row>
    <row r="2810">
      <c r="A2810" s="6" t="s">
        <v>6610</v>
      </c>
      <c r="B2810" s="6" t="s">
        <v>1548</v>
      </c>
      <c r="C2810" s="6" t="s">
        <v>15</v>
      </c>
      <c r="D2810" s="6" t="s">
        <v>6611</v>
      </c>
      <c r="E2810" s="6" t="s">
        <v>190</v>
      </c>
      <c r="F2810" s="6" t="s">
        <v>18</v>
      </c>
      <c r="G2810" s="7">
        <v>0.05</v>
      </c>
      <c r="H2810" s="6" t="s">
        <v>153</v>
      </c>
      <c r="I2810" s="6" t="s">
        <v>20</v>
      </c>
      <c r="J2810" s="6">
        <v>2025.0</v>
      </c>
      <c r="L2810" s="6">
        <v>1.0</v>
      </c>
      <c r="M2810" s="8">
        <f t="shared" si="3"/>
        <v>0.05</v>
      </c>
      <c r="P2810" s="9"/>
    </row>
    <row r="2811">
      <c r="A2811" s="6" t="s">
        <v>6612</v>
      </c>
      <c r="B2811" s="6" t="s">
        <v>162</v>
      </c>
      <c r="C2811" s="6" t="s">
        <v>37</v>
      </c>
      <c r="D2811" s="6" t="s">
        <v>6613</v>
      </c>
      <c r="E2811" s="6" t="s">
        <v>2792</v>
      </c>
      <c r="F2811" s="6" t="s">
        <v>87</v>
      </c>
      <c r="G2811" s="7">
        <v>0.25</v>
      </c>
      <c r="H2811" s="6" t="s">
        <v>113</v>
      </c>
      <c r="I2811" s="6" t="s">
        <v>20</v>
      </c>
      <c r="J2811" s="6">
        <v>2023.0</v>
      </c>
      <c r="L2811" s="6">
        <v>2.0</v>
      </c>
      <c r="M2811" s="8">
        <f t="shared" si="3"/>
        <v>0.5</v>
      </c>
      <c r="P2811" s="9"/>
    </row>
    <row r="2812">
      <c r="A2812" s="6" t="s">
        <v>6614</v>
      </c>
      <c r="B2812" s="6" t="s">
        <v>836</v>
      </c>
      <c r="C2812" s="6" t="s">
        <v>37</v>
      </c>
      <c r="D2812" s="6" t="s">
        <v>6615</v>
      </c>
      <c r="E2812" s="6" t="s">
        <v>248</v>
      </c>
      <c r="F2812" s="6" t="s">
        <v>77</v>
      </c>
      <c r="G2812" s="7">
        <v>0.39</v>
      </c>
      <c r="H2812" s="6" t="s">
        <v>2033</v>
      </c>
      <c r="I2812" s="6" t="s">
        <v>20</v>
      </c>
      <c r="J2812" s="6">
        <v>2019.0</v>
      </c>
      <c r="K2812" s="10">
        <v>46023.0</v>
      </c>
      <c r="L2812" s="6">
        <v>1.0</v>
      </c>
      <c r="M2812" s="8">
        <f t="shared" si="3"/>
        <v>0.39</v>
      </c>
      <c r="P2812" s="9"/>
    </row>
    <row r="2813">
      <c r="A2813" s="6" t="s">
        <v>6616</v>
      </c>
      <c r="B2813" s="6" t="s">
        <v>6617</v>
      </c>
      <c r="C2813" s="6" t="s">
        <v>43</v>
      </c>
      <c r="D2813" s="6" t="s">
        <v>1923</v>
      </c>
      <c r="E2813" s="6" t="s">
        <v>6618</v>
      </c>
      <c r="F2813" s="6" t="s">
        <v>977</v>
      </c>
      <c r="G2813" s="7">
        <v>0.1</v>
      </c>
      <c r="H2813" s="6" t="s">
        <v>136</v>
      </c>
      <c r="I2813" s="6" t="s">
        <v>20</v>
      </c>
      <c r="J2813" s="6">
        <v>2026.0</v>
      </c>
      <c r="K2813" s="10">
        <v>46083.0</v>
      </c>
      <c r="L2813" s="6">
        <v>8.0</v>
      </c>
      <c r="M2813" s="8">
        <f t="shared" si="3"/>
        <v>0.8</v>
      </c>
      <c r="P2813" s="9"/>
    </row>
    <row r="2814">
      <c r="A2814" s="6" t="s">
        <v>6619</v>
      </c>
      <c r="B2814" s="6" t="s">
        <v>74</v>
      </c>
      <c r="C2814" s="6" t="s">
        <v>30</v>
      </c>
      <c r="D2814" s="6" t="s">
        <v>6620</v>
      </c>
      <c r="E2814" s="6" t="s">
        <v>86</v>
      </c>
      <c r="F2814" s="6" t="s">
        <v>87</v>
      </c>
      <c r="G2814" s="7">
        <v>1.6</v>
      </c>
      <c r="H2814" s="6" t="s">
        <v>6621</v>
      </c>
      <c r="I2814" s="6" t="s">
        <v>45</v>
      </c>
      <c r="J2814" s="6">
        <v>2016.0</v>
      </c>
      <c r="L2814" s="6">
        <v>1.0</v>
      </c>
      <c r="M2814" s="8">
        <f t="shared" si="3"/>
        <v>1.6</v>
      </c>
      <c r="P2814" s="9"/>
    </row>
    <row r="2815">
      <c r="A2815" s="6" t="s">
        <v>6619</v>
      </c>
      <c r="B2815" s="6" t="s">
        <v>74</v>
      </c>
      <c r="C2815" s="6" t="s">
        <v>30</v>
      </c>
      <c r="D2815" s="6" t="s">
        <v>6620</v>
      </c>
      <c r="E2815" s="6" t="s">
        <v>86</v>
      </c>
      <c r="F2815" s="6" t="s">
        <v>87</v>
      </c>
      <c r="G2815" s="7">
        <v>0.39</v>
      </c>
      <c r="H2815" s="6" t="s">
        <v>6622</v>
      </c>
      <c r="I2815" s="6" t="s">
        <v>20</v>
      </c>
      <c r="J2815" s="6">
        <v>2008.0</v>
      </c>
      <c r="L2815" s="6">
        <v>1.0</v>
      </c>
      <c r="M2815" s="8">
        <f t="shared" si="3"/>
        <v>0.39</v>
      </c>
      <c r="P2815" s="9"/>
    </row>
    <row r="2816">
      <c r="A2816" s="6" t="s">
        <v>6623</v>
      </c>
      <c r="B2816" s="6" t="s">
        <v>74</v>
      </c>
      <c r="C2816" s="6" t="s">
        <v>43</v>
      </c>
      <c r="D2816" s="6" t="s">
        <v>6624</v>
      </c>
      <c r="E2816" s="6" t="s">
        <v>125</v>
      </c>
      <c r="F2816" s="6" t="s">
        <v>40</v>
      </c>
      <c r="G2816" s="7">
        <v>0.09</v>
      </c>
      <c r="H2816" s="6" t="s">
        <v>6398</v>
      </c>
      <c r="I2816" s="6" t="s">
        <v>20</v>
      </c>
      <c r="J2816" s="6">
        <v>2010.0</v>
      </c>
      <c r="L2816" s="6">
        <v>1.0</v>
      </c>
      <c r="M2816" s="8">
        <f t="shared" si="3"/>
        <v>0.09</v>
      </c>
      <c r="P2816" s="9"/>
    </row>
    <row r="2817">
      <c r="A2817" s="6" t="s">
        <v>6625</v>
      </c>
      <c r="B2817" s="6" t="s">
        <v>162</v>
      </c>
      <c r="C2817" s="6" t="s">
        <v>37</v>
      </c>
      <c r="D2817" s="6" t="s">
        <v>6626</v>
      </c>
      <c r="E2817" s="6" t="s">
        <v>248</v>
      </c>
      <c r="F2817" s="6" t="s">
        <v>77</v>
      </c>
      <c r="G2817" s="7">
        <v>0.05</v>
      </c>
      <c r="H2817" s="6" t="s">
        <v>2033</v>
      </c>
      <c r="I2817" s="6" t="s">
        <v>20</v>
      </c>
      <c r="J2817" s="6">
        <v>2019.0</v>
      </c>
      <c r="L2817" s="6">
        <v>2.0</v>
      </c>
      <c r="M2817" s="8">
        <f t="shared" si="3"/>
        <v>0.1</v>
      </c>
      <c r="P2817" s="9"/>
    </row>
    <row r="2818">
      <c r="A2818" s="6" t="s">
        <v>6627</v>
      </c>
      <c r="B2818" s="6" t="s">
        <v>494</v>
      </c>
      <c r="C2818" s="6" t="s">
        <v>43</v>
      </c>
      <c r="D2818" s="6" t="s">
        <v>6628</v>
      </c>
      <c r="E2818" s="6" t="s">
        <v>107</v>
      </c>
      <c r="F2818" s="6" t="s">
        <v>18</v>
      </c>
      <c r="G2818" s="7">
        <v>0.13</v>
      </c>
      <c r="H2818" s="6" t="s">
        <v>2033</v>
      </c>
      <c r="I2818" s="6" t="s">
        <v>20</v>
      </c>
      <c r="J2818" s="6">
        <v>2019.0</v>
      </c>
      <c r="L2818" s="6">
        <v>2.0</v>
      </c>
      <c r="M2818" s="8">
        <f t="shared" si="3"/>
        <v>0.26</v>
      </c>
      <c r="P2818" s="9"/>
    </row>
    <row r="2819">
      <c r="A2819" s="6" t="s">
        <v>6629</v>
      </c>
      <c r="B2819" s="6" t="s">
        <v>556</v>
      </c>
      <c r="C2819" s="6" t="s">
        <v>43</v>
      </c>
      <c r="D2819" s="6" t="s">
        <v>6630</v>
      </c>
      <c r="E2819" s="6" t="s">
        <v>164</v>
      </c>
      <c r="F2819" s="6" t="s">
        <v>112</v>
      </c>
      <c r="G2819" s="7">
        <v>0.05</v>
      </c>
      <c r="H2819" s="6" t="s">
        <v>922</v>
      </c>
      <c r="I2819" s="6" t="s">
        <v>20</v>
      </c>
      <c r="J2819" s="6">
        <v>2014.0</v>
      </c>
      <c r="K2819" s="10">
        <v>46055.0</v>
      </c>
      <c r="L2819" s="6">
        <v>1.0</v>
      </c>
      <c r="M2819" s="8">
        <f t="shared" si="3"/>
        <v>0.05</v>
      </c>
      <c r="P2819" s="9"/>
    </row>
    <row r="2820">
      <c r="A2820" s="6" t="s">
        <v>6631</v>
      </c>
      <c r="B2820" s="6" t="s">
        <v>1577</v>
      </c>
      <c r="C2820" s="6" t="s">
        <v>37</v>
      </c>
      <c r="D2820" s="6" t="s">
        <v>6632</v>
      </c>
      <c r="F2820" s="6" t="s">
        <v>26</v>
      </c>
      <c r="G2820" s="7">
        <v>1.15</v>
      </c>
      <c r="H2820" s="6" t="s">
        <v>6633</v>
      </c>
      <c r="I2820" s="6" t="s">
        <v>20</v>
      </c>
      <c r="J2820" s="6">
        <v>2022.0</v>
      </c>
      <c r="L2820" s="6">
        <v>2.0</v>
      </c>
      <c r="M2820" s="8">
        <f t="shared" si="3"/>
        <v>2.3</v>
      </c>
      <c r="P2820" s="9"/>
    </row>
    <row r="2821">
      <c r="A2821" s="6" t="s">
        <v>6634</v>
      </c>
      <c r="B2821" s="6" t="s">
        <v>6635</v>
      </c>
      <c r="C2821" s="6" t="s">
        <v>43</v>
      </c>
      <c r="D2821" s="6" t="s">
        <v>6636</v>
      </c>
      <c r="E2821" s="6" t="s">
        <v>891</v>
      </c>
      <c r="F2821" s="6" t="s">
        <v>77</v>
      </c>
      <c r="G2821" s="7">
        <v>0.09</v>
      </c>
      <c r="H2821" s="6" t="s">
        <v>148</v>
      </c>
      <c r="I2821" s="6" t="s">
        <v>20</v>
      </c>
      <c r="J2821" s="6">
        <v>2026.0</v>
      </c>
      <c r="K2821" s="10">
        <v>46084.0</v>
      </c>
      <c r="L2821" s="6">
        <v>1.0</v>
      </c>
      <c r="M2821" s="8">
        <f t="shared" si="3"/>
        <v>0.09</v>
      </c>
      <c r="P2821" s="9"/>
    </row>
    <row r="2822">
      <c r="A2822" s="6" t="s">
        <v>6637</v>
      </c>
      <c r="B2822" s="6" t="s">
        <v>6638</v>
      </c>
      <c r="C2822" s="6" t="s">
        <v>15</v>
      </c>
      <c r="D2822" s="6" t="s">
        <v>6639</v>
      </c>
      <c r="E2822" s="6" t="s">
        <v>252</v>
      </c>
      <c r="F2822" s="6" t="s">
        <v>40</v>
      </c>
      <c r="G2822" s="7">
        <v>0.19</v>
      </c>
      <c r="H2822" s="6" t="s">
        <v>153</v>
      </c>
      <c r="I2822" s="6" t="s">
        <v>20</v>
      </c>
      <c r="J2822" s="6">
        <v>2025.0</v>
      </c>
      <c r="K2822" s="6" t="s">
        <v>2310</v>
      </c>
      <c r="L2822" s="6">
        <v>2.0</v>
      </c>
      <c r="M2822" s="8">
        <f t="shared" si="3"/>
        <v>0.38</v>
      </c>
      <c r="P2822" s="9"/>
    </row>
    <row r="2823">
      <c r="A2823" s="6" t="s">
        <v>6640</v>
      </c>
      <c r="B2823" s="6" t="s">
        <v>2356</v>
      </c>
      <c r="C2823" s="6" t="s">
        <v>43</v>
      </c>
      <c r="D2823" s="6" t="s">
        <v>6641</v>
      </c>
      <c r="E2823" s="6" t="s">
        <v>4079</v>
      </c>
      <c r="F2823" s="6" t="s">
        <v>4080</v>
      </c>
      <c r="G2823" s="7">
        <v>0.05</v>
      </c>
      <c r="H2823" s="6" t="s">
        <v>922</v>
      </c>
      <c r="I2823" s="6" t="s">
        <v>20</v>
      </c>
      <c r="J2823" s="6">
        <v>2014.0</v>
      </c>
      <c r="K2823" s="10">
        <v>46147.0</v>
      </c>
      <c r="L2823" s="6">
        <v>1.0</v>
      </c>
      <c r="M2823" s="8">
        <f t="shared" si="3"/>
        <v>0.05</v>
      </c>
      <c r="P2823" s="9"/>
    </row>
    <row r="2824">
      <c r="A2824" s="6" t="s">
        <v>6642</v>
      </c>
      <c r="B2824" s="6" t="s">
        <v>494</v>
      </c>
      <c r="C2824" s="6" t="s">
        <v>43</v>
      </c>
      <c r="D2824" s="6" t="s">
        <v>6643</v>
      </c>
      <c r="E2824" s="6" t="s">
        <v>190</v>
      </c>
      <c r="F2824" s="6" t="s">
        <v>18</v>
      </c>
      <c r="G2824" s="7">
        <v>0.03</v>
      </c>
      <c r="H2824" s="6" t="s">
        <v>104</v>
      </c>
      <c r="I2824" s="6" t="s">
        <v>20</v>
      </c>
      <c r="J2824" s="6">
        <v>2019.0</v>
      </c>
      <c r="L2824" s="6">
        <v>1.0</v>
      </c>
      <c r="M2824" s="8">
        <f t="shared" si="3"/>
        <v>0.03</v>
      </c>
      <c r="N2824" s="6" t="s">
        <v>374</v>
      </c>
      <c r="P2824" s="9"/>
    </row>
    <row r="2825">
      <c r="A2825" s="6" t="s">
        <v>6644</v>
      </c>
      <c r="B2825" s="6" t="s">
        <v>1844</v>
      </c>
      <c r="C2825" s="6" t="s">
        <v>43</v>
      </c>
      <c r="D2825" s="6" t="s">
        <v>1500</v>
      </c>
      <c r="E2825" s="6" t="s">
        <v>98</v>
      </c>
      <c r="F2825" s="6" t="s">
        <v>18</v>
      </c>
      <c r="G2825" s="7">
        <v>0.04</v>
      </c>
      <c r="H2825" s="6" t="s">
        <v>99</v>
      </c>
      <c r="I2825" s="6" t="s">
        <v>20</v>
      </c>
      <c r="J2825" s="6">
        <v>2022.0</v>
      </c>
      <c r="K2825" s="10">
        <v>46083.0</v>
      </c>
      <c r="L2825" s="6">
        <v>1.0</v>
      </c>
      <c r="M2825" s="8">
        <f t="shared" si="3"/>
        <v>0.04</v>
      </c>
      <c r="P2825" s="9"/>
    </row>
    <row r="2826">
      <c r="A2826" s="6" t="s">
        <v>6645</v>
      </c>
      <c r="B2826" s="6" t="s">
        <v>6646</v>
      </c>
      <c r="C2826" s="6" t="s">
        <v>23</v>
      </c>
      <c r="D2826" s="6" t="s">
        <v>6647</v>
      </c>
      <c r="E2826" s="6" t="s">
        <v>659</v>
      </c>
      <c r="F2826" s="6" t="s">
        <v>18</v>
      </c>
      <c r="G2826" s="7">
        <v>0.08</v>
      </c>
      <c r="H2826" s="6" t="s">
        <v>19</v>
      </c>
      <c r="I2826" s="6" t="s">
        <v>20</v>
      </c>
      <c r="J2826" s="6">
        <v>2023.0</v>
      </c>
      <c r="K2826" s="10">
        <v>46082.0</v>
      </c>
      <c r="L2826" s="6">
        <v>1.0</v>
      </c>
      <c r="M2826" s="8">
        <f t="shared" si="3"/>
        <v>0.08</v>
      </c>
      <c r="P2826" s="9"/>
    </row>
    <row r="2827">
      <c r="A2827" s="6" t="s">
        <v>6648</v>
      </c>
      <c r="B2827" s="6" t="s">
        <v>4249</v>
      </c>
      <c r="C2827" s="6" t="s">
        <v>30</v>
      </c>
      <c r="D2827" s="6" t="s">
        <v>6649</v>
      </c>
      <c r="E2827" s="6" t="s">
        <v>3303</v>
      </c>
      <c r="F2827" s="6" t="s">
        <v>50</v>
      </c>
      <c r="G2827" s="7">
        <v>1.69</v>
      </c>
      <c r="H2827" s="6" t="s">
        <v>34</v>
      </c>
      <c r="I2827" s="6" t="s">
        <v>20</v>
      </c>
      <c r="J2827" s="6">
        <v>2025.0</v>
      </c>
      <c r="K2827" s="10">
        <v>46023.0</v>
      </c>
      <c r="L2827" s="6">
        <v>1.0</v>
      </c>
      <c r="M2827" s="8">
        <f t="shared" si="3"/>
        <v>1.69</v>
      </c>
      <c r="P2827" s="9"/>
    </row>
    <row r="2828">
      <c r="A2828" s="6" t="s">
        <v>6650</v>
      </c>
      <c r="B2828" s="6" t="s">
        <v>4249</v>
      </c>
      <c r="C2828" s="6" t="s">
        <v>37</v>
      </c>
      <c r="D2828" s="6" t="s">
        <v>6651</v>
      </c>
      <c r="E2828" s="6" t="s">
        <v>6652</v>
      </c>
      <c r="F2828" s="6" t="s">
        <v>519</v>
      </c>
      <c r="G2828" s="7">
        <v>0.54</v>
      </c>
      <c r="H2828" s="6" t="s">
        <v>34</v>
      </c>
      <c r="I2828" s="6" t="s">
        <v>45</v>
      </c>
      <c r="J2828" s="6">
        <v>2025.0</v>
      </c>
      <c r="K2828" s="10">
        <v>46114.0</v>
      </c>
      <c r="L2828" s="6">
        <v>1.0</v>
      </c>
      <c r="M2828" s="8">
        <f t="shared" si="3"/>
        <v>0.54</v>
      </c>
      <c r="P2828" s="9"/>
    </row>
    <row r="2829">
      <c r="A2829" s="6" t="s">
        <v>6653</v>
      </c>
      <c r="B2829" s="6" t="s">
        <v>47</v>
      </c>
      <c r="C2829" s="6" t="s">
        <v>43</v>
      </c>
      <c r="D2829" s="6" t="s">
        <v>6654</v>
      </c>
      <c r="E2829" s="6" t="s">
        <v>135</v>
      </c>
      <c r="F2829" s="6" t="s">
        <v>40</v>
      </c>
      <c r="G2829" s="7">
        <v>0.35</v>
      </c>
      <c r="H2829" s="6" t="s">
        <v>126</v>
      </c>
      <c r="I2829" s="6" t="s">
        <v>20</v>
      </c>
      <c r="J2829" s="6">
        <v>2025.0</v>
      </c>
      <c r="L2829" s="6">
        <v>1.0</v>
      </c>
      <c r="M2829" s="8">
        <f t="shared" si="3"/>
        <v>0.35</v>
      </c>
      <c r="P2829" s="9"/>
    </row>
    <row r="2830">
      <c r="A2830" s="6" t="s">
        <v>6655</v>
      </c>
      <c r="B2830" s="6" t="s">
        <v>192</v>
      </c>
      <c r="C2830" s="6" t="s">
        <v>418</v>
      </c>
      <c r="D2830" s="6" t="s">
        <v>6656</v>
      </c>
      <c r="E2830" s="6" t="s">
        <v>215</v>
      </c>
      <c r="F2830" s="6" t="s">
        <v>312</v>
      </c>
      <c r="G2830" s="7">
        <v>8.75</v>
      </c>
      <c r="H2830" s="6" t="s">
        <v>6657</v>
      </c>
      <c r="I2830" s="6" t="s">
        <v>20</v>
      </c>
      <c r="J2830" s="6">
        <v>2026.0</v>
      </c>
      <c r="L2830" s="6">
        <v>1.0</v>
      </c>
      <c r="M2830" s="8">
        <f t="shared" si="3"/>
        <v>8.75</v>
      </c>
      <c r="P2830" s="9"/>
    </row>
    <row r="2831">
      <c r="A2831" s="6" t="s">
        <v>6658</v>
      </c>
      <c r="B2831" s="6" t="s">
        <v>219</v>
      </c>
      <c r="C2831" s="6" t="s">
        <v>37</v>
      </c>
      <c r="D2831" s="6" t="s">
        <v>6659</v>
      </c>
      <c r="E2831" s="6" t="s">
        <v>25</v>
      </c>
      <c r="F2831" s="6" t="s">
        <v>26</v>
      </c>
      <c r="G2831" s="7">
        <v>0.2</v>
      </c>
      <c r="H2831" s="6" t="s">
        <v>363</v>
      </c>
      <c r="I2831" s="6" t="s">
        <v>45</v>
      </c>
      <c r="J2831" s="6">
        <v>2024.0</v>
      </c>
      <c r="L2831" s="6">
        <v>1.0</v>
      </c>
      <c r="M2831" s="8">
        <f t="shared" si="3"/>
        <v>0.2</v>
      </c>
      <c r="P2831" s="9"/>
    </row>
    <row r="2832">
      <c r="A2832" s="6" t="s">
        <v>6660</v>
      </c>
      <c r="B2832" s="6" t="s">
        <v>138</v>
      </c>
      <c r="C2832" s="6" t="s">
        <v>43</v>
      </c>
      <c r="D2832" s="6" t="s">
        <v>6661</v>
      </c>
      <c r="E2832" s="6" t="s">
        <v>248</v>
      </c>
      <c r="F2832" s="6" t="s">
        <v>77</v>
      </c>
      <c r="G2832" s="7">
        <v>0.05</v>
      </c>
      <c r="H2832" s="6" t="s">
        <v>34</v>
      </c>
      <c r="I2832" s="6" t="s">
        <v>20</v>
      </c>
      <c r="J2832" s="6">
        <v>2025.0</v>
      </c>
      <c r="L2832" s="6">
        <v>1.0</v>
      </c>
      <c r="M2832" s="8">
        <f t="shared" si="3"/>
        <v>0.05</v>
      </c>
      <c r="P2832" s="9"/>
    </row>
    <row r="2833">
      <c r="A2833" s="6" t="s">
        <v>6662</v>
      </c>
      <c r="B2833" s="6" t="s">
        <v>929</v>
      </c>
      <c r="C2833" s="6" t="s">
        <v>43</v>
      </c>
      <c r="D2833" s="6" t="s">
        <v>6663</v>
      </c>
      <c r="E2833" s="6" t="s">
        <v>98</v>
      </c>
      <c r="F2833" s="6" t="s">
        <v>18</v>
      </c>
      <c r="G2833" s="7">
        <v>0.05</v>
      </c>
      <c r="H2833" s="6" t="s">
        <v>206</v>
      </c>
      <c r="I2833" s="6" t="s">
        <v>20</v>
      </c>
      <c r="J2833" s="6">
        <v>1996.0</v>
      </c>
      <c r="K2833" s="10">
        <v>46055.0</v>
      </c>
      <c r="L2833" s="6">
        <v>1.0</v>
      </c>
      <c r="M2833" s="8">
        <f t="shared" si="3"/>
        <v>0.05</v>
      </c>
      <c r="P2833" s="9"/>
    </row>
    <row r="2834">
      <c r="A2834" s="6" t="s">
        <v>6664</v>
      </c>
      <c r="B2834" s="6" t="s">
        <v>6665</v>
      </c>
      <c r="C2834" s="6" t="s">
        <v>37</v>
      </c>
      <c r="D2834" s="6" t="s">
        <v>6666</v>
      </c>
      <c r="E2834" s="6" t="s">
        <v>994</v>
      </c>
      <c r="F2834" s="6" t="s">
        <v>26</v>
      </c>
      <c r="G2834" s="7">
        <v>0.12</v>
      </c>
      <c r="H2834" s="6" t="s">
        <v>187</v>
      </c>
      <c r="I2834" s="6" t="s">
        <v>20</v>
      </c>
      <c r="J2834" s="6">
        <v>1995.0</v>
      </c>
      <c r="K2834" s="10">
        <v>46114.0</v>
      </c>
      <c r="L2834" s="6">
        <v>1.0</v>
      </c>
      <c r="M2834" s="8">
        <f t="shared" si="3"/>
        <v>0.12</v>
      </c>
      <c r="P2834" s="9"/>
    </row>
    <row r="2835">
      <c r="A2835" s="6" t="s">
        <v>6667</v>
      </c>
      <c r="B2835" s="6" t="s">
        <v>203</v>
      </c>
      <c r="C2835" s="6" t="s">
        <v>204</v>
      </c>
      <c r="D2835" s="6" t="s">
        <v>6668</v>
      </c>
      <c r="E2835" s="6" t="s">
        <v>681</v>
      </c>
      <c r="F2835" s="6" t="s">
        <v>186</v>
      </c>
      <c r="G2835" s="7">
        <v>0.05</v>
      </c>
      <c r="H2835" s="6" t="s">
        <v>206</v>
      </c>
      <c r="I2835" s="6" t="s">
        <v>20</v>
      </c>
      <c r="J2835" s="6">
        <v>1996.0</v>
      </c>
      <c r="K2835" s="10">
        <v>46057.0</v>
      </c>
      <c r="L2835" s="6">
        <v>1.0</v>
      </c>
      <c r="M2835" s="8">
        <f t="shared" si="3"/>
        <v>0.05</v>
      </c>
      <c r="P2835" s="9"/>
    </row>
    <row r="2836">
      <c r="A2836" s="6" t="s">
        <v>6669</v>
      </c>
      <c r="B2836" s="6" t="s">
        <v>6670</v>
      </c>
      <c r="C2836" s="6" t="s">
        <v>43</v>
      </c>
      <c r="D2836" s="6" t="s">
        <v>6671</v>
      </c>
      <c r="E2836" s="6" t="s">
        <v>681</v>
      </c>
      <c r="F2836" s="6" t="s">
        <v>26</v>
      </c>
      <c r="G2836" s="7">
        <v>0.05</v>
      </c>
      <c r="H2836" s="6" t="s">
        <v>206</v>
      </c>
      <c r="I2836" s="6" t="s">
        <v>20</v>
      </c>
      <c r="J2836" s="6">
        <v>1996.0</v>
      </c>
      <c r="K2836" s="10">
        <v>46057.0</v>
      </c>
      <c r="L2836" s="6">
        <v>1.0</v>
      </c>
      <c r="M2836" s="8">
        <f t="shared" si="3"/>
        <v>0.05</v>
      </c>
      <c r="P2836" s="9"/>
    </row>
    <row r="2837">
      <c r="A2837" s="6" t="s">
        <v>6672</v>
      </c>
      <c r="B2837" s="6" t="s">
        <v>6673</v>
      </c>
      <c r="C2837" s="6" t="s">
        <v>43</v>
      </c>
      <c r="D2837" s="6" t="s">
        <v>6674</v>
      </c>
      <c r="E2837" s="6" t="s">
        <v>39</v>
      </c>
      <c r="F2837" s="6" t="s">
        <v>40</v>
      </c>
      <c r="G2837" s="7">
        <v>0.08</v>
      </c>
      <c r="H2837" s="6" t="s">
        <v>19</v>
      </c>
      <c r="I2837" s="6" t="s">
        <v>20</v>
      </c>
      <c r="J2837" s="6">
        <v>2023.0</v>
      </c>
      <c r="K2837" s="10">
        <v>46055.0</v>
      </c>
      <c r="L2837" s="6">
        <v>1.0</v>
      </c>
      <c r="M2837" s="8">
        <f t="shared" si="3"/>
        <v>0.08</v>
      </c>
      <c r="P2837" s="9"/>
    </row>
    <row r="2838">
      <c r="A2838" s="6" t="s">
        <v>6675</v>
      </c>
      <c r="B2838" s="6" t="s">
        <v>74</v>
      </c>
      <c r="C2838" s="6" t="s">
        <v>37</v>
      </c>
      <c r="D2838" s="6" t="s">
        <v>6676</v>
      </c>
      <c r="E2838" s="6" t="s">
        <v>164</v>
      </c>
      <c r="F2838" s="6" t="s">
        <v>112</v>
      </c>
      <c r="G2838" s="7">
        <v>0.86</v>
      </c>
      <c r="H2838" s="6" t="s">
        <v>6677</v>
      </c>
      <c r="I2838" s="6" t="s">
        <v>20</v>
      </c>
      <c r="J2838" s="6">
        <v>2016.0</v>
      </c>
      <c r="L2838" s="6">
        <v>1.0</v>
      </c>
      <c r="M2838" s="8">
        <f t="shared" si="3"/>
        <v>0.86</v>
      </c>
      <c r="P2838" s="9"/>
    </row>
    <row r="2839">
      <c r="A2839" s="6" t="s">
        <v>6678</v>
      </c>
      <c r="B2839" s="6" t="s">
        <v>47</v>
      </c>
      <c r="C2839" s="6" t="s">
        <v>37</v>
      </c>
      <c r="D2839" s="6" t="s">
        <v>6679</v>
      </c>
      <c r="E2839" s="6" t="s">
        <v>256</v>
      </c>
      <c r="F2839" s="6" t="s">
        <v>87</v>
      </c>
      <c r="G2839" s="7">
        <v>0.23</v>
      </c>
      <c r="H2839" s="6" t="s">
        <v>34</v>
      </c>
      <c r="I2839" s="6" t="s">
        <v>20</v>
      </c>
      <c r="J2839" s="6">
        <v>2025.0</v>
      </c>
      <c r="L2839" s="6">
        <v>1.0</v>
      </c>
      <c r="M2839" s="8">
        <f t="shared" si="3"/>
        <v>0.23</v>
      </c>
      <c r="P2839" s="9"/>
    </row>
    <row r="2840">
      <c r="A2840" s="6" t="s">
        <v>6680</v>
      </c>
      <c r="B2840" s="6" t="s">
        <v>939</v>
      </c>
      <c r="C2840" s="6" t="s">
        <v>43</v>
      </c>
      <c r="D2840" s="6" t="s">
        <v>6681</v>
      </c>
      <c r="E2840" s="6" t="s">
        <v>57</v>
      </c>
      <c r="F2840" s="6" t="s">
        <v>40</v>
      </c>
      <c r="G2840" s="7">
        <v>0.05</v>
      </c>
      <c r="H2840" s="6" t="s">
        <v>1584</v>
      </c>
      <c r="I2840" s="6" t="s">
        <v>20</v>
      </c>
      <c r="J2840" s="6">
        <v>1997.0</v>
      </c>
      <c r="K2840" s="10">
        <v>46055.0</v>
      </c>
      <c r="L2840" s="6">
        <v>1.0</v>
      </c>
      <c r="M2840" s="8">
        <f t="shared" si="3"/>
        <v>0.05</v>
      </c>
      <c r="P2840" s="9"/>
    </row>
    <row r="2841">
      <c r="A2841" s="6" t="s">
        <v>6682</v>
      </c>
      <c r="B2841" s="6" t="s">
        <v>6683</v>
      </c>
      <c r="C2841" s="6" t="s">
        <v>377</v>
      </c>
      <c r="D2841" s="6" t="s">
        <v>6684</v>
      </c>
      <c r="E2841" s="6" t="s">
        <v>1448</v>
      </c>
      <c r="F2841" s="6" t="s">
        <v>697</v>
      </c>
      <c r="G2841" s="7">
        <v>4.41</v>
      </c>
      <c r="H2841" s="6" t="s">
        <v>1584</v>
      </c>
      <c r="I2841" s="6" t="s">
        <v>20</v>
      </c>
      <c r="J2841" s="6">
        <v>1997.0</v>
      </c>
      <c r="K2841" s="10">
        <v>46024.0</v>
      </c>
      <c r="L2841" s="6">
        <v>1.0</v>
      </c>
      <c r="M2841" s="8">
        <f t="shared" si="3"/>
        <v>4.41</v>
      </c>
      <c r="P2841" s="9"/>
    </row>
    <row r="2842">
      <c r="A2842" s="6" t="s">
        <v>6685</v>
      </c>
      <c r="B2842" s="6" t="s">
        <v>542</v>
      </c>
      <c r="C2842" s="6" t="s">
        <v>43</v>
      </c>
      <c r="D2842" s="6" t="s">
        <v>6686</v>
      </c>
      <c r="E2842" s="6" t="s">
        <v>135</v>
      </c>
      <c r="F2842" s="6" t="s">
        <v>40</v>
      </c>
      <c r="G2842" s="7">
        <v>0.19</v>
      </c>
      <c r="H2842" s="6" t="s">
        <v>1584</v>
      </c>
      <c r="I2842" s="6" t="s">
        <v>20</v>
      </c>
      <c r="J2842" s="6">
        <v>1997.0</v>
      </c>
      <c r="K2842" s="10">
        <v>46023.0</v>
      </c>
      <c r="L2842" s="6">
        <v>1.0</v>
      </c>
      <c r="M2842" s="8">
        <f t="shared" si="3"/>
        <v>0.19</v>
      </c>
      <c r="P2842" s="9"/>
    </row>
    <row r="2843">
      <c r="A2843" s="6" t="s">
        <v>6687</v>
      </c>
      <c r="B2843" s="6" t="s">
        <v>138</v>
      </c>
      <c r="C2843" s="6" t="s">
        <v>43</v>
      </c>
      <c r="D2843" s="6" t="s">
        <v>6688</v>
      </c>
      <c r="E2843" s="6" t="s">
        <v>135</v>
      </c>
      <c r="F2843" s="6" t="s">
        <v>40</v>
      </c>
      <c r="G2843" s="7">
        <v>0.07</v>
      </c>
      <c r="H2843" s="6" t="s">
        <v>746</v>
      </c>
      <c r="I2843" s="6" t="s">
        <v>20</v>
      </c>
      <c r="J2843" s="6">
        <v>2024.0</v>
      </c>
      <c r="L2843" s="6">
        <v>1.0</v>
      </c>
      <c r="M2843" s="8">
        <f t="shared" si="3"/>
        <v>0.07</v>
      </c>
      <c r="P2843" s="9"/>
    </row>
    <row r="2844">
      <c r="A2844" s="6" t="s">
        <v>6689</v>
      </c>
      <c r="B2844" s="6" t="s">
        <v>6690</v>
      </c>
      <c r="C2844" s="6" t="s">
        <v>37</v>
      </c>
      <c r="D2844" s="6" t="s">
        <v>6691</v>
      </c>
      <c r="E2844" s="6" t="s">
        <v>164</v>
      </c>
      <c r="F2844" s="6" t="s">
        <v>112</v>
      </c>
      <c r="G2844" s="7">
        <v>0.59</v>
      </c>
      <c r="H2844" s="6" t="s">
        <v>144</v>
      </c>
      <c r="I2844" s="6" t="s">
        <v>20</v>
      </c>
      <c r="J2844" s="6">
        <v>2018.0</v>
      </c>
      <c r="L2844" s="6">
        <v>1.0</v>
      </c>
      <c r="M2844" s="8">
        <f t="shared" si="3"/>
        <v>0.59</v>
      </c>
      <c r="P2844" s="9"/>
    </row>
    <row r="2845">
      <c r="A2845" s="6" t="s">
        <v>6692</v>
      </c>
      <c r="B2845" s="6" t="s">
        <v>1989</v>
      </c>
      <c r="C2845" s="6" t="s">
        <v>37</v>
      </c>
      <c r="D2845" s="6" t="s">
        <v>6693</v>
      </c>
      <c r="E2845" s="6" t="s">
        <v>25</v>
      </c>
      <c r="F2845" s="6" t="s">
        <v>26</v>
      </c>
      <c r="G2845" s="7">
        <v>0.09</v>
      </c>
      <c r="H2845" s="6" t="s">
        <v>104</v>
      </c>
      <c r="I2845" s="6" t="s">
        <v>20</v>
      </c>
      <c r="J2845" s="6">
        <v>2019.0</v>
      </c>
      <c r="K2845" s="10">
        <v>46024.0</v>
      </c>
      <c r="L2845" s="6">
        <v>1.0</v>
      </c>
      <c r="M2845" s="8">
        <f t="shared" si="3"/>
        <v>0.09</v>
      </c>
      <c r="P2845" s="9"/>
    </row>
    <row r="2846">
      <c r="A2846" s="6" t="s">
        <v>6694</v>
      </c>
      <c r="B2846" s="6" t="s">
        <v>115</v>
      </c>
      <c r="C2846" s="6" t="s">
        <v>15</v>
      </c>
      <c r="D2846" s="6" t="s">
        <v>6695</v>
      </c>
      <c r="E2846" s="6" t="s">
        <v>814</v>
      </c>
      <c r="F2846" s="6" t="s">
        <v>87</v>
      </c>
      <c r="G2846" s="7">
        <v>0.24</v>
      </c>
      <c r="H2846" s="6" t="s">
        <v>153</v>
      </c>
      <c r="I2846" s="6" t="s">
        <v>20</v>
      </c>
      <c r="J2846" s="6">
        <v>2025.0</v>
      </c>
      <c r="L2846" s="6">
        <v>1.0</v>
      </c>
      <c r="M2846" s="8">
        <f t="shared" si="3"/>
        <v>0.24</v>
      </c>
      <c r="P2846" s="9"/>
    </row>
    <row r="2847">
      <c r="A2847" s="6" t="s">
        <v>6696</v>
      </c>
      <c r="B2847" s="6" t="s">
        <v>762</v>
      </c>
      <c r="C2847" s="6" t="s">
        <v>43</v>
      </c>
      <c r="D2847" s="6" t="s">
        <v>6697</v>
      </c>
      <c r="E2847" s="6" t="s">
        <v>57</v>
      </c>
      <c r="F2847" s="6" t="s">
        <v>40</v>
      </c>
      <c r="G2847" s="7">
        <v>0.03</v>
      </c>
      <c r="H2847" s="6" t="s">
        <v>434</v>
      </c>
      <c r="I2847" s="6" t="s">
        <v>20</v>
      </c>
      <c r="J2847" s="6">
        <v>2000.0</v>
      </c>
      <c r="K2847" s="10">
        <v>46055.0</v>
      </c>
      <c r="L2847" s="6">
        <v>1.0</v>
      </c>
      <c r="M2847" s="8">
        <f t="shared" si="3"/>
        <v>0.03</v>
      </c>
      <c r="P2847" s="9"/>
    </row>
    <row r="2848">
      <c r="A2848" s="6" t="s">
        <v>6698</v>
      </c>
      <c r="B2848" s="6" t="s">
        <v>146</v>
      </c>
      <c r="C2848" s="6" t="s">
        <v>37</v>
      </c>
      <c r="D2848" s="6" t="s">
        <v>6699</v>
      </c>
      <c r="E2848" s="6" t="s">
        <v>248</v>
      </c>
      <c r="F2848" s="6" t="s">
        <v>77</v>
      </c>
      <c r="G2848" s="7">
        <v>0.15</v>
      </c>
      <c r="H2848" s="6" t="s">
        <v>238</v>
      </c>
      <c r="I2848" s="6" t="s">
        <v>20</v>
      </c>
      <c r="J2848" s="6">
        <v>2024.0</v>
      </c>
      <c r="L2848" s="6">
        <v>1.0</v>
      </c>
      <c r="M2848" s="8">
        <f t="shared" si="3"/>
        <v>0.15</v>
      </c>
      <c r="P2848" s="9"/>
    </row>
    <row r="2849">
      <c r="A2849" s="6" t="s">
        <v>6700</v>
      </c>
      <c r="B2849" s="6" t="s">
        <v>254</v>
      </c>
      <c r="C2849" s="6" t="s">
        <v>43</v>
      </c>
      <c r="D2849" s="6" t="s">
        <v>6701</v>
      </c>
      <c r="E2849" s="6" t="s">
        <v>176</v>
      </c>
      <c r="F2849" s="6" t="s">
        <v>77</v>
      </c>
      <c r="G2849" s="7">
        <v>0.05</v>
      </c>
      <c r="H2849" s="6" t="s">
        <v>187</v>
      </c>
      <c r="I2849" s="6" t="s">
        <v>20</v>
      </c>
      <c r="J2849" s="6">
        <v>1995.0</v>
      </c>
      <c r="L2849" s="6">
        <v>1.0</v>
      </c>
      <c r="M2849" s="8">
        <f t="shared" si="3"/>
        <v>0.05</v>
      </c>
      <c r="P2849" s="9"/>
    </row>
    <row r="2850">
      <c r="A2850" s="6" t="s">
        <v>6702</v>
      </c>
      <c r="B2850" s="6" t="s">
        <v>192</v>
      </c>
      <c r="C2850" s="6" t="s">
        <v>37</v>
      </c>
      <c r="D2850" s="6" t="s">
        <v>6703</v>
      </c>
      <c r="E2850" s="6" t="s">
        <v>215</v>
      </c>
      <c r="F2850" s="6" t="s">
        <v>26</v>
      </c>
      <c r="G2850" s="7">
        <v>0.1</v>
      </c>
      <c r="H2850" s="6" t="s">
        <v>324</v>
      </c>
      <c r="I2850" s="6" t="s">
        <v>20</v>
      </c>
      <c r="J2850" s="6">
        <v>1995.0</v>
      </c>
      <c r="L2850" s="6">
        <v>2.0</v>
      </c>
      <c r="M2850" s="8">
        <f t="shared" si="3"/>
        <v>0.2</v>
      </c>
      <c r="P2850" s="9"/>
    </row>
    <row r="2851">
      <c r="A2851" s="6" t="s">
        <v>6704</v>
      </c>
      <c r="B2851" s="6" t="s">
        <v>162</v>
      </c>
      <c r="C2851" s="6" t="s">
        <v>30</v>
      </c>
      <c r="D2851" s="6" t="s">
        <v>6705</v>
      </c>
      <c r="E2851" s="6" t="s">
        <v>1027</v>
      </c>
      <c r="F2851" s="6" t="s">
        <v>77</v>
      </c>
      <c r="G2851" s="7">
        <v>0.35</v>
      </c>
      <c r="H2851" s="6" t="s">
        <v>297</v>
      </c>
      <c r="I2851" s="6" t="s">
        <v>20</v>
      </c>
      <c r="J2851" s="6">
        <v>2022.0</v>
      </c>
      <c r="L2851" s="6">
        <v>1.0</v>
      </c>
      <c r="M2851" s="8">
        <f t="shared" si="3"/>
        <v>0.35</v>
      </c>
      <c r="P2851" s="9"/>
    </row>
    <row r="2852">
      <c r="A2852" s="6" t="s">
        <v>6706</v>
      </c>
      <c r="B2852" s="6" t="s">
        <v>625</v>
      </c>
      <c r="C2852" s="6" t="s">
        <v>43</v>
      </c>
      <c r="D2852" s="6" t="s">
        <v>6707</v>
      </c>
      <c r="E2852" s="6" t="s">
        <v>248</v>
      </c>
      <c r="F2852" s="6" t="s">
        <v>77</v>
      </c>
      <c r="G2852" s="7">
        <v>0.04</v>
      </c>
      <c r="H2852" s="6" t="s">
        <v>88</v>
      </c>
      <c r="I2852" s="6" t="s">
        <v>20</v>
      </c>
      <c r="J2852" s="6">
        <v>2024.0</v>
      </c>
      <c r="K2852" s="10">
        <v>46057.0</v>
      </c>
      <c r="L2852" s="6">
        <v>1.0</v>
      </c>
      <c r="M2852" s="8">
        <f t="shared" si="3"/>
        <v>0.04</v>
      </c>
      <c r="P2852" s="9"/>
    </row>
    <row r="2853">
      <c r="A2853" s="6" t="s">
        <v>6708</v>
      </c>
      <c r="B2853" s="6" t="s">
        <v>162</v>
      </c>
      <c r="C2853" s="6" t="s">
        <v>43</v>
      </c>
      <c r="D2853" s="6" t="s">
        <v>6709</v>
      </c>
      <c r="E2853" s="6" t="s">
        <v>448</v>
      </c>
      <c r="F2853" s="6" t="s">
        <v>112</v>
      </c>
      <c r="G2853" s="7">
        <v>0.05</v>
      </c>
      <c r="H2853" s="6" t="s">
        <v>404</v>
      </c>
      <c r="I2853" s="6" t="s">
        <v>20</v>
      </c>
      <c r="J2853" s="6">
        <v>2020.0</v>
      </c>
      <c r="L2853" s="6">
        <v>1.0</v>
      </c>
      <c r="M2853" s="8">
        <f t="shared" si="3"/>
        <v>0.05</v>
      </c>
      <c r="P2853" s="9"/>
    </row>
    <row r="2854">
      <c r="A2854" s="6" t="s">
        <v>6708</v>
      </c>
      <c r="B2854" s="6" t="s">
        <v>162</v>
      </c>
      <c r="C2854" s="6" t="s">
        <v>43</v>
      </c>
      <c r="D2854" s="6" t="s">
        <v>6709</v>
      </c>
      <c r="E2854" s="6" t="s">
        <v>448</v>
      </c>
      <c r="F2854" s="6" t="s">
        <v>112</v>
      </c>
      <c r="G2854" s="7">
        <v>0.1</v>
      </c>
      <c r="H2854" s="6" t="s">
        <v>428</v>
      </c>
      <c r="I2854" s="6" t="s">
        <v>20</v>
      </c>
      <c r="J2854" s="6">
        <v>2022.0</v>
      </c>
      <c r="L2854" s="6">
        <v>1.0</v>
      </c>
      <c r="M2854" s="8">
        <f t="shared" si="3"/>
        <v>0.1</v>
      </c>
      <c r="P2854" s="9"/>
    </row>
    <row r="2855">
      <c r="A2855" s="6" t="s">
        <v>6710</v>
      </c>
      <c r="B2855" s="6" t="s">
        <v>1477</v>
      </c>
      <c r="C2855" s="6" t="s">
        <v>37</v>
      </c>
      <c r="D2855" s="6" t="s">
        <v>6711</v>
      </c>
      <c r="E2855" s="6" t="s">
        <v>140</v>
      </c>
      <c r="F2855" s="6" t="s">
        <v>87</v>
      </c>
      <c r="G2855" s="7">
        <v>0.19</v>
      </c>
      <c r="H2855" s="6" t="s">
        <v>471</v>
      </c>
      <c r="I2855" s="6" t="s">
        <v>20</v>
      </c>
      <c r="J2855" s="6">
        <v>2026.0</v>
      </c>
      <c r="K2855" s="10">
        <v>46024.0</v>
      </c>
      <c r="L2855" s="6">
        <v>1.0</v>
      </c>
      <c r="M2855" s="8">
        <f t="shared" si="3"/>
        <v>0.19</v>
      </c>
      <c r="P2855" s="9"/>
    </row>
    <row r="2856">
      <c r="A2856" s="6" t="s">
        <v>6712</v>
      </c>
      <c r="B2856" s="6" t="s">
        <v>219</v>
      </c>
      <c r="C2856" s="6" t="s">
        <v>37</v>
      </c>
      <c r="D2856" s="6" t="s">
        <v>6713</v>
      </c>
      <c r="E2856" s="6" t="s">
        <v>107</v>
      </c>
      <c r="F2856" s="6" t="s">
        <v>18</v>
      </c>
      <c r="G2856" s="7">
        <v>0.09</v>
      </c>
      <c r="H2856" s="6" t="s">
        <v>89</v>
      </c>
      <c r="I2856" s="6" t="s">
        <v>20</v>
      </c>
      <c r="J2856" s="6">
        <v>2021.0</v>
      </c>
      <c r="L2856" s="6">
        <v>1.0</v>
      </c>
      <c r="M2856" s="8">
        <f t="shared" si="3"/>
        <v>0.09</v>
      </c>
      <c r="P2856" s="9"/>
    </row>
    <row r="2857">
      <c r="A2857" s="6" t="s">
        <v>6714</v>
      </c>
      <c r="B2857" s="6" t="s">
        <v>529</v>
      </c>
      <c r="C2857" s="6" t="s">
        <v>30</v>
      </c>
      <c r="D2857" s="6" t="s">
        <v>6715</v>
      </c>
      <c r="E2857" s="6" t="s">
        <v>1093</v>
      </c>
      <c r="F2857" s="6" t="s">
        <v>77</v>
      </c>
      <c r="G2857" s="7">
        <v>0.2</v>
      </c>
      <c r="H2857" s="6" t="s">
        <v>1493</v>
      </c>
      <c r="I2857" s="6" t="s">
        <v>20</v>
      </c>
      <c r="J2857" s="6">
        <v>2015.0</v>
      </c>
      <c r="K2857" s="10">
        <v>46116.0</v>
      </c>
      <c r="L2857" s="6">
        <v>1.0</v>
      </c>
      <c r="M2857" s="8">
        <f t="shared" si="3"/>
        <v>0.2</v>
      </c>
      <c r="P2857" s="9"/>
    </row>
    <row r="2858">
      <c r="A2858" s="6" t="s">
        <v>6716</v>
      </c>
      <c r="B2858" s="6" t="s">
        <v>6717</v>
      </c>
      <c r="C2858" s="6" t="s">
        <v>43</v>
      </c>
      <c r="D2858" s="6" t="s">
        <v>6718</v>
      </c>
      <c r="E2858" s="6" t="s">
        <v>248</v>
      </c>
      <c r="F2858" s="6" t="s">
        <v>77</v>
      </c>
      <c r="G2858" s="7">
        <v>0.03</v>
      </c>
      <c r="H2858" s="6" t="s">
        <v>531</v>
      </c>
      <c r="I2858" s="6" t="s">
        <v>20</v>
      </c>
      <c r="J2858" s="6">
        <v>2017.0</v>
      </c>
      <c r="K2858" s="10">
        <v>46146.0</v>
      </c>
      <c r="L2858" s="6">
        <v>1.0</v>
      </c>
      <c r="M2858" s="8">
        <f t="shared" si="3"/>
        <v>0.03</v>
      </c>
      <c r="P2858" s="9"/>
    </row>
    <row r="2859">
      <c r="A2859" s="6" t="s">
        <v>6719</v>
      </c>
      <c r="B2859" s="6" t="s">
        <v>6720</v>
      </c>
      <c r="C2859" s="6" t="s">
        <v>43</v>
      </c>
      <c r="D2859" s="6" t="s">
        <v>6721</v>
      </c>
      <c r="E2859" s="6" t="s">
        <v>32</v>
      </c>
      <c r="F2859" s="6" t="s">
        <v>33</v>
      </c>
      <c r="G2859" s="7">
        <v>0.04</v>
      </c>
      <c r="H2859" s="6" t="s">
        <v>734</v>
      </c>
      <c r="I2859" s="6" t="s">
        <v>20</v>
      </c>
      <c r="J2859" s="6">
        <v>2022.0</v>
      </c>
      <c r="K2859" s="10">
        <v>46116.0</v>
      </c>
      <c r="L2859" s="6">
        <v>1.0</v>
      </c>
      <c r="M2859" s="8">
        <f t="shared" si="3"/>
        <v>0.04</v>
      </c>
      <c r="P2859" s="9"/>
    </row>
    <row r="2860">
      <c r="A2860" s="6" t="s">
        <v>6722</v>
      </c>
      <c r="B2860" s="6" t="s">
        <v>74</v>
      </c>
      <c r="C2860" s="6" t="s">
        <v>43</v>
      </c>
      <c r="D2860" s="6" t="s">
        <v>6723</v>
      </c>
      <c r="E2860" s="6" t="s">
        <v>135</v>
      </c>
      <c r="F2860" s="6" t="s">
        <v>40</v>
      </c>
      <c r="G2860" s="7">
        <v>0.08</v>
      </c>
      <c r="H2860" s="6" t="s">
        <v>687</v>
      </c>
      <c r="I2860" s="6" t="s">
        <v>20</v>
      </c>
      <c r="J2860" s="6">
        <v>2011.0</v>
      </c>
      <c r="L2860" s="6">
        <v>4.0</v>
      </c>
      <c r="M2860" s="8">
        <f t="shared" si="3"/>
        <v>0.32</v>
      </c>
      <c r="P2860" s="9"/>
    </row>
    <row r="2861">
      <c r="A2861" s="6" t="s">
        <v>6724</v>
      </c>
      <c r="B2861" s="6" t="s">
        <v>162</v>
      </c>
      <c r="C2861" s="6" t="s">
        <v>43</v>
      </c>
      <c r="D2861" s="6" t="s">
        <v>6725</v>
      </c>
      <c r="E2861" s="6" t="s">
        <v>117</v>
      </c>
      <c r="F2861" s="6" t="s">
        <v>77</v>
      </c>
      <c r="G2861" s="7">
        <v>0.05</v>
      </c>
      <c r="H2861" s="6" t="s">
        <v>290</v>
      </c>
      <c r="I2861" s="6" t="s">
        <v>20</v>
      </c>
      <c r="J2861" s="6">
        <v>2019.0</v>
      </c>
      <c r="L2861" s="6">
        <v>1.0</v>
      </c>
      <c r="M2861" s="8">
        <f t="shared" si="3"/>
        <v>0.05</v>
      </c>
      <c r="P2861" s="9"/>
    </row>
    <row r="2862">
      <c r="A2862" s="6" t="s">
        <v>6726</v>
      </c>
      <c r="B2862" s="6" t="s">
        <v>850</v>
      </c>
      <c r="C2862" s="6" t="s">
        <v>23</v>
      </c>
      <c r="D2862" s="6" t="s">
        <v>6727</v>
      </c>
      <c r="E2862" s="6" t="s">
        <v>509</v>
      </c>
      <c r="F2862" s="6" t="s">
        <v>87</v>
      </c>
      <c r="G2862" s="7">
        <v>0.09</v>
      </c>
      <c r="H2862" s="6" t="s">
        <v>130</v>
      </c>
      <c r="I2862" s="6" t="s">
        <v>20</v>
      </c>
      <c r="J2862" s="6">
        <v>2014.0</v>
      </c>
      <c r="K2862" s="10">
        <v>46023.0</v>
      </c>
      <c r="L2862" s="6">
        <v>1.0</v>
      </c>
      <c r="M2862" s="8">
        <f t="shared" si="3"/>
        <v>0.09</v>
      </c>
      <c r="P2862" s="9"/>
    </row>
    <row r="2863">
      <c r="A2863" s="6" t="s">
        <v>6728</v>
      </c>
      <c r="B2863" s="6" t="s">
        <v>6729</v>
      </c>
      <c r="C2863" s="6" t="s">
        <v>512</v>
      </c>
      <c r="D2863" s="6" t="s">
        <v>6730</v>
      </c>
      <c r="E2863" s="6" t="s">
        <v>6731</v>
      </c>
      <c r="F2863" s="6" t="s">
        <v>77</v>
      </c>
      <c r="G2863" s="7">
        <v>2.17</v>
      </c>
      <c r="H2863" s="6" t="s">
        <v>369</v>
      </c>
      <c r="I2863" s="6" t="s">
        <v>20</v>
      </c>
      <c r="J2863" s="6">
        <v>2019.0</v>
      </c>
      <c r="K2863" s="10">
        <v>46116.0</v>
      </c>
      <c r="L2863" s="6">
        <v>1.0</v>
      </c>
      <c r="M2863" s="8">
        <f t="shared" si="3"/>
        <v>2.17</v>
      </c>
      <c r="P2863" s="9"/>
    </row>
    <row r="2864">
      <c r="A2864" s="6" t="s">
        <v>6732</v>
      </c>
      <c r="B2864" s="6" t="s">
        <v>6551</v>
      </c>
      <c r="C2864" s="6" t="s">
        <v>156</v>
      </c>
      <c r="D2864" s="6" t="s">
        <v>6733</v>
      </c>
      <c r="E2864" s="6" t="s">
        <v>3130</v>
      </c>
      <c r="F2864" s="6" t="s">
        <v>87</v>
      </c>
      <c r="G2864" s="7">
        <v>0.33</v>
      </c>
      <c r="H2864" s="6" t="s">
        <v>342</v>
      </c>
      <c r="I2864" s="6" t="s">
        <v>20</v>
      </c>
      <c r="J2864" s="6">
        <v>2014.0</v>
      </c>
      <c r="K2864" s="10">
        <v>46147.0</v>
      </c>
      <c r="L2864" s="6">
        <v>1.0</v>
      </c>
      <c r="M2864" s="8">
        <f t="shared" si="3"/>
        <v>0.33</v>
      </c>
      <c r="P2864" s="9"/>
    </row>
    <row r="2865">
      <c r="A2865" s="6" t="s">
        <v>6732</v>
      </c>
      <c r="B2865" s="6" t="s">
        <v>1947</v>
      </c>
      <c r="C2865" s="6" t="s">
        <v>30</v>
      </c>
      <c r="D2865" s="6" t="s">
        <v>6734</v>
      </c>
      <c r="E2865" s="6" t="s">
        <v>1588</v>
      </c>
      <c r="F2865" s="6" t="s">
        <v>87</v>
      </c>
      <c r="G2865" s="7">
        <v>0.33</v>
      </c>
      <c r="H2865" s="6" t="s">
        <v>2171</v>
      </c>
      <c r="I2865" s="6" t="s">
        <v>45</v>
      </c>
      <c r="J2865" s="6">
        <v>2014.0</v>
      </c>
      <c r="K2865" s="10">
        <v>46147.0</v>
      </c>
      <c r="L2865" s="6">
        <v>1.0</v>
      </c>
      <c r="M2865" s="8">
        <f t="shared" si="3"/>
        <v>0.33</v>
      </c>
      <c r="P2865" s="9"/>
    </row>
    <row r="2866">
      <c r="A2866" s="6" t="s">
        <v>6735</v>
      </c>
      <c r="B2866" s="6" t="s">
        <v>1002</v>
      </c>
      <c r="C2866" s="6" t="s">
        <v>3325</v>
      </c>
      <c r="D2866" s="6" t="s">
        <v>6736</v>
      </c>
      <c r="E2866" s="6" t="s">
        <v>329</v>
      </c>
      <c r="F2866" s="6" t="s">
        <v>112</v>
      </c>
      <c r="G2866" s="7">
        <v>0.43</v>
      </c>
      <c r="H2866" s="6" t="s">
        <v>1048</v>
      </c>
      <c r="I2866" s="6" t="s">
        <v>20</v>
      </c>
      <c r="J2866" s="6">
        <v>2008.0</v>
      </c>
      <c r="K2866" s="10">
        <v>46055.0</v>
      </c>
      <c r="L2866" s="6">
        <v>1.0</v>
      </c>
      <c r="M2866" s="8">
        <f t="shared" si="3"/>
        <v>0.43</v>
      </c>
      <c r="P2866" s="9"/>
    </row>
    <row r="2867">
      <c r="A2867" s="6" t="s">
        <v>6737</v>
      </c>
      <c r="B2867" s="6" t="s">
        <v>3638</v>
      </c>
      <c r="C2867" s="6" t="s">
        <v>37</v>
      </c>
      <c r="D2867" s="6" t="s">
        <v>6738</v>
      </c>
      <c r="E2867" s="6" t="s">
        <v>654</v>
      </c>
      <c r="F2867" s="6" t="s">
        <v>18</v>
      </c>
      <c r="G2867" s="7">
        <v>0.04</v>
      </c>
      <c r="H2867" s="6" t="s">
        <v>121</v>
      </c>
      <c r="I2867" s="6" t="s">
        <v>20</v>
      </c>
      <c r="J2867" s="6">
        <v>2021.0</v>
      </c>
      <c r="K2867" s="10">
        <v>46024.0</v>
      </c>
      <c r="L2867" s="6">
        <v>1.0</v>
      </c>
      <c r="M2867" s="8">
        <f t="shared" si="3"/>
        <v>0.04</v>
      </c>
      <c r="P2867" s="9"/>
    </row>
    <row r="2868">
      <c r="A2868" s="6" t="s">
        <v>6739</v>
      </c>
      <c r="B2868" s="6" t="s">
        <v>6740</v>
      </c>
      <c r="C2868" s="6" t="s">
        <v>15</v>
      </c>
      <c r="D2868" s="6" t="s">
        <v>6741</v>
      </c>
      <c r="E2868" s="6" t="s">
        <v>6742</v>
      </c>
      <c r="F2868" s="6" t="s">
        <v>665</v>
      </c>
      <c r="G2868" s="7">
        <v>0.19</v>
      </c>
      <c r="H2868" s="6" t="s">
        <v>617</v>
      </c>
      <c r="I2868" s="6" t="s">
        <v>20</v>
      </c>
      <c r="J2868" s="6">
        <v>2026.0</v>
      </c>
      <c r="K2868" s="10">
        <v>46113.0</v>
      </c>
      <c r="L2868" s="6">
        <v>1.0</v>
      </c>
      <c r="M2868" s="8">
        <f t="shared" si="3"/>
        <v>0.19</v>
      </c>
      <c r="P2868" s="9"/>
    </row>
    <row r="2869">
      <c r="A2869" s="6" t="s">
        <v>6743</v>
      </c>
      <c r="B2869" s="6" t="s">
        <v>2592</v>
      </c>
      <c r="C2869" s="6" t="s">
        <v>43</v>
      </c>
      <c r="D2869" s="6" t="s">
        <v>6744</v>
      </c>
      <c r="E2869" s="6" t="s">
        <v>1093</v>
      </c>
      <c r="F2869" s="6" t="s">
        <v>77</v>
      </c>
      <c r="G2869" s="7">
        <v>0.17</v>
      </c>
      <c r="H2869" s="6" t="s">
        <v>475</v>
      </c>
      <c r="I2869" s="6" t="s">
        <v>45</v>
      </c>
      <c r="J2869" s="6">
        <v>2024.0</v>
      </c>
      <c r="K2869" s="10">
        <v>46148.0</v>
      </c>
      <c r="L2869" s="6">
        <v>3.0</v>
      </c>
      <c r="M2869" s="8">
        <f t="shared" si="3"/>
        <v>0.51</v>
      </c>
      <c r="P2869" s="9"/>
    </row>
    <row r="2870">
      <c r="A2870" s="6" t="s">
        <v>6745</v>
      </c>
      <c r="B2870" s="6" t="s">
        <v>74</v>
      </c>
      <c r="C2870" s="6" t="s">
        <v>43</v>
      </c>
      <c r="D2870" s="6" t="s">
        <v>6746</v>
      </c>
      <c r="E2870" s="6" t="s">
        <v>190</v>
      </c>
      <c r="F2870" s="6" t="s">
        <v>18</v>
      </c>
      <c r="G2870" s="7">
        <v>0.5</v>
      </c>
      <c r="H2870" s="6" t="s">
        <v>297</v>
      </c>
      <c r="I2870" s="6" t="s">
        <v>20</v>
      </c>
      <c r="J2870" s="6">
        <v>2022.0</v>
      </c>
      <c r="L2870" s="6">
        <v>2.0</v>
      </c>
      <c r="M2870" s="8">
        <f t="shared" si="3"/>
        <v>1</v>
      </c>
      <c r="P2870" s="9"/>
    </row>
    <row r="2871">
      <c r="A2871" s="6" t="s">
        <v>6745</v>
      </c>
      <c r="B2871" s="6" t="s">
        <v>74</v>
      </c>
      <c r="C2871" s="6" t="s">
        <v>30</v>
      </c>
      <c r="D2871" s="6" t="s">
        <v>6746</v>
      </c>
      <c r="E2871" s="6" t="s">
        <v>190</v>
      </c>
      <c r="F2871" s="6" t="s">
        <v>18</v>
      </c>
      <c r="G2871" s="7">
        <v>1.8</v>
      </c>
      <c r="H2871" s="6" t="s">
        <v>6747</v>
      </c>
      <c r="I2871" s="6" t="s">
        <v>20</v>
      </c>
      <c r="J2871" s="6">
        <v>2022.0</v>
      </c>
      <c r="L2871" s="6">
        <v>1.0</v>
      </c>
      <c r="M2871" s="8"/>
      <c r="P2871" s="9"/>
    </row>
    <row r="2872">
      <c r="A2872" s="6" t="s">
        <v>6748</v>
      </c>
      <c r="B2872" s="6" t="s">
        <v>2532</v>
      </c>
      <c r="C2872" s="6" t="s">
        <v>43</v>
      </c>
      <c r="D2872" s="6" t="s">
        <v>6749</v>
      </c>
      <c r="E2872" s="6" t="s">
        <v>224</v>
      </c>
      <c r="F2872" s="6" t="s">
        <v>18</v>
      </c>
      <c r="G2872" s="7">
        <v>0.06</v>
      </c>
      <c r="H2872" s="6" t="s">
        <v>148</v>
      </c>
      <c r="I2872" s="6" t="s">
        <v>20</v>
      </c>
      <c r="J2872" s="6">
        <v>2026.0</v>
      </c>
      <c r="K2872" s="10">
        <v>46084.0</v>
      </c>
      <c r="L2872" s="6">
        <v>1.0</v>
      </c>
      <c r="M2872" s="8">
        <f t="shared" ref="M2872:M5027" si="4">L2872*G2872</f>
        <v>0.06</v>
      </c>
      <c r="P2872" s="9"/>
    </row>
    <row r="2873">
      <c r="A2873" s="6" t="s">
        <v>6750</v>
      </c>
      <c r="B2873" s="6" t="s">
        <v>396</v>
      </c>
      <c r="C2873" s="6" t="s">
        <v>30</v>
      </c>
      <c r="D2873" s="6" t="s">
        <v>6751</v>
      </c>
      <c r="E2873" s="6" t="s">
        <v>25</v>
      </c>
      <c r="F2873" s="6" t="s">
        <v>26</v>
      </c>
      <c r="G2873" s="7">
        <v>0.5</v>
      </c>
      <c r="H2873" s="6" t="s">
        <v>687</v>
      </c>
      <c r="I2873" s="6" t="s">
        <v>20</v>
      </c>
      <c r="J2873" s="6">
        <v>2011.0</v>
      </c>
      <c r="L2873" s="6">
        <v>1.0</v>
      </c>
      <c r="M2873" s="8">
        <f t="shared" si="4"/>
        <v>0.5</v>
      </c>
      <c r="P2873" s="9"/>
    </row>
    <row r="2874">
      <c r="A2874" s="6" t="s">
        <v>6752</v>
      </c>
      <c r="B2874" s="6" t="s">
        <v>6753</v>
      </c>
      <c r="C2874" s="6" t="s">
        <v>156</v>
      </c>
      <c r="D2874" s="6" t="s">
        <v>6754</v>
      </c>
      <c r="E2874" s="6" t="s">
        <v>2914</v>
      </c>
      <c r="F2874" s="6" t="s">
        <v>18</v>
      </c>
      <c r="G2874" s="7">
        <v>0.24</v>
      </c>
      <c r="H2874" s="6" t="s">
        <v>130</v>
      </c>
      <c r="I2874" s="6" t="s">
        <v>20</v>
      </c>
      <c r="J2874" s="6">
        <v>2014.0</v>
      </c>
      <c r="K2874" s="10">
        <v>46178.0</v>
      </c>
      <c r="L2874" s="6">
        <v>1.0</v>
      </c>
      <c r="M2874" s="8">
        <f t="shared" si="4"/>
        <v>0.24</v>
      </c>
      <c r="P2874" s="9"/>
    </row>
    <row r="2875">
      <c r="A2875" s="6" t="s">
        <v>6755</v>
      </c>
      <c r="B2875" s="6" t="s">
        <v>400</v>
      </c>
      <c r="C2875" s="6" t="s">
        <v>37</v>
      </c>
      <c r="D2875" s="6" t="s">
        <v>6756</v>
      </c>
      <c r="E2875" s="6" t="s">
        <v>256</v>
      </c>
      <c r="F2875" s="6" t="s">
        <v>87</v>
      </c>
      <c r="G2875" s="7">
        <v>0.12</v>
      </c>
      <c r="H2875" s="6" t="s">
        <v>136</v>
      </c>
      <c r="I2875" s="6" t="s">
        <v>20</v>
      </c>
      <c r="J2875" s="6">
        <v>2026.0</v>
      </c>
      <c r="L2875" s="6">
        <v>2.0</v>
      </c>
      <c r="M2875" s="8">
        <f t="shared" si="4"/>
        <v>0.24</v>
      </c>
      <c r="P2875" s="9"/>
    </row>
    <row r="2876">
      <c r="A2876" s="6" t="s">
        <v>6757</v>
      </c>
      <c r="B2876" s="6" t="s">
        <v>494</v>
      </c>
      <c r="C2876" s="6" t="s">
        <v>43</v>
      </c>
      <c r="D2876" s="6" t="s">
        <v>6758</v>
      </c>
      <c r="E2876" s="6" t="s">
        <v>179</v>
      </c>
      <c r="F2876" s="6" t="s">
        <v>112</v>
      </c>
      <c r="G2876" s="7">
        <v>0.6</v>
      </c>
      <c r="H2876" s="6" t="s">
        <v>6398</v>
      </c>
      <c r="I2876" s="6" t="s">
        <v>20</v>
      </c>
      <c r="J2876" s="6">
        <v>2010.0</v>
      </c>
      <c r="L2876" s="6">
        <v>2.0</v>
      </c>
      <c r="M2876" s="8">
        <f t="shared" si="4"/>
        <v>1.2</v>
      </c>
      <c r="P2876" s="9"/>
    </row>
    <row r="2877">
      <c r="A2877" s="6" t="s">
        <v>6759</v>
      </c>
      <c r="B2877" s="6" t="s">
        <v>6760</v>
      </c>
      <c r="C2877" s="6" t="s">
        <v>23</v>
      </c>
      <c r="D2877" s="6" t="s">
        <v>6761</v>
      </c>
      <c r="E2877" s="6" t="s">
        <v>25</v>
      </c>
      <c r="F2877" s="6" t="s">
        <v>26</v>
      </c>
      <c r="G2877" s="7">
        <v>0.1</v>
      </c>
      <c r="H2877" s="6" t="s">
        <v>1621</v>
      </c>
      <c r="I2877" s="6" t="s">
        <v>20</v>
      </c>
      <c r="J2877" s="6">
        <v>2025.0</v>
      </c>
      <c r="K2877" s="10">
        <v>46024.0</v>
      </c>
      <c r="L2877" s="6">
        <v>1.0</v>
      </c>
      <c r="M2877" s="8">
        <f t="shared" si="4"/>
        <v>0.1</v>
      </c>
      <c r="P2877" s="9"/>
    </row>
    <row r="2878">
      <c r="A2878" s="6" t="s">
        <v>6762</v>
      </c>
      <c r="B2878" s="6" t="s">
        <v>6763</v>
      </c>
      <c r="C2878" s="6" t="s">
        <v>23</v>
      </c>
      <c r="D2878" s="6" t="s">
        <v>6764</v>
      </c>
      <c r="E2878" s="6" t="s">
        <v>1131</v>
      </c>
      <c r="F2878" s="6" t="s">
        <v>87</v>
      </c>
      <c r="G2878" s="7">
        <v>0.15</v>
      </c>
      <c r="H2878" s="6" t="s">
        <v>1621</v>
      </c>
      <c r="I2878" s="6" t="s">
        <v>20</v>
      </c>
      <c r="J2878" s="6">
        <v>2025.0</v>
      </c>
      <c r="K2878" s="10">
        <v>46083.0</v>
      </c>
      <c r="L2878" s="6">
        <v>5.0</v>
      </c>
      <c r="M2878" s="8">
        <f t="shared" si="4"/>
        <v>0.75</v>
      </c>
      <c r="P2878" s="9"/>
    </row>
    <row r="2879">
      <c r="A2879" s="6" t="s">
        <v>6765</v>
      </c>
      <c r="B2879" s="6" t="s">
        <v>6763</v>
      </c>
      <c r="C2879" s="6" t="s">
        <v>23</v>
      </c>
      <c r="D2879" s="6" t="s">
        <v>6766</v>
      </c>
      <c r="E2879" s="6" t="s">
        <v>252</v>
      </c>
      <c r="F2879" s="6" t="s">
        <v>40</v>
      </c>
      <c r="G2879" s="7">
        <v>0.25</v>
      </c>
      <c r="H2879" s="6" t="s">
        <v>27</v>
      </c>
      <c r="I2879" s="6" t="s">
        <v>20</v>
      </c>
      <c r="J2879" s="6">
        <v>2025.0</v>
      </c>
      <c r="K2879" s="10">
        <v>46084.0</v>
      </c>
      <c r="L2879" s="6">
        <v>3.0</v>
      </c>
      <c r="M2879" s="8">
        <f t="shared" si="4"/>
        <v>0.75</v>
      </c>
      <c r="P2879" s="9"/>
    </row>
    <row r="2880">
      <c r="A2880" s="6" t="s">
        <v>6767</v>
      </c>
      <c r="B2880" s="6" t="s">
        <v>219</v>
      </c>
      <c r="C2880" s="6" t="s">
        <v>43</v>
      </c>
      <c r="D2880" s="6" t="s">
        <v>6768</v>
      </c>
      <c r="E2880" s="6" t="s">
        <v>215</v>
      </c>
      <c r="F2880" s="6" t="s">
        <v>26</v>
      </c>
      <c r="G2880" s="7">
        <v>0.06</v>
      </c>
      <c r="H2880" s="6" t="s">
        <v>1287</v>
      </c>
      <c r="I2880" s="6" t="s">
        <v>20</v>
      </c>
      <c r="J2880" s="6">
        <v>2021.0</v>
      </c>
      <c r="L2880" s="6">
        <v>1.0</v>
      </c>
      <c r="M2880" s="8">
        <f t="shared" si="4"/>
        <v>0.06</v>
      </c>
      <c r="N2880" s="6" t="s">
        <v>374</v>
      </c>
      <c r="P2880" s="9"/>
    </row>
    <row r="2881">
      <c r="A2881" s="6" t="s">
        <v>6769</v>
      </c>
      <c r="B2881" s="6" t="s">
        <v>4375</v>
      </c>
      <c r="C2881" s="6" t="s">
        <v>43</v>
      </c>
      <c r="D2881" s="6" t="s">
        <v>6770</v>
      </c>
      <c r="E2881" s="6" t="s">
        <v>256</v>
      </c>
      <c r="F2881" s="6" t="s">
        <v>87</v>
      </c>
      <c r="G2881" s="7">
        <v>0.05</v>
      </c>
      <c r="H2881" s="6" t="s">
        <v>217</v>
      </c>
      <c r="I2881" s="6" t="s">
        <v>20</v>
      </c>
      <c r="J2881" s="6">
        <v>2003.0</v>
      </c>
      <c r="K2881" s="10">
        <v>46054.0</v>
      </c>
      <c r="L2881" s="6">
        <v>1.0</v>
      </c>
      <c r="M2881" s="8">
        <f t="shared" si="4"/>
        <v>0.05</v>
      </c>
      <c r="P2881" s="9"/>
    </row>
    <row r="2882">
      <c r="A2882" s="6" t="s">
        <v>6771</v>
      </c>
      <c r="B2882" s="6" t="s">
        <v>138</v>
      </c>
      <c r="C2882" s="6" t="s">
        <v>43</v>
      </c>
      <c r="D2882" s="6" t="s">
        <v>6772</v>
      </c>
      <c r="E2882" s="6" t="s">
        <v>1027</v>
      </c>
      <c r="F2882" s="6" t="s">
        <v>77</v>
      </c>
      <c r="G2882" s="7">
        <v>0.1</v>
      </c>
      <c r="H2882" s="6" t="s">
        <v>228</v>
      </c>
      <c r="I2882" s="6" t="s">
        <v>20</v>
      </c>
      <c r="J2882" s="6">
        <v>2025.0</v>
      </c>
      <c r="L2882" s="6">
        <v>2.0</v>
      </c>
      <c r="M2882" s="8">
        <f t="shared" si="4"/>
        <v>0.2</v>
      </c>
      <c r="P2882" s="9"/>
    </row>
    <row r="2883">
      <c r="A2883" s="6" t="s">
        <v>6773</v>
      </c>
      <c r="B2883" s="6" t="s">
        <v>1638</v>
      </c>
      <c r="C2883" s="6" t="s">
        <v>23</v>
      </c>
      <c r="D2883" s="6" t="s">
        <v>6774</v>
      </c>
      <c r="E2883" s="6" t="s">
        <v>526</v>
      </c>
      <c r="F2883" s="6" t="s">
        <v>26</v>
      </c>
      <c r="G2883" s="7">
        <v>0.1</v>
      </c>
      <c r="H2883" s="6" t="s">
        <v>3366</v>
      </c>
      <c r="I2883" s="6" t="s">
        <v>20</v>
      </c>
      <c r="J2883" s="6">
        <v>2004.0</v>
      </c>
      <c r="K2883" s="10">
        <v>46114.0</v>
      </c>
      <c r="L2883" s="6">
        <v>2.0</v>
      </c>
      <c r="M2883" s="8">
        <f t="shared" si="4"/>
        <v>0.2</v>
      </c>
      <c r="P2883" s="9"/>
    </row>
    <row r="2884">
      <c r="A2884" s="6" t="s">
        <v>6775</v>
      </c>
      <c r="B2884" s="6" t="s">
        <v>1394</v>
      </c>
      <c r="C2884" s="6" t="s">
        <v>37</v>
      </c>
      <c r="D2884" s="6" t="s">
        <v>6776</v>
      </c>
      <c r="E2884" s="6" t="s">
        <v>176</v>
      </c>
      <c r="F2884" s="6" t="s">
        <v>77</v>
      </c>
      <c r="G2884" s="7">
        <v>0.03</v>
      </c>
      <c r="H2884" s="6" t="s">
        <v>431</v>
      </c>
      <c r="I2884" s="6" t="s">
        <v>20</v>
      </c>
      <c r="J2884" s="6">
        <v>2019.0</v>
      </c>
      <c r="K2884" s="10">
        <v>46024.0</v>
      </c>
      <c r="L2884" s="6">
        <v>1.0</v>
      </c>
      <c r="M2884" s="8">
        <f t="shared" si="4"/>
        <v>0.03</v>
      </c>
      <c r="N2884" s="6" t="s">
        <v>374</v>
      </c>
      <c r="P2884" s="9"/>
    </row>
    <row r="2885">
      <c r="A2885" s="6" t="s">
        <v>6777</v>
      </c>
      <c r="B2885" s="6" t="s">
        <v>2070</v>
      </c>
      <c r="C2885" s="6" t="s">
        <v>43</v>
      </c>
      <c r="D2885" s="6" t="s">
        <v>6778</v>
      </c>
      <c r="E2885" s="6" t="s">
        <v>654</v>
      </c>
      <c r="F2885" s="6" t="s">
        <v>18</v>
      </c>
      <c r="G2885" s="7">
        <v>0.05</v>
      </c>
      <c r="H2885" s="6" t="s">
        <v>6779</v>
      </c>
      <c r="I2885" s="6" t="s">
        <v>20</v>
      </c>
      <c r="J2885" s="6">
        <v>2011.0</v>
      </c>
      <c r="K2885" s="10">
        <v>46145.0</v>
      </c>
      <c r="L2885" s="6">
        <v>1.0</v>
      </c>
      <c r="M2885" s="8">
        <f t="shared" si="4"/>
        <v>0.05</v>
      </c>
      <c r="P2885" s="9"/>
    </row>
    <row r="2886">
      <c r="A2886" s="6" t="s">
        <v>6780</v>
      </c>
      <c r="B2886" s="6" t="s">
        <v>6781</v>
      </c>
      <c r="C2886" s="6" t="s">
        <v>37</v>
      </c>
      <c r="D2886" s="6" t="s">
        <v>6782</v>
      </c>
      <c r="E2886" s="6" t="s">
        <v>579</v>
      </c>
      <c r="F2886" s="6" t="s">
        <v>112</v>
      </c>
      <c r="G2886" s="7">
        <v>0.09</v>
      </c>
      <c r="H2886" s="6" t="s">
        <v>674</v>
      </c>
      <c r="I2886" s="6" t="s">
        <v>20</v>
      </c>
      <c r="J2886" s="6">
        <v>2021.0</v>
      </c>
      <c r="K2886" s="6" t="s">
        <v>445</v>
      </c>
      <c r="L2886" s="6">
        <v>2.0</v>
      </c>
      <c r="M2886" s="8">
        <f t="shared" si="4"/>
        <v>0.18</v>
      </c>
      <c r="P2886" s="9"/>
    </row>
    <row r="2887">
      <c r="A2887" s="6" t="s">
        <v>6783</v>
      </c>
      <c r="B2887" s="6" t="s">
        <v>2985</v>
      </c>
      <c r="C2887" s="6" t="s">
        <v>30</v>
      </c>
      <c r="D2887" s="6" t="s">
        <v>6784</v>
      </c>
      <c r="E2887" s="6" t="s">
        <v>2647</v>
      </c>
      <c r="F2887" s="6" t="s">
        <v>112</v>
      </c>
      <c r="G2887" s="7">
        <v>0.2</v>
      </c>
      <c r="H2887" s="6" t="s">
        <v>903</v>
      </c>
      <c r="I2887" s="6" t="s">
        <v>20</v>
      </c>
      <c r="J2887" s="6">
        <v>2016.0</v>
      </c>
      <c r="K2887" s="10">
        <v>46084.0</v>
      </c>
      <c r="L2887" s="6">
        <v>1.0</v>
      </c>
      <c r="M2887" s="8">
        <f t="shared" si="4"/>
        <v>0.2</v>
      </c>
      <c r="P2887" s="9"/>
    </row>
    <row r="2888">
      <c r="A2888" s="6" t="s">
        <v>6785</v>
      </c>
      <c r="B2888" s="6" t="s">
        <v>254</v>
      </c>
      <c r="C2888" s="6" t="s">
        <v>43</v>
      </c>
      <c r="D2888" s="6" t="s">
        <v>6786</v>
      </c>
      <c r="E2888" s="6" t="s">
        <v>822</v>
      </c>
      <c r="F2888" s="6" t="s">
        <v>77</v>
      </c>
      <c r="G2888" s="7">
        <v>0.09</v>
      </c>
      <c r="H2888" s="6" t="s">
        <v>83</v>
      </c>
      <c r="I2888" s="6" t="s">
        <v>20</v>
      </c>
      <c r="J2888" s="6">
        <v>1995.0</v>
      </c>
      <c r="L2888" s="6">
        <v>2.0</v>
      </c>
      <c r="M2888" s="8">
        <f t="shared" si="4"/>
        <v>0.18</v>
      </c>
      <c r="P2888" s="9"/>
    </row>
    <row r="2889">
      <c r="A2889" s="6" t="s">
        <v>6785</v>
      </c>
      <c r="B2889" s="6" t="s">
        <v>254</v>
      </c>
      <c r="C2889" s="6" t="s">
        <v>43</v>
      </c>
      <c r="D2889" s="6" t="s">
        <v>6786</v>
      </c>
      <c r="E2889" s="6" t="s">
        <v>822</v>
      </c>
      <c r="F2889" s="6" t="s">
        <v>77</v>
      </c>
      <c r="G2889" s="7">
        <v>0.21</v>
      </c>
      <c r="H2889" s="6" t="s">
        <v>1064</v>
      </c>
      <c r="I2889" s="6" t="s">
        <v>20</v>
      </c>
      <c r="J2889" s="6">
        <v>1995.0</v>
      </c>
      <c r="L2889" s="6">
        <v>3.0</v>
      </c>
      <c r="M2889" s="8">
        <f t="shared" si="4"/>
        <v>0.63</v>
      </c>
      <c r="P2889" s="9"/>
    </row>
    <row r="2890">
      <c r="A2890" s="6" t="s">
        <v>6787</v>
      </c>
      <c r="B2890" s="6" t="s">
        <v>1002</v>
      </c>
      <c r="C2890" s="6" t="s">
        <v>43</v>
      </c>
      <c r="D2890" s="6" t="s">
        <v>6788</v>
      </c>
      <c r="E2890" s="6" t="s">
        <v>1486</v>
      </c>
      <c r="F2890" s="6" t="s">
        <v>87</v>
      </c>
      <c r="G2890" s="7">
        <v>0.4</v>
      </c>
      <c r="H2890" s="6" t="s">
        <v>113</v>
      </c>
      <c r="I2890" s="6" t="s">
        <v>45</v>
      </c>
      <c r="J2890" s="6">
        <v>2023.0</v>
      </c>
      <c r="K2890" s="10">
        <v>46028.0</v>
      </c>
      <c r="L2890" s="6">
        <v>1.0</v>
      </c>
      <c r="M2890" s="8">
        <f t="shared" si="4"/>
        <v>0.4</v>
      </c>
      <c r="P2890" s="9"/>
    </row>
    <row r="2891">
      <c r="A2891" s="6" t="s">
        <v>6789</v>
      </c>
      <c r="B2891" s="6" t="s">
        <v>1941</v>
      </c>
      <c r="C2891" s="6" t="s">
        <v>37</v>
      </c>
      <c r="D2891" s="6" t="s">
        <v>6790</v>
      </c>
      <c r="E2891" s="6" t="s">
        <v>6791</v>
      </c>
      <c r="F2891" s="6" t="s">
        <v>1118</v>
      </c>
      <c r="G2891" s="7">
        <v>0.09</v>
      </c>
      <c r="H2891" s="6" t="s">
        <v>1048</v>
      </c>
      <c r="I2891" s="6" t="s">
        <v>20</v>
      </c>
      <c r="J2891" s="6">
        <v>2008.0</v>
      </c>
      <c r="K2891" s="10">
        <v>46024.0</v>
      </c>
      <c r="L2891" s="6">
        <v>1.0</v>
      </c>
      <c r="M2891" s="8">
        <f t="shared" si="4"/>
        <v>0.09</v>
      </c>
      <c r="P2891" s="9"/>
    </row>
    <row r="2892">
      <c r="A2892" s="6" t="s">
        <v>6792</v>
      </c>
      <c r="B2892" s="6" t="s">
        <v>162</v>
      </c>
      <c r="C2892" s="6" t="s">
        <v>37</v>
      </c>
      <c r="D2892" s="6" t="s">
        <v>6793</v>
      </c>
      <c r="E2892" s="6" t="s">
        <v>1093</v>
      </c>
      <c r="F2892" s="6" t="s">
        <v>77</v>
      </c>
      <c r="G2892" s="7">
        <v>0.05</v>
      </c>
      <c r="H2892" s="6" t="s">
        <v>249</v>
      </c>
      <c r="I2892" s="6" t="s">
        <v>20</v>
      </c>
      <c r="J2892" s="6">
        <v>2014.0</v>
      </c>
      <c r="L2892" s="6">
        <v>2.0</v>
      </c>
      <c r="M2892" s="8">
        <f t="shared" si="4"/>
        <v>0.1</v>
      </c>
      <c r="P2892" s="9"/>
    </row>
    <row r="2893">
      <c r="A2893" s="6" t="s">
        <v>6794</v>
      </c>
      <c r="B2893" s="6" t="s">
        <v>174</v>
      </c>
      <c r="C2893" s="6" t="s">
        <v>43</v>
      </c>
      <c r="D2893" s="6" t="s">
        <v>6795</v>
      </c>
      <c r="E2893" s="6" t="s">
        <v>612</v>
      </c>
      <c r="F2893" s="6" t="s">
        <v>71</v>
      </c>
      <c r="G2893" s="7">
        <v>0.05</v>
      </c>
      <c r="H2893" s="6" t="s">
        <v>4045</v>
      </c>
      <c r="I2893" s="6" t="s">
        <v>20</v>
      </c>
      <c r="J2893" s="6">
        <v>2021.0</v>
      </c>
      <c r="K2893" s="6" t="s">
        <v>527</v>
      </c>
      <c r="L2893" s="6">
        <v>2.0</v>
      </c>
      <c r="M2893" s="8">
        <f t="shared" si="4"/>
        <v>0.1</v>
      </c>
      <c r="P2893" s="9"/>
    </row>
    <row r="2894">
      <c r="A2894" s="6" t="s">
        <v>6796</v>
      </c>
      <c r="B2894" s="6" t="s">
        <v>836</v>
      </c>
      <c r="C2894" s="6" t="s">
        <v>37</v>
      </c>
      <c r="D2894" s="6" t="s">
        <v>6797</v>
      </c>
      <c r="E2894" s="6" t="s">
        <v>86</v>
      </c>
      <c r="F2894" s="6" t="s">
        <v>87</v>
      </c>
      <c r="G2894" s="7">
        <v>0.18</v>
      </c>
      <c r="H2894" s="6" t="s">
        <v>464</v>
      </c>
      <c r="I2894" s="6" t="s">
        <v>20</v>
      </c>
      <c r="J2894" s="6">
        <v>2002.0</v>
      </c>
      <c r="K2894" s="10">
        <v>46023.0</v>
      </c>
      <c r="L2894" s="6">
        <v>1.0</v>
      </c>
      <c r="M2894" s="8">
        <f t="shared" si="4"/>
        <v>0.18</v>
      </c>
      <c r="P2894" s="9"/>
    </row>
    <row r="2895">
      <c r="A2895" s="6" t="s">
        <v>6798</v>
      </c>
      <c r="B2895" s="6" t="s">
        <v>1012</v>
      </c>
      <c r="C2895" s="6" t="s">
        <v>43</v>
      </c>
      <c r="D2895" s="6" t="s">
        <v>6799</v>
      </c>
      <c r="E2895" s="6" t="s">
        <v>389</v>
      </c>
      <c r="F2895" s="6" t="s">
        <v>87</v>
      </c>
      <c r="G2895" s="7">
        <v>0.09</v>
      </c>
      <c r="H2895" s="6" t="s">
        <v>165</v>
      </c>
      <c r="I2895" s="6" t="s">
        <v>20</v>
      </c>
      <c r="J2895" s="6">
        <v>2020.0</v>
      </c>
      <c r="K2895" s="10">
        <v>46115.0</v>
      </c>
      <c r="L2895" s="6">
        <v>1.0</v>
      </c>
      <c r="M2895" s="8">
        <f t="shared" si="4"/>
        <v>0.09</v>
      </c>
      <c r="P2895" s="9"/>
    </row>
    <row r="2896">
      <c r="A2896" s="6" t="s">
        <v>6800</v>
      </c>
      <c r="B2896" s="6" t="s">
        <v>162</v>
      </c>
      <c r="C2896" s="6" t="s">
        <v>43</v>
      </c>
      <c r="D2896" s="6" t="s">
        <v>6801</v>
      </c>
      <c r="E2896" s="6" t="s">
        <v>86</v>
      </c>
      <c r="F2896" s="6" t="s">
        <v>87</v>
      </c>
      <c r="G2896" s="7">
        <v>0.05</v>
      </c>
      <c r="H2896" s="6" t="s">
        <v>259</v>
      </c>
      <c r="I2896" s="6" t="s">
        <v>20</v>
      </c>
      <c r="J2896" s="6">
        <v>1996.0</v>
      </c>
      <c r="L2896" s="6">
        <v>1.0</v>
      </c>
      <c r="M2896" s="8">
        <f t="shared" si="4"/>
        <v>0.05</v>
      </c>
      <c r="P2896" s="9"/>
    </row>
    <row r="2897">
      <c r="A2897" s="6" t="s">
        <v>6802</v>
      </c>
      <c r="B2897" s="6" t="s">
        <v>1002</v>
      </c>
      <c r="C2897" s="6" t="s">
        <v>30</v>
      </c>
      <c r="D2897" s="6" t="s">
        <v>6803</v>
      </c>
      <c r="E2897" s="6" t="s">
        <v>329</v>
      </c>
      <c r="F2897" s="6" t="s">
        <v>112</v>
      </c>
      <c r="G2897" s="7">
        <v>0.35</v>
      </c>
      <c r="H2897" s="6" t="s">
        <v>687</v>
      </c>
      <c r="I2897" s="6" t="s">
        <v>20</v>
      </c>
      <c r="J2897" s="6">
        <v>2011.0</v>
      </c>
      <c r="K2897" s="6" t="s">
        <v>66</v>
      </c>
      <c r="L2897" s="6">
        <v>1.0</v>
      </c>
      <c r="M2897" s="8">
        <f t="shared" si="4"/>
        <v>0.35</v>
      </c>
      <c r="P2897" s="9"/>
    </row>
    <row r="2898">
      <c r="A2898" s="6" t="s">
        <v>6804</v>
      </c>
      <c r="B2898" s="6" t="s">
        <v>4553</v>
      </c>
      <c r="C2898" s="6" t="s">
        <v>37</v>
      </c>
      <c r="D2898" s="6" t="s">
        <v>6805</v>
      </c>
      <c r="E2898" s="6" t="s">
        <v>135</v>
      </c>
      <c r="F2898" s="6" t="s">
        <v>40</v>
      </c>
      <c r="G2898" s="7">
        <v>0.15</v>
      </c>
      <c r="H2898" s="6" t="s">
        <v>475</v>
      </c>
      <c r="I2898" s="6" t="s">
        <v>20</v>
      </c>
      <c r="J2898" s="6">
        <v>2024.0</v>
      </c>
      <c r="K2898" s="10">
        <v>46024.0</v>
      </c>
      <c r="L2898" s="6">
        <v>1.0</v>
      </c>
      <c r="M2898" s="8">
        <f t="shared" si="4"/>
        <v>0.15</v>
      </c>
      <c r="P2898" s="9"/>
    </row>
    <row r="2899">
      <c r="A2899" s="6" t="s">
        <v>6806</v>
      </c>
      <c r="B2899" s="6" t="s">
        <v>494</v>
      </c>
      <c r="C2899" s="6" t="s">
        <v>43</v>
      </c>
      <c r="D2899" s="6" t="s">
        <v>6807</v>
      </c>
      <c r="E2899" s="6" t="s">
        <v>190</v>
      </c>
      <c r="F2899" s="6" t="s">
        <v>18</v>
      </c>
      <c r="G2899" s="7">
        <v>0.04</v>
      </c>
      <c r="H2899" s="6" t="s">
        <v>404</v>
      </c>
      <c r="I2899" s="6" t="s">
        <v>20</v>
      </c>
      <c r="J2899" s="6">
        <v>2020.0</v>
      </c>
      <c r="L2899" s="6">
        <v>1.0</v>
      </c>
      <c r="M2899" s="8">
        <f t="shared" si="4"/>
        <v>0.04</v>
      </c>
      <c r="N2899" s="6" t="s">
        <v>374</v>
      </c>
      <c r="P2899" s="9"/>
    </row>
    <row r="2900">
      <c r="A2900" s="6" t="s">
        <v>6808</v>
      </c>
      <c r="B2900" s="6" t="s">
        <v>1269</v>
      </c>
      <c r="C2900" s="6" t="s">
        <v>43</v>
      </c>
      <c r="D2900" s="6" t="s">
        <v>6809</v>
      </c>
      <c r="E2900" s="6" t="s">
        <v>329</v>
      </c>
      <c r="F2900" s="6" t="s">
        <v>112</v>
      </c>
      <c r="G2900" s="7">
        <v>0.04</v>
      </c>
      <c r="H2900" s="6" t="s">
        <v>89</v>
      </c>
      <c r="I2900" s="6" t="s">
        <v>20</v>
      </c>
      <c r="J2900" s="6">
        <v>2021.0</v>
      </c>
      <c r="K2900" s="10">
        <v>46056.0</v>
      </c>
      <c r="L2900" s="6">
        <v>3.0</v>
      </c>
      <c r="M2900" s="8">
        <f t="shared" si="4"/>
        <v>0.12</v>
      </c>
      <c r="P2900" s="9"/>
    </row>
    <row r="2901">
      <c r="A2901" s="6" t="s">
        <v>6810</v>
      </c>
      <c r="B2901" s="6" t="s">
        <v>3557</v>
      </c>
      <c r="C2901" s="6" t="s">
        <v>43</v>
      </c>
      <c r="D2901" s="6" t="s">
        <v>6811</v>
      </c>
      <c r="E2901" s="6" t="s">
        <v>39</v>
      </c>
      <c r="F2901" s="6" t="s">
        <v>40</v>
      </c>
      <c r="G2901" s="7">
        <v>0.04</v>
      </c>
      <c r="H2901" s="6" t="s">
        <v>88</v>
      </c>
      <c r="I2901" s="6" t="s">
        <v>20</v>
      </c>
      <c r="J2901" s="6">
        <v>2024.0</v>
      </c>
      <c r="K2901" s="10">
        <v>46115.0</v>
      </c>
      <c r="L2901" s="6">
        <v>1.0</v>
      </c>
      <c r="M2901" s="8">
        <f t="shared" si="4"/>
        <v>0.04</v>
      </c>
      <c r="P2901" s="9"/>
    </row>
    <row r="2902">
      <c r="A2902" s="6" t="s">
        <v>6812</v>
      </c>
      <c r="B2902" s="6" t="s">
        <v>150</v>
      </c>
      <c r="C2902" s="6" t="s">
        <v>15</v>
      </c>
      <c r="D2902" s="6" t="s">
        <v>6813</v>
      </c>
      <c r="E2902" s="6" t="s">
        <v>252</v>
      </c>
      <c r="F2902" s="6" t="s">
        <v>40</v>
      </c>
      <c r="G2902" s="7">
        <v>1.85</v>
      </c>
      <c r="H2902" s="6" t="s">
        <v>153</v>
      </c>
      <c r="I2902" s="6" t="s">
        <v>20</v>
      </c>
      <c r="J2902" s="6">
        <v>2025.0</v>
      </c>
      <c r="K2902" s="10">
        <v>46055.0</v>
      </c>
      <c r="L2902" s="6">
        <v>1.0</v>
      </c>
      <c r="M2902" s="8">
        <f t="shared" si="4"/>
        <v>1.85</v>
      </c>
      <c r="P2902" s="9"/>
    </row>
    <row r="2903">
      <c r="A2903" s="6" t="s">
        <v>6814</v>
      </c>
      <c r="B2903" s="6" t="s">
        <v>4383</v>
      </c>
      <c r="C2903" s="6" t="s">
        <v>30</v>
      </c>
      <c r="D2903" s="6" t="s">
        <v>6815</v>
      </c>
      <c r="E2903" s="6" t="s">
        <v>753</v>
      </c>
      <c r="F2903" s="6" t="s">
        <v>87</v>
      </c>
      <c r="G2903" s="7">
        <v>0.94</v>
      </c>
      <c r="H2903" s="6" t="s">
        <v>144</v>
      </c>
      <c r="I2903" s="6" t="s">
        <v>20</v>
      </c>
      <c r="J2903" s="6">
        <v>2018.0</v>
      </c>
      <c r="K2903" s="10">
        <v>46024.0</v>
      </c>
      <c r="L2903" s="6">
        <v>1.0</v>
      </c>
      <c r="M2903" s="8">
        <f t="shared" si="4"/>
        <v>0.94</v>
      </c>
      <c r="P2903" s="9"/>
    </row>
    <row r="2904">
      <c r="A2904" s="6" t="s">
        <v>6816</v>
      </c>
      <c r="B2904" s="6" t="s">
        <v>371</v>
      </c>
      <c r="C2904" s="6" t="s">
        <v>43</v>
      </c>
      <c r="D2904" s="6" t="s">
        <v>6817</v>
      </c>
      <c r="E2904" s="6" t="s">
        <v>125</v>
      </c>
      <c r="F2904" s="6" t="s">
        <v>40</v>
      </c>
      <c r="G2904" s="7">
        <v>0.08</v>
      </c>
      <c r="H2904" s="6" t="s">
        <v>19</v>
      </c>
      <c r="I2904" s="6" t="s">
        <v>20</v>
      </c>
      <c r="J2904" s="6">
        <v>2023.0</v>
      </c>
      <c r="K2904" s="10">
        <v>46023.0</v>
      </c>
      <c r="L2904" s="6">
        <v>1.0</v>
      </c>
      <c r="M2904" s="8">
        <f t="shared" si="4"/>
        <v>0.08</v>
      </c>
      <c r="P2904" s="9"/>
    </row>
    <row r="2905">
      <c r="A2905" s="6" t="s">
        <v>6818</v>
      </c>
      <c r="B2905" s="6" t="s">
        <v>657</v>
      </c>
      <c r="C2905" s="6" t="s">
        <v>23</v>
      </c>
      <c r="D2905" s="6" t="s">
        <v>6819</v>
      </c>
      <c r="E2905" s="6" t="s">
        <v>125</v>
      </c>
      <c r="F2905" s="6" t="s">
        <v>40</v>
      </c>
      <c r="G2905" s="7">
        <v>0.05</v>
      </c>
      <c r="H2905" s="6" t="s">
        <v>780</v>
      </c>
      <c r="I2905" s="6" t="s">
        <v>20</v>
      </c>
      <c r="J2905" s="6">
        <v>2025.0</v>
      </c>
      <c r="L2905" s="6">
        <v>1.0</v>
      </c>
      <c r="M2905" s="8">
        <f t="shared" si="4"/>
        <v>0.05</v>
      </c>
      <c r="P2905" s="9"/>
    </row>
    <row r="2906">
      <c r="A2906" s="6" t="s">
        <v>6820</v>
      </c>
      <c r="B2906" s="6" t="s">
        <v>6821</v>
      </c>
      <c r="C2906" s="6" t="s">
        <v>43</v>
      </c>
      <c r="D2906" s="6" t="s">
        <v>6822</v>
      </c>
      <c r="E2906" s="6" t="s">
        <v>117</v>
      </c>
      <c r="F2906" s="6" t="s">
        <v>77</v>
      </c>
      <c r="G2906" s="7">
        <v>0.1</v>
      </c>
      <c r="H2906" s="6" t="s">
        <v>136</v>
      </c>
      <c r="I2906" s="6" t="s">
        <v>20</v>
      </c>
      <c r="J2906" s="6">
        <v>2026.0</v>
      </c>
      <c r="K2906" s="10">
        <v>46023.0</v>
      </c>
      <c r="L2906" s="6">
        <v>3.0</v>
      </c>
      <c r="M2906" s="8">
        <f t="shared" si="4"/>
        <v>0.3</v>
      </c>
      <c r="P2906" s="9"/>
    </row>
    <row r="2907">
      <c r="A2907" s="6" t="s">
        <v>6820</v>
      </c>
      <c r="B2907" s="6" t="s">
        <v>6821</v>
      </c>
      <c r="C2907" s="6" t="s">
        <v>43</v>
      </c>
      <c r="D2907" s="6" t="s">
        <v>6822</v>
      </c>
      <c r="E2907" s="6" t="s">
        <v>117</v>
      </c>
      <c r="F2907" s="6" t="s">
        <v>77</v>
      </c>
      <c r="G2907" s="7">
        <v>0.2</v>
      </c>
      <c r="H2907" s="6" t="s">
        <v>136</v>
      </c>
      <c r="I2907" s="6" t="s">
        <v>45</v>
      </c>
      <c r="J2907" s="6">
        <v>2026.0</v>
      </c>
      <c r="K2907" s="10">
        <v>46023.0</v>
      </c>
      <c r="L2907" s="6">
        <v>1.0</v>
      </c>
      <c r="M2907" s="8">
        <f t="shared" si="4"/>
        <v>0.2</v>
      </c>
      <c r="P2907" s="9"/>
    </row>
    <row r="2908">
      <c r="A2908" s="6" t="s">
        <v>6823</v>
      </c>
      <c r="B2908" s="6" t="s">
        <v>162</v>
      </c>
      <c r="C2908" s="6" t="s">
        <v>30</v>
      </c>
      <c r="D2908" s="6" t="s">
        <v>6824</v>
      </c>
      <c r="E2908" s="6" t="s">
        <v>282</v>
      </c>
      <c r="F2908" s="6" t="s">
        <v>40</v>
      </c>
      <c r="G2908" s="7">
        <v>0.38</v>
      </c>
      <c r="H2908" s="6" t="s">
        <v>1776</v>
      </c>
      <c r="I2908" s="6" t="s">
        <v>20</v>
      </c>
      <c r="J2908" s="6">
        <v>2017.0</v>
      </c>
      <c r="L2908" s="6">
        <v>2.0</v>
      </c>
      <c r="M2908" s="8">
        <f t="shared" si="4"/>
        <v>0.76</v>
      </c>
      <c r="P2908" s="9"/>
    </row>
    <row r="2909">
      <c r="A2909" s="6" t="s">
        <v>6823</v>
      </c>
      <c r="B2909" s="6" t="s">
        <v>162</v>
      </c>
      <c r="C2909" s="6" t="s">
        <v>30</v>
      </c>
      <c r="D2909" s="6" t="s">
        <v>6824</v>
      </c>
      <c r="E2909" s="6" t="s">
        <v>282</v>
      </c>
      <c r="F2909" s="6" t="s">
        <v>40</v>
      </c>
      <c r="G2909" s="7">
        <v>0.38</v>
      </c>
      <c r="H2909" s="6" t="s">
        <v>1776</v>
      </c>
      <c r="I2909" s="6" t="s">
        <v>20</v>
      </c>
      <c r="J2909" s="6">
        <v>2017.0</v>
      </c>
      <c r="L2909" s="6">
        <v>2.0</v>
      </c>
      <c r="M2909" s="8">
        <f t="shared" si="4"/>
        <v>0.76</v>
      </c>
      <c r="P2909" s="9"/>
    </row>
    <row r="2910">
      <c r="A2910" s="6" t="s">
        <v>6825</v>
      </c>
      <c r="B2910" s="6" t="s">
        <v>6826</v>
      </c>
      <c r="C2910" s="6" t="s">
        <v>23</v>
      </c>
      <c r="D2910" s="6" t="s">
        <v>6827</v>
      </c>
      <c r="E2910" s="6" t="s">
        <v>6742</v>
      </c>
      <c r="F2910" s="6" t="s">
        <v>665</v>
      </c>
      <c r="G2910" s="7">
        <v>0.08</v>
      </c>
      <c r="H2910" s="6" t="s">
        <v>617</v>
      </c>
      <c r="I2910" s="6" t="s">
        <v>20</v>
      </c>
      <c r="J2910" s="6">
        <v>2026.0</v>
      </c>
      <c r="K2910" s="10">
        <v>46116.0</v>
      </c>
      <c r="L2910" s="6">
        <v>2.0</v>
      </c>
      <c r="M2910" s="8">
        <f t="shared" si="4"/>
        <v>0.16</v>
      </c>
      <c r="P2910" s="9"/>
    </row>
    <row r="2911">
      <c r="A2911" s="6" t="s">
        <v>6828</v>
      </c>
      <c r="B2911" s="6" t="s">
        <v>789</v>
      </c>
      <c r="C2911" s="6" t="s">
        <v>43</v>
      </c>
      <c r="D2911" s="6" t="s">
        <v>6829</v>
      </c>
      <c r="E2911" s="6" t="s">
        <v>25</v>
      </c>
      <c r="F2911" s="6" t="s">
        <v>26</v>
      </c>
      <c r="G2911" s="7">
        <v>0.1</v>
      </c>
      <c r="H2911" s="6" t="s">
        <v>471</v>
      </c>
      <c r="I2911" s="6" t="s">
        <v>20</v>
      </c>
      <c r="J2911" s="6">
        <v>2026.0</v>
      </c>
      <c r="L2911" s="6">
        <v>1.0</v>
      </c>
      <c r="M2911" s="8">
        <f t="shared" si="4"/>
        <v>0.1</v>
      </c>
      <c r="P2911" s="9"/>
    </row>
    <row r="2912">
      <c r="A2912" s="6" t="s">
        <v>6830</v>
      </c>
      <c r="B2912" s="6" t="s">
        <v>371</v>
      </c>
      <c r="C2912" s="6" t="s">
        <v>43</v>
      </c>
      <c r="D2912" s="6" t="s">
        <v>6831</v>
      </c>
      <c r="E2912" s="6" t="s">
        <v>420</v>
      </c>
      <c r="F2912" s="6" t="s">
        <v>40</v>
      </c>
      <c r="G2912" s="7">
        <v>0.08</v>
      </c>
      <c r="H2912" s="6" t="s">
        <v>19</v>
      </c>
      <c r="I2912" s="6" t="s">
        <v>20</v>
      </c>
      <c r="J2912" s="6">
        <v>2023.0</v>
      </c>
      <c r="K2912" s="10">
        <v>46085.0</v>
      </c>
      <c r="L2912" s="6">
        <v>1.0</v>
      </c>
      <c r="M2912" s="8">
        <f t="shared" si="4"/>
        <v>0.08</v>
      </c>
      <c r="P2912" s="9"/>
    </row>
    <row r="2913">
      <c r="A2913" s="6" t="s">
        <v>6832</v>
      </c>
      <c r="B2913" s="6" t="s">
        <v>6833</v>
      </c>
      <c r="C2913" s="6" t="s">
        <v>43</v>
      </c>
      <c r="D2913" s="6" t="s">
        <v>6834</v>
      </c>
      <c r="E2913" s="6" t="s">
        <v>256</v>
      </c>
      <c r="F2913" s="6" t="s">
        <v>87</v>
      </c>
      <c r="G2913" s="7">
        <v>0.03</v>
      </c>
      <c r="H2913" s="6" t="s">
        <v>382</v>
      </c>
      <c r="I2913" s="6" t="s">
        <v>20</v>
      </c>
      <c r="J2913" s="6">
        <v>2020.0</v>
      </c>
      <c r="K2913" s="10">
        <v>46083.0</v>
      </c>
      <c r="L2913" s="6">
        <v>1.0</v>
      </c>
      <c r="M2913" s="8">
        <f t="shared" si="4"/>
        <v>0.03</v>
      </c>
      <c r="P2913" s="9"/>
    </row>
    <row r="2914">
      <c r="A2914" s="6" t="s">
        <v>6835</v>
      </c>
      <c r="B2914" s="6" t="s">
        <v>361</v>
      </c>
      <c r="C2914" s="6" t="s">
        <v>43</v>
      </c>
      <c r="D2914" s="6" t="s">
        <v>6836</v>
      </c>
      <c r="E2914" s="6" t="s">
        <v>356</v>
      </c>
      <c r="F2914" s="6" t="s">
        <v>87</v>
      </c>
      <c r="G2914" s="7">
        <v>0.03</v>
      </c>
      <c r="H2914" s="6" t="s">
        <v>1076</v>
      </c>
      <c r="I2914" s="6" t="s">
        <v>20</v>
      </c>
      <c r="J2914" s="6">
        <v>2018.0</v>
      </c>
      <c r="K2914" s="10">
        <v>46116.0</v>
      </c>
      <c r="L2914" s="6">
        <v>4.0</v>
      </c>
      <c r="M2914" s="8">
        <f t="shared" si="4"/>
        <v>0.12</v>
      </c>
      <c r="P2914" s="9"/>
    </row>
    <row r="2915">
      <c r="A2915" s="6" t="s">
        <v>6837</v>
      </c>
      <c r="B2915" s="6" t="s">
        <v>6838</v>
      </c>
      <c r="C2915" s="6" t="s">
        <v>43</v>
      </c>
      <c r="D2915" s="6" t="s">
        <v>6839</v>
      </c>
      <c r="E2915" s="6" t="s">
        <v>179</v>
      </c>
      <c r="F2915" s="6" t="s">
        <v>112</v>
      </c>
      <c r="G2915" s="7">
        <v>0.23</v>
      </c>
      <c r="H2915" s="6" t="s">
        <v>228</v>
      </c>
      <c r="I2915" s="6" t="s">
        <v>45</v>
      </c>
      <c r="J2915" s="6">
        <v>2025.0</v>
      </c>
      <c r="K2915" s="10">
        <v>46023.0</v>
      </c>
      <c r="L2915" s="6">
        <v>2.0</v>
      </c>
      <c r="M2915" s="8">
        <f t="shared" si="4"/>
        <v>0.46</v>
      </c>
      <c r="P2915" s="9"/>
    </row>
    <row r="2916">
      <c r="A2916" s="6" t="s">
        <v>6840</v>
      </c>
      <c r="B2916" s="6" t="s">
        <v>6841</v>
      </c>
      <c r="C2916" s="6" t="s">
        <v>23</v>
      </c>
      <c r="D2916" s="6" t="s">
        <v>6842</v>
      </c>
      <c r="E2916" s="6" t="s">
        <v>152</v>
      </c>
      <c r="F2916" s="6" t="s">
        <v>40</v>
      </c>
      <c r="G2916" s="7">
        <v>0.05</v>
      </c>
      <c r="H2916" s="6" t="s">
        <v>780</v>
      </c>
      <c r="I2916" s="6" t="s">
        <v>20</v>
      </c>
      <c r="J2916" s="6">
        <v>2025.0</v>
      </c>
      <c r="K2916" s="10">
        <v>46055.0</v>
      </c>
      <c r="L2916" s="6">
        <v>1.0</v>
      </c>
      <c r="M2916" s="8">
        <f t="shared" si="4"/>
        <v>0.05</v>
      </c>
      <c r="P2916" s="9"/>
    </row>
    <row r="2917">
      <c r="A2917" s="6" t="s">
        <v>6843</v>
      </c>
      <c r="B2917" s="6" t="s">
        <v>396</v>
      </c>
      <c r="C2917" s="6" t="s">
        <v>37</v>
      </c>
      <c r="D2917" s="6" t="s">
        <v>6844</v>
      </c>
      <c r="E2917" s="6" t="s">
        <v>994</v>
      </c>
      <c r="F2917" s="6" t="s">
        <v>26</v>
      </c>
      <c r="G2917" s="7">
        <v>0.1</v>
      </c>
      <c r="H2917" s="6" t="s">
        <v>746</v>
      </c>
      <c r="I2917" s="6" t="s">
        <v>20</v>
      </c>
      <c r="J2917" s="6">
        <v>2024.0</v>
      </c>
      <c r="L2917" s="6">
        <v>1.0</v>
      </c>
      <c r="M2917" s="8">
        <f t="shared" si="4"/>
        <v>0.1</v>
      </c>
      <c r="P2917" s="9"/>
    </row>
    <row r="2918">
      <c r="A2918" s="6" t="s">
        <v>6845</v>
      </c>
      <c r="B2918" s="6" t="s">
        <v>6846</v>
      </c>
      <c r="C2918" s="6" t="s">
        <v>23</v>
      </c>
      <c r="D2918" s="6" t="s">
        <v>6847</v>
      </c>
      <c r="E2918" s="6" t="s">
        <v>140</v>
      </c>
      <c r="F2918" s="6" t="s">
        <v>87</v>
      </c>
      <c r="G2918" s="7">
        <v>0.13</v>
      </c>
      <c r="H2918" s="6" t="s">
        <v>27</v>
      </c>
      <c r="I2918" s="6" t="s">
        <v>20</v>
      </c>
      <c r="J2918" s="6">
        <v>2026.0</v>
      </c>
      <c r="K2918" s="10">
        <v>46054.0</v>
      </c>
      <c r="L2918" s="6">
        <v>2.0</v>
      </c>
      <c r="M2918" s="8">
        <f t="shared" si="4"/>
        <v>0.26</v>
      </c>
      <c r="P2918" s="9"/>
    </row>
    <row r="2919">
      <c r="A2919" s="6" t="s">
        <v>6848</v>
      </c>
      <c r="B2919" s="6" t="s">
        <v>5020</v>
      </c>
      <c r="C2919" s="6" t="s">
        <v>43</v>
      </c>
      <c r="D2919" s="6" t="s">
        <v>6849</v>
      </c>
      <c r="E2919" s="6" t="s">
        <v>176</v>
      </c>
      <c r="F2919" s="6" t="s">
        <v>77</v>
      </c>
      <c r="G2919" s="7">
        <v>0.08</v>
      </c>
      <c r="H2919" s="6" t="s">
        <v>746</v>
      </c>
      <c r="I2919" s="6" t="s">
        <v>20</v>
      </c>
      <c r="J2919" s="6">
        <v>2024.0</v>
      </c>
      <c r="K2919" s="10">
        <v>46055.0</v>
      </c>
      <c r="L2919" s="6">
        <v>1.0</v>
      </c>
      <c r="M2919" s="8">
        <f t="shared" si="4"/>
        <v>0.08</v>
      </c>
      <c r="P2919" s="9"/>
    </row>
    <row r="2920">
      <c r="A2920" s="6" t="s">
        <v>6850</v>
      </c>
      <c r="B2920" s="6" t="s">
        <v>1375</v>
      </c>
      <c r="C2920" s="6" t="s">
        <v>37</v>
      </c>
      <c r="D2920" s="6" t="s">
        <v>6851</v>
      </c>
      <c r="E2920" s="6" t="s">
        <v>6852</v>
      </c>
      <c r="F2920" s="6" t="s">
        <v>71</v>
      </c>
      <c r="G2920" s="7">
        <v>0.08</v>
      </c>
      <c r="H2920" s="6" t="s">
        <v>531</v>
      </c>
      <c r="I2920" s="6" t="s">
        <v>20</v>
      </c>
      <c r="J2920" s="6">
        <v>2017.0</v>
      </c>
      <c r="L2920" s="6">
        <v>2.0</v>
      </c>
      <c r="M2920" s="8">
        <f t="shared" si="4"/>
        <v>0.16</v>
      </c>
      <c r="P2920" s="9"/>
    </row>
    <row r="2921">
      <c r="A2921" s="6" t="s">
        <v>6853</v>
      </c>
      <c r="B2921" s="6" t="s">
        <v>6854</v>
      </c>
      <c r="C2921" s="6" t="s">
        <v>15</v>
      </c>
      <c r="D2921" s="6" t="s">
        <v>6855</v>
      </c>
      <c r="E2921" s="6" t="s">
        <v>6856</v>
      </c>
      <c r="F2921" s="6" t="s">
        <v>665</v>
      </c>
      <c r="G2921" s="7">
        <v>0.19</v>
      </c>
      <c r="H2921" s="6" t="s">
        <v>617</v>
      </c>
      <c r="I2921" s="6" t="s">
        <v>20</v>
      </c>
      <c r="J2921" s="6">
        <v>2026.0</v>
      </c>
      <c r="K2921" s="10">
        <v>46116.0</v>
      </c>
      <c r="L2921" s="6">
        <v>2.0</v>
      </c>
      <c r="M2921" s="8">
        <f t="shared" si="4"/>
        <v>0.38</v>
      </c>
      <c r="P2921" s="9"/>
    </row>
    <row r="2922">
      <c r="A2922" s="6" t="s">
        <v>6857</v>
      </c>
      <c r="B2922" s="6" t="s">
        <v>647</v>
      </c>
      <c r="C2922" s="6" t="s">
        <v>43</v>
      </c>
      <c r="D2922" s="6" t="s">
        <v>6858</v>
      </c>
      <c r="E2922" s="6" t="s">
        <v>681</v>
      </c>
      <c r="F2922" s="6" t="s">
        <v>26</v>
      </c>
      <c r="G2922" s="7">
        <v>0.1</v>
      </c>
      <c r="H2922" s="6" t="s">
        <v>113</v>
      </c>
      <c r="I2922" s="6" t="s">
        <v>20</v>
      </c>
      <c r="J2922" s="6">
        <v>2023.0</v>
      </c>
      <c r="K2922" s="10">
        <v>46144.0</v>
      </c>
      <c r="L2922" s="6">
        <v>1.0</v>
      </c>
      <c r="M2922" s="8">
        <f t="shared" si="4"/>
        <v>0.1</v>
      </c>
      <c r="P2922" s="9"/>
    </row>
    <row r="2923">
      <c r="A2923" s="6" t="s">
        <v>6859</v>
      </c>
      <c r="B2923" s="6" t="s">
        <v>606</v>
      </c>
      <c r="C2923" s="6" t="s">
        <v>23</v>
      </c>
      <c r="D2923" s="6" t="s">
        <v>6860</v>
      </c>
      <c r="E2923" s="6" t="s">
        <v>3973</v>
      </c>
      <c r="F2923" s="6" t="s">
        <v>40</v>
      </c>
      <c r="G2923" s="7">
        <v>0.19</v>
      </c>
      <c r="H2923" s="6" t="s">
        <v>130</v>
      </c>
      <c r="I2923" s="6" t="s">
        <v>20</v>
      </c>
      <c r="J2923" s="6">
        <v>2014.0</v>
      </c>
      <c r="L2923" s="6">
        <v>1.0</v>
      </c>
      <c r="M2923" s="8">
        <f t="shared" si="4"/>
        <v>0.19</v>
      </c>
      <c r="P2923" s="9"/>
    </row>
    <row r="2924">
      <c r="A2924" s="6" t="s">
        <v>6861</v>
      </c>
      <c r="B2924" s="6" t="s">
        <v>606</v>
      </c>
      <c r="C2924" s="6" t="s">
        <v>156</v>
      </c>
      <c r="D2924" s="6" t="s">
        <v>6862</v>
      </c>
      <c r="E2924" s="6" t="s">
        <v>6863</v>
      </c>
      <c r="F2924" s="6" t="s">
        <v>665</v>
      </c>
      <c r="G2924" s="7">
        <v>0.23</v>
      </c>
      <c r="H2924" s="6" t="s">
        <v>130</v>
      </c>
      <c r="I2924" s="6" t="s">
        <v>20</v>
      </c>
      <c r="J2924" s="6">
        <v>2014.0</v>
      </c>
      <c r="L2924" s="6">
        <v>1.0</v>
      </c>
      <c r="M2924" s="8">
        <f t="shared" si="4"/>
        <v>0.23</v>
      </c>
      <c r="P2924" s="9"/>
    </row>
    <row r="2925">
      <c r="A2925" s="6" t="s">
        <v>6864</v>
      </c>
      <c r="B2925" s="6" t="s">
        <v>74</v>
      </c>
      <c r="C2925" s="6" t="s">
        <v>43</v>
      </c>
      <c r="D2925" s="6" t="s">
        <v>6865</v>
      </c>
      <c r="E2925" s="6" t="s">
        <v>190</v>
      </c>
      <c r="F2925" s="6" t="s">
        <v>18</v>
      </c>
      <c r="G2925" s="7">
        <v>2.02</v>
      </c>
      <c r="H2925" s="6" t="s">
        <v>6779</v>
      </c>
      <c r="I2925" s="6" t="s">
        <v>20</v>
      </c>
      <c r="J2925" s="6">
        <v>2011.0</v>
      </c>
      <c r="L2925" s="6">
        <v>2.0</v>
      </c>
      <c r="M2925" s="8">
        <f t="shared" si="4"/>
        <v>4.04</v>
      </c>
      <c r="P2925" s="9"/>
    </row>
    <row r="2926">
      <c r="A2926" s="6" t="s">
        <v>6866</v>
      </c>
      <c r="B2926" s="6" t="s">
        <v>854</v>
      </c>
      <c r="C2926" s="6" t="s">
        <v>43</v>
      </c>
      <c r="D2926" s="6" t="s">
        <v>6867</v>
      </c>
      <c r="E2926" s="6" t="s">
        <v>107</v>
      </c>
      <c r="F2926" s="6" t="s">
        <v>18</v>
      </c>
      <c r="G2926" s="7">
        <v>0.09</v>
      </c>
      <c r="H2926" s="6" t="s">
        <v>89</v>
      </c>
      <c r="I2926" s="6" t="s">
        <v>20</v>
      </c>
      <c r="J2926" s="6">
        <v>2021.0</v>
      </c>
      <c r="K2926" s="10">
        <v>46084.0</v>
      </c>
      <c r="L2926" s="6">
        <v>1.0</v>
      </c>
      <c r="M2926" s="8">
        <f t="shared" si="4"/>
        <v>0.09</v>
      </c>
      <c r="P2926" s="9"/>
    </row>
    <row r="2927">
      <c r="A2927" s="6" t="s">
        <v>6868</v>
      </c>
      <c r="B2927" s="6" t="s">
        <v>6869</v>
      </c>
      <c r="C2927" s="6" t="s">
        <v>43</v>
      </c>
      <c r="D2927" s="6" t="s">
        <v>6870</v>
      </c>
      <c r="E2927" s="6" t="s">
        <v>2366</v>
      </c>
      <c r="F2927" s="6" t="s">
        <v>18</v>
      </c>
      <c r="G2927" s="7">
        <v>0.14</v>
      </c>
      <c r="H2927" s="6" t="s">
        <v>121</v>
      </c>
      <c r="I2927" s="6" t="s">
        <v>45</v>
      </c>
      <c r="J2927" s="6">
        <v>2021.0</v>
      </c>
      <c r="K2927" s="10">
        <v>46115.0</v>
      </c>
      <c r="L2927" s="6">
        <v>4.0</v>
      </c>
      <c r="M2927" s="8">
        <f t="shared" si="4"/>
        <v>0.56</v>
      </c>
      <c r="P2927" s="9"/>
    </row>
    <row r="2928">
      <c r="A2928" s="6" t="s">
        <v>6871</v>
      </c>
      <c r="B2928" s="6" t="s">
        <v>6872</v>
      </c>
      <c r="C2928" s="6" t="s">
        <v>23</v>
      </c>
      <c r="D2928" s="6" t="s">
        <v>6873</v>
      </c>
      <c r="E2928" s="6" t="s">
        <v>2572</v>
      </c>
      <c r="F2928" s="6" t="s">
        <v>87</v>
      </c>
      <c r="G2928" s="7">
        <v>0.1</v>
      </c>
      <c r="H2928" s="6" t="s">
        <v>1621</v>
      </c>
      <c r="I2928" s="6" t="s">
        <v>20</v>
      </c>
      <c r="J2928" s="6">
        <v>2025.0</v>
      </c>
      <c r="K2928" s="10">
        <v>46117.0</v>
      </c>
      <c r="L2928" s="6">
        <v>1.0</v>
      </c>
      <c r="M2928" s="8">
        <f t="shared" si="4"/>
        <v>0.1</v>
      </c>
      <c r="P2928" s="9"/>
    </row>
    <row r="2929">
      <c r="A2929" s="6" t="s">
        <v>6874</v>
      </c>
      <c r="B2929" s="6" t="s">
        <v>462</v>
      </c>
      <c r="C2929" s="6" t="s">
        <v>37</v>
      </c>
      <c r="D2929" s="6" t="s">
        <v>6875</v>
      </c>
      <c r="E2929" s="6" t="s">
        <v>93</v>
      </c>
      <c r="F2929" s="6" t="s">
        <v>77</v>
      </c>
      <c r="G2929" s="7">
        <v>0.33</v>
      </c>
      <c r="H2929" s="6" t="s">
        <v>187</v>
      </c>
      <c r="I2929" s="6" t="s">
        <v>20</v>
      </c>
      <c r="J2929" s="6">
        <v>1995.0</v>
      </c>
      <c r="L2929" s="6">
        <v>1.0</v>
      </c>
      <c r="M2929" s="8">
        <f t="shared" si="4"/>
        <v>0.33</v>
      </c>
      <c r="P2929" s="9"/>
    </row>
    <row r="2930">
      <c r="A2930" s="6" t="s">
        <v>6876</v>
      </c>
      <c r="B2930" s="6" t="s">
        <v>6877</v>
      </c>
      <c r="C2930" s="6" t="s">
        <v>43</v>
      </c>
      <c r="D2930" s="6" t="s">
        <v>6878</v>
      </c>
      <c r="E2930" s="6" t="s">
        <v>654</v>
      </c>
      <c r="F2930" s="6" t="s">
        <v>18</v>
      </c>
      <c r="G2930" s="7">
        <v>0.09</v>
      </c>
      <c r="H2930" s="6" t="s">
        <v>136</v>
      </c>
      <c r="I2930" s="6" t="s">
        <v>20</v>
      </c>
      <c r="J2930" s="6">
        <v>2026.0</v>
      </c>
      <c r="K2930" s="10">
        <v>46115.0</v>
      </c>
      <c r="L2930" s="6">
        <v>6.0</v>
      </c>
      <c r="M2930" s="8">
        <f t="shared" si="4"/>
        <v>0.54</v>
      </c>
      <c r="P2930" s="9"/>
    </row>
    <row r="2931">
      <c r="A2931" s="6" t="s">
        <v>6879</v>
      </c>
      <c r="B2931" s="6" t="s">
        <v>138</v>
      </c>
      <c r="C2931" s="6" t="s">
        <v>43</v>
      </c>
      <c r="D2931" s="6" t="s">
        <v>6880</v>
      </c>
      <c r="E2931" s="6" t="s">
        <v>76</v>
      </c>
      <c r="F2931" s="6" t="s">
        <v>77</v>
      </c>
      <c r="G2931" s="7">
        <v>0.1</v>
      </c>
      <c r="H2931" s="6" t="s">
        <v>136</v>
      </c>
      <c r="I2931" s="6" t="s">
        <v>20</v>
      </c>
      <c r="J2931" s="6">
        <v>2026.0</v>
      </c>
      <c r="L2931" s="6">
        <v>3.0</v>
      </c>
      <c r="M2931" s="8">
        <f t="shared" si="4"/>
        <v>0.3</v>
      </c>
      <c r="P2931" s="9"/>
    </row>
    <row r="2932">
      <c r="A2932" s="6" t="s">
        <v>6881</v>
      </c>
      <c r="B2932" s="6" t="s">
        <v>861</v>
      </c>
      <c r="C2932" s="6" t="s">
        <v>37</v>
      </c>
      <c r="D2932" s="6" t="s">
        <v>6882</v>
      </c>
      <c r="E2932" s="6" t="s">
        <v>757</v>
      </c>
      <c r="F2932" s="6" t="s">
        <v>87</v>
      </c>
      <c r="G2932" s="7">
        <v>0.2</v>
      </c>
      <c r="H2932" s="6" t="s">
        <v>316</v>
      </c>
      <c r="I2932" s="6" t="s">
        <v>20</v>
      </c>
      <c r="J2932" s="6">
        <v>1995.0</v>
      </c>
      <c r="K2932" s="10">
        <v>46115.0</v>
      </c>
      <c r="L2932" s="6">
        <v>2.0</v>
      </c>
      <c r="M2932" s="8">
        <f t="shared" si="4"/>
        <v>0.4</v>
      </c>
      <c r="P2932" s="9"/>
    </row>
    <row r="2933">
      <c r="A2933" s="6" t="s">
        <v>6883</v>
      </c>
      <c r="B2933" s="6" t="s">
        <v>162</v>
      </c>
      <c r="C2933" s="6" t="s">
        <v>43</v>
      </c>
      <c r="D2933" s="6" t="s">
        <v>1861</v>
      </c>
      <c r="E2933" s="6" t="s">
        <v>256</v>
      </c>
      <c r="F2933" s="6" t="s">
        <v>87</v>
      </c>
      <c r="G2933" s="7">
        <v>0.25</v>
      </c>
      <c r="H2933" s="6" t="s">
        <v>187</v>
      </c>
      <c r="I2933" s="6" t="s">
        <v>20</v>
      </c>
      <c r="J2933" s="6">
        <v>1995.0</v>
      </c>
      <c r="L2933" s="6">
        <v>3.0</v>
      </c>
      <c r="M2933" s="8">
        <f t="shared" si="4"/>
        <v>0.75</v>
      </c>
      <c r="P2933" s="9"/>
    </row>
    <row r="2934">
      <c r="A2934" s="6" t="s">
        <v>6883</v>
      </c>
      <c r="B2934" s="6" t="s">
        <v>162</v>
      </c>
      <c r="C2934" s="6" t="s">
        <v>43</v>
      </c>
      <c r="D2934" s="6" t="s">
        <v>1861</v>
      </c>
      <c r="E2934" s="6" t="s">
        <v>256</v>
      </c>
      <c r="F2934" s="6" t="s">
        <v>87</v>
      </c>
      <c r="G2934" s="7">
        <v>0.08</v>
      </c>
      <c r="H2934" s="6" t="s">
        <v>1063</v>
      </c>
      <c r="I2934" s="6" t="s">
        <v>20</v>
      </c>
      <c r="J2934" s="6">
        <v>1995.0</v>
      </c>
      <c r="L2934" s="6">
        <v>4.0</v>
      </c>
      <c r="M2934" s="8">
        <f t="shared" si="4"/>
        <v>0.32</v>
      </c>
      <c r="P2934" s="9"/>
    </row>
    <row r="2935">
      <c r="A2935" s="6" t="s">
        <v>6883</v>
      </c>
      <c r="B2935" s="6" t="s">
        <v>162</v>
      </c>
      <c r="C2935" s="6" t="s">
        <v>43</v>
      </c>
      <c r="D2935" s="6" t="s">
        <v>1861</v>
      </c>
      <c r="E2935" s="6" t="s">
        <v>256</v>
      </c>
      <c r="F2935" s="6" t="s">
        <v>87</v>
      </c>
      <c r="G2935" s="7">
        <v>0.1</v>
      </c>
      <c r="H2935" s="6" t="s">
        <v>1064</v>
      </c>
      <c r="I2935" s="6" t="s">
        <v>20</v>
      </c>
      <c r="J2935" s="6">
        <v>1995.0</v>
      </c>
      <c r="L2935" s="6">
        <v>4.0</v>
      </c>
      <c r="M2935" s="8">
        <f t="shared" si="4"/>
        <v>0.4</v>
      </c>
      <c r="P2935" s="9"/>
    </row>
    <row r="2936">
      <c r="A2936" s="6" t="s">
        <v>6883</v>
      </c>
      <c r="B2936" s="6" t="s">
        <v>162</v>
      </c>
      <c r="C2936" s="6" t="s">
        <v>43</v>
      </c>
      <c r="D2936" s="6" t="s">
        <v>1861</v>
      </c>
      <c r="E2936" s="6" t="s">
        <v>256</v>
      </c>
      <c r="F2936" s="6" t="s">
        <v>87</v>
      </c>
      <c r="G2936" s="7">
        <v>0.25</v>
      </c>
      <c r="H2936" s="6" t="s">
        <v>453</v>
      </c>
      <c r="I2936" s="6" t="s">
        <v>20</v>
      </c>
      <c r="J2936" s="6">
        <v>1995.0</v>
      </c>
      <c r="L2936" s="6">
        <v>2.0</v>
      </c>
      <c r="M2936" s="8">
        <f t="shared" si="4"/>
        <v>0.5</v>
      </c>
      <c r="P2936" s="9"/>
    </row>
    <row r="2937">
      <c r="A2937" s="6" t="s">
        <v>6884</v>
      </c>
      <c r="B2937" s="6" t="s">
        <v>6885</v>
      </c>
      <c r="C2937" s="6" t="s">
        <v>15</v>
      </c>
      <c r="D2937" s="6" t="s">
        <v>6886</v>
      </c>
      <c r="E2937" s="6" t="s">
        <v>2010</v>
      </c>
      <c r="F2937" s="6" t="s">
        <v>40</v>
      </c>
      <c r="G2937" s="7">
        <v>0.15</v>
      </c>
      <c r="H2937" s="6" t="s">
        <v>130</v>
      </c>
      <c r="I2937" s="6" t="s">
        <v>20</v>
      </c>
      <c r="J2937" s="6">
        <v>2014.0</v>
      </c>
      <c r="K2937" s="10">
        <v>46056.0</v>
      </c>
      <c r="L2937" s="6">
        <v>1.0</v>
      </c>
      <c r="M2937" s="8">
        <f t="shared" si="4"/>
        <v>0.15</v>
      </c>
      <c r="P2937" s="9"/>
    </row>
    <row r="2938">
      <c r="A2938" s="6" t="s">
        <v>6887</v>
      </c>
      <c r="B2938" s="6" t="s">
        <v>74</v>
      </c>
      <c r="C2938" s="6" t="s">
        <v>43</v>
      </c>
      <c r="D2938" s="6" t="s">
        <v>6888</v>
      </c>
      <c r="E2938" s="6" t="s">
        <v>1634</v>
      </c>
      <c r="F2938" s="6" t="s">
        <v>87</v>
      </c>
      <c r="G2938" s="7">
        <v>0.05</v>
      </c>
      <c r="H2938" s="6" t="s">
        <v>404</v>
      </c>
      <c r="I2938" s="6" t="s">
        <v>20</v>
      </c>
      <c r="J2938" s="6">
        <v>2020.0</v>
      </c>
      <c r="L2938" s="6">
        <v>1.0</v>
      </c>
      <c r="M2938" s="8">
        <f t="shared" si="4"/>
        <v>0.05</v>
      </c>
      <c r="P2938" s="9"/>
    </row>
    <row r="2939">
      <c r="A2939" s="6" t="s">
        <v>6889</v>
      </c>
      <c r="B2939" s="6" t="s">
        <v>254</v>
      </c>
      <c r="C2939" s="6" t="s">
        <v>43</v>
      </c>
      <c r="D2939" s="6" t="s">
        <v>6890</v>
      </c>
      <c r="E2939" s="6" t="s">
        <v>256</v>
      </c>
      <c r="F2939" s="6" t="s">
        <v>87</v>
      </c>
      <c r="G2939" s="7">
        <v>0.05</v>
      </c>
      <c r="H2939" s="6" t="s">
        <v>187</v>
      </c>
      <c r="I2939" s="6" t="s">
        <v>20</v>
      </c>
      <c r="J2939" s="6">
        <v>1995.0</v>
      </c>
      <c r="L2939" s="6">
        <v>2.0</v>
      </c>
      <c r="M2939" s="8">
        <f t="shared" si="4"/>
        <v>0.1</v>
      </c>
      <c r="P2939" s="9"/>
    </row>
    <row r="2940">
      <c r="A2940" s="6" t="s">
        <v>6891</v>
      </c>
      <c r="B2940" s="6" t="s">
        <v>208</v>
      </c>
      <c r="C2940" s="6" t="s">
        <v>43</v>
      </c>
      <c r="D2940" s="6" t="s">
        <v>6892</v>
      </c>
      <c r="E2940" s="6" t="s">
        <v>135</v>
      </c>
      <c r="F2940" s="6" t="s">
        <v>40</v>
      </c>
      <c r="G2940" s="7">
        <v>0.03</v>
      </c>
      <c r="H2940" s="6" t="s">
        <v>249</v>
      </c>
      <c r="I2940" s="6" t="s">
        <v>20</v>
      </c>
      <c r="J2940" s="6">
        <v>2014.0</v>
      </c>
      <c r="K2940" s="10">
        <v>46055.0</v>
      </c>
      <c r="L2940" s="6">
        <v>3.0</v>
      </c>
      <c r="M2940" s="8">
        <f t="shared" si="4"/>
        <v>0.09</v>
      </c>
      <c r="P2940" s="9"/>
    </row>
    <row r="2941">
      <c r="A2941" s="6" t="s">
        <v>6893</v>
      </c>
      <c r="B2941" s="6" t="s">
        <v>6894</v>
      </c>
      <c r="C2941" s="6" t="s">
        <v>43</v>
      </c>
      <c r="D2941" s="6" t="s">
        <v>6895</v>
      </c>
      <c r="E2941" s="6" t="s">
        <v>164</v>
      </c>
      <c r="F2941" s="6" t="s">
        <v>112</v>
      </c>
      <c r="G2941" s="7">
        <v>0.1</v>
      </c>
      <c r="H2941" s="6" t="s">
        <v>488</v>
      </c>
      <c r="I2941" s="6" t="s">
        <v>20</v>
      </c>
      <c r="J2941" s="6">
        <v>2023.0</v>
      </c>
      <c r="K2941" s="10">
        <v>46055.0</v>
      </c>
      <c r="L2941" s="6">
        <v>3.0</v>
      </c>
      <c r="M2941" s="8">
        <f t="shared" si="4"/>
        <v>0.3</v>
      </c>
      <c r="P2941" s="9"/>
    </row>
    <row r="2942">
      <c r="A2942" s="6" t="s">
        <v>6896</v>
      </c>
      <c r="B2942" s="6" t="s">
        <v>6670</v>
      </c>
      <c r="C2942" s="6" t="s">
        <v>43</v>
      </c>
      <c r="D2942" s="6" t="s">
        <v>6897</v>
      </c>
      <c r="E2942" s="6" t="s">
        <v>25</v>
      </c>
      <c r="F2942" s="6" t="s">
        <v>26</v>
      </c>
      <c r="G2942" s="7">
        <v>0.05</v>
      </c>
      <c r="H2942" s="6" t="s">
        <v>165</v>
      </c>
      <c r="I2942" s="6" t="s">
        <v>20</v>
      </c>
      <c r="J2942" s="6">
        <v>2020.0</v>
      </c>
      <c r="K2942" s="10">
        <v>46024.0</v>
      </c>
      <c r="L2942" s="6">
        <v>1.0</v>
      </c>
      <c r="M2942" s="8">
        <f t="shared" si="4"/>
        <v>0.05</v>
      </c>
      <c r="P2942" s="9"/>
    </row>
    <row r="2943">
      <c r="A2943" s="6" t="s">
        <v>6898</v>
      </c>
      <c r="B2943" s="6" t="s">
        <v>115</v>
      </c>
      <c r="C2943" s="6" t="s">
        <v>15</v>
      </c>
      <c r="D2943" s="6" t="s">
        <v>6899</v>
      </c>
      <c r="E2943" s="6" t="s">
        <v>1896</v>
      </c>
      <c r="F2943" s="6" t="s">
        <v>87</v>
      </c>
      <c r="G2943" s="7">
        <v>0.29</v>
      </c>
      <c r="H2943" s="6" t="s">
        <v>1784</v>
      </c>
      <c r="I2943" s="6" t="s">
        <v>20</v>
      </c>
      <c r="J2943" s="6">
        <v>2026.0</v>
      </c>
      <c r="L2943" s="6">
        <v>2.0</v>
      </c>
      <c r="M2943" s="8">
        <f t="shared" si="4"/>
        <v>0.58</v>
      </c>
      <c r="P2943" s="9"/>
    </row>
    <row r="2944">
      <c r="A2944" s="6" t="s">
        <v>6900</v>
      </c>
      <c r="B2944" s="6" t="s">
        <v>2916</v>
      </c>
      <c r="C2944" s="6" t="s">
        <v>30</v>
      </c>
      <c r="D2944" s="6" t="s">
        <v>6901</v>
      </c>
      <c r="E2944" s="6" t="s">
        <v>6902</v>
      </c>
      <c r="F2944" s="6" t="s">
        <v>33</v>
      </c>
      <c r="G2944" s="7">
        <v>3.68</v>
      </c>
      <c r="H2944" s="6" t="s">
        <v>187</v>
      </c>
      <c r="I2944" s="6" t="s">
        <v>20</v>
      </c>
      <c r="J2944" s="6">
        <v>1995.0</v>
      </c>
      <c r="K2944" s="10">
        <v>46084.0</v>
      </c>
      <c r="L2944" s="6">
        <v>1.0</v>
      </c>
      <c r="M2944" s="8">
        <f t="shared" si="4"/>
        <v>3.68</v>
      </c>
      <c r="N2944" s="6" t="s">
        <v>122</v>
      </c>
      <c r="P2944" s="9"/>
    </row>
    <row r="2945">
      <c r="A2945" s="6" t="s">
        <v>6903</v>
      </c>
      <c r="B2945" s="6" t="s">
        <v>6904</v>
      </c>
      <c r="C2945" s="6" t="s">
        <v>37</v>
      </c>
      <c r="D2945" s="6" t="s">
        <v>6905</v>
      </c>
      <c r="E2945" s="6" t="s">
        <v>389</v>
      </c>
      <c r="F2945" s="6" t="s">
        <v>87</v>
      </c>
      <c r="G2945" s="7">
        <v>17.69</v>
      </c>
      <c r="H2945" s="6" t="s">
        <v>113</v>
      </c>
      <c r="I2945" s="6" t="s">
        <v>20</v>
      </c>
      <c r="J2945" s="6">
        <v>2023.0</v>
      </c>
      <c r="K2945" s="10">
        <v>46055.0</v>
      </c>
      <c r="L2945" s="6">
        <v>1.0</v>
      </c>
      <c r="M2945" s="8">
        <f t="shared" si="4"/>
        <v>17.69</v>
      </c>
      <c r="N2945" s="6" t="s">
        <v>122</v>
      </c>
      <c r="P2945" s="9"/>
    </row>
    <row r="2946">
      <c r="A2946" s="6" t="s">
        <v>6906</v>
      </c>
      <c r="B2946" s="6" t="s">
        <v>854</v>
      </c>
      <c r="C2946" s="6" t="s">
        <v>43</v>
      </c>
      <c r="D2946" s="6" t="s">
        <v>6907</v>
      </c>
      <c r="E2946" s="6" t="s">
        <v>210</v>
      </c>
      <c r="F2946" s="6" t="s">
        <v>18</v>
      </c>
      <c r="G2946" s="7">
        <v>0.17</v>
      </c>
      <c r="H2946" s="6" t="s">
        <v>1148</v>
      </c>
      <c r="I2946" s="6" t="s">
        <v>20</v>
      </c>
      <c r="J2946" s="6">
        <v>2012.0</v>
      </c>
      <c r="K2946" s="10">
        <v>46055.0</v>
      </c>
      <c r="L2946" s="6">
        <v>3.0</v>
      </c>
      <c r="M2946" s="8">
        <f t="shared" si="4"/>
        <v>0.51</v>
      </c>
      <c r="P2946" s="9"/>
    </row>
    <row r="2947">
      <c r="A2947" s="6" t="s">
        <v>6908</v>
      </c>
      <c r="B2947" s="6" t="s">
        <v>6909</v>
      </c>
      <c r="C2947" s="6" t="s">
        <v>37</v>
      </c>
      <c r="D2947" s="6" t="s">
        <v>6910</v>
      </c>
      <c r="E2947" s="6" t="s">
        <v>6911</v>
      </c>
      <c r="F2947" s="6" t="s">
        <v>50</v>
      </c>
      <c r="G2947" s="7">
        <v>0.05</v>
      </c>
      <c r="H2947" s="6" t="s">
        <v>249</v>
      </c>
      <c r="I2947" s="6" t="s">
        <v>20</v>
      </c>
      <c r="J2947" s="6">
        <v>2014.0</v>
      </c>
      <c r="K2947" s="10">
        <v>46083.0</v>
      </c>
      <c r="L2947" s="6">
        <v>1.0</v>
      </c>
      <c r="M2947" s="8">
        <f t="shared" si="4"/>
        <v>0.05</v>
      </c>
      <c r="P2947" s="9"/>
    </row>
    <row r="2948">
      <c r="A2948" s="6" t="s">
        <v>6912</v>
      </c>
      <c r="B2948" s="6" t="s">
        <v>208</v>
      </c>
      <c r="C2948" s="6" t="s">
        <v>37</v>
      </c>
      <c r="D2948" s="6" t="s">
        <v>6913</v>
      </c>
      <c r="E2948" s="6" t="s">
        <v>3303</v>
      </c>
      <c r="F2948" s="6" t="s">
        <v>50</v>
      </c>
      <c r="G2948" s="7">
        <v>0.08</v>
      </c>
      <c r="H2948" s="6" t="s">
        <v>407</v>
      </c>
      <c r="I2948" s="6" t="s">
        <v>20</v>
      </c>
      <c r="J2948" s="6">
        <v>2016.0</v>
      </c>
      <c r="K2948" s="10">
        <v>46082.0</v>
      </c>
      <c r="L2948" s="6">
        <v>4.0</v>
      </c>
      <c r="M2948" s="8">
        <f t="shared" si="4"/>
        <v>0.32</v>
      </c>
      <c r="P2948" s="9"/>
    </row>
    <row r="2949">
      <c r="A2949" s="6" t="s">
        <v>6914</v>
      </c>
      <c r="B2949" s="6" t="s">
        <v>854</v>
      </c>
      <c r="C2949" s="6" t="s">
        <v>43</v>
      </c>
      <c r="D2949" s="6" t="s">
        <v>6915</v>
      </c>
      <c r="E2949" s="6" t="s">
        <v>654</v>
      </c>
      <c r="F2949" s="6" t="s">
        <v>18</v>
      </c>
      <c r="G2949" s="7">
        <v>0.09</v>
      </c>
      <c r="H2949" s="6" t="s">
        <v>1300</v>
      </c>
      <c r="I2949" s="6" t="s">
        <v>20</v>
      </c>
      <c r="J2949" s="6">
        <v>2021.0</v>
      </c>
      <c r="K2949" s="10">
        <v>46084.0</v>
      </c>
      <c r="L2949" s="6">
        <v>2.0</v>
      </c>
      <c r="M2949" s="8">
        <f t="shared" si="4"/>
        <v>0.18</v>
      </c>
      <c r="P2949" s="9"/>
    </row>
    <row r="2950">
      <c r="A2950" s="6" t="s">
        <v>6916</v>
      </c>
      <c r="B2950" s="6" t="s">
        <v>6917</v>
      </c>
      <c r="C2950" s="6" t="s">
        <v>43</v>
      </c>
      <c r="D2950" s="6" t="s">
        <v>6918</v>
      </c>
      <c r="E2950" s="6" t="s">
        <v>135</v>
      </c>
      <c r="F2950" s="6" t="s">
        <v>40</v>
      </c>
      <c r="G2950" s="7">
        <v>0.06</v>
      </c>
      <c r="H2950" s="6" t="s">
        <v>674</v>
      </c>
      <c r="I2950" s="6" t="s">
        <v>20</v>
      </c>
      <c r="J2950" s="6">
        <v>2021.0</v>
      </c>
      <c r="K2950" s="10">
        <v>46055.0</v>
      </c>
      <c r="L2950" s="6">
        <v>1.0</v>
      </c>
      <c r="M2950" s="8">
        <f t="shared" si="4"/>
        <v>0.06</v>
      </c>
      <c r="P2950" s="9"/>
    </row>
    <row r="2951">
      <c r="A2951" s="6" t="s">
        <v>6919</v>
      </c>
      <c r="B2951" s="6" t="s">
        <v>162</v>
      </c>
      <c r="C2951" s="6" t="s">
        <v>43</v>
      </c>
      <c r="D2951" s="6" t="s">
        <v>6920</v>
      </c>
      <c r="E2951" s="6" t="s">
        <v>107</v>
      </c>
      <c r="F2951" s="6" t="s">
        <v>18</v>
      </c>
      <c r="G2951" s="7">
        <v>0.06</v>
      </c>
      <c r="H2951" s="6" t="s">
        <v>674</v>
      </c>
      <c r="I2951" s="6" t="s">
        <v>20</v>
      </c>
      <c r="J2951" s="6">
        <v>2021.0</v>
      </c>
      <c r="L2951" s="6">
        <v>1.0</v>
      </c>
      <c r="M2951" s="8">
        <f t="shared" si="4"/>
        <v>0.06</v>
      </c>
      <c r="P2951" s="9"/>
    </row>
    <row r="2952">
      <c r="A2952" s="6" t="s">
        <v>6919</v>
      </c>
      <c r="B2952" s="6" t="s">
        <v>162</v>
      </c>
      <c r="C2952" s="6" t="s">
        <v>37</v>
      </c>
      <c r="D2952" s="6" t="s">
        <v>6920</v>
      </c>
      <c r="E2952" s="6" t="s">
        <v>107</v>
      </c>
      <c r="F2952" s="6" t="s">
        <v>18</v>
      </c>
      <c r="G2952" s="7">
        <v>0.25</v>
      </c>
      <c r="H2952" s="6" t="s">
        <v>6921</v>
      </c>
      <c r="I2952" s="6" t="s">
        <v>20</v>
      </c>
      <c r="J2952" s="6">
        <v>2021.0</v>
      </c>
      <c r="L2952" s="6">
        <v>2.0</v>
      </c>
      <c r="M2952" s="8">
        <f t="shared" si="4"/>
        <v>0.5</v>
      </c>
      <c r="P2952" s="9"/>
    </row>
    <row r="2953">
      <c r="A2953" s="6" t="s">
        <v>6922</v>
      </c>
      <c r="B2953" s="6" t="s">
        <v>6435</v>
      </c>
      <c r="C2953" s="6" t="s">
        <v>377</v>
      </c>
      <c r="D2953" s="6" t="s">
        <v>6923</v>
      </c>
      <c r="E2953" s="6" t="s">
        <v>654</v>
      </c>
      <c r="F2953" s="6" t="s">
        <v>18</v>
      </c>
      <c r="G2953" s="7">
        <v>0.1</v>
      </c>
      <c r="H2953" s="6" t="s">
        <v>471</v>
      </c>
      <c r="I2953" s="6" t="s">
        <v>20</v>
      </c>
      <c r="J2953" s="6">
        <v>2026.0</v>
      </c>
      <c r="K2953" s="10">
        <v>46145.0</v>
      </c>
      <c r="L2953" s="6">
        <v>1.0</v>
      </c>
      <c r="M2953" s="8">
        <f t="shared" si="4"/>
        <v>0.1</v>
      </c>
      <c r="P2953" s="9"/>
    </row>
    <row r="2954">
      <c r="A2954" s="6" t="s">
        <v>6924</v>
      </c>
      <c r="B2954" s="6" t="s">
        <v>494</v>
      </c>
      <c r="C2954" s="6" t="s">
        <v>43</v>
      </c>
      <c r="D2954" s="6" t="s">
        <v>6925</v>
      </c>
      <c r="E2954" s="6" t="s">
        <v>107</v>
      </c>
      <c r="F2954" s="6" t="s">
        <v>18</v>
      </c>
      <c r="G2954" s="7">
        <v>0.15</v>
      </c>
      <c r="H2954" s="6" t="s">
        <v>373</v>
      </c>
      <c r="I2954" s="6" t="s">
        <v>45</v>
      </c>
      <c r="J2954" s="6">
        <v>2015.0</v>
      </c>
      <c r="L2954" s="6">
        <v>1.0</v>
      </c>
      <c r="M2954" s="8">
        <f t="shared" si="4"/>
        <v>0.15</v>
      </c>
      <c r="P2954" s="9"/>
    </row>
    <row r="2955">
      <c r="A2955" s="6" t="s">
        <v>6926</v>
      </c>
      <c r="B2955" s="6" t="s">
        <v>6927</v>
      </c>
      <c r="C2955" s="6" t="s">
        <v>43</v>
      </c>
      <c r="D2955" s="6" t="s">
        <v>6928</v>
      </c>
      <c r="E2955" s="6" t="s">
        <v>891</v>
      </c>
      <c r="F2955" s="6" t="s">
        <v>77</v>
      </c>
      <c r="G2955" s="7">
        <v>0.05</v>
      </c>
      <c r="H2955" s="6" t="s">
        <v>228</v>
      </c>
      <c r="I2955" s="6" t="s">
        <v>20</v>
      </c>
      <c r="J2955" s="6">
        <v>2025.0</v>
      </c>
      <c r="K2955" s="10">
        <v>46084.0</v>
      </c>
      <c r="L2955" s="6">
        <v>1.0</v>
      </c>
      <c r="M2955" s="8">
        <f t="shared" si="4"/>
        <v>0.05</v>
      </c>
      <c r="P2955" s="9"/>
    </row>
    <row r="2956">
      <c r="A2956" s="6" t="s">
        <v>6929</v>
      </c>
      <c r="B2956" s="6" t="s">
        <v>6720</v>
      </c>
      <c r="C2956" s="6" t="s">
        <v>37</v>
      </c>
      <c r="D2956" s="6" t="s">
        <v>6930</v>
      </c>
      <c r="E2956" s="6" t="s">
        <v>164</v>
      </c>
      <c r="F2956" s="6" t="s">
        <v>112</v>
      </c>
      <c r="G2956" s="7">
        <v>0.04</v>
      </c>
      <c r="H2956" s="6" t="s">
        <v>655</v>
      </c>
      <c r="I2956" s="6" t="s">
        <v>20</v>
      </c>
      <c r="J2956" s="6">
        <v>2023.0</v>
      </c>
      <c r="K2956" s="6" t="s">
        <v>233</v>
      </c>
      <c r="L2956" s="6">
        <v>1.0</v>
      </c>
      <c r="M2956" s="8">
        <f t="shared" si="4"/>
        <v>0.04</v>
      </c>
      <c r="P2956" s="9"/>
    </row>
    <row r="2957">
      <c r="A2957" s="6" t="s">
        <v>6931</v>
      </c>
      <c r="B2957" s="6" t="s">
        <v>146</v>
      </c>
      <c r="C2957" s="6" t="s">
        <v>37</v>
      </c>
      <c r="D2957" s="6" t="s">
        <v>6932</v>
      </c>
      <c r="E2957" s="6" t="s">
        <v>164</v>
      </c>
      <c r="F2957" s="6" t="s">
        <v>112</v>
      </c>
      <c r="G2957" s="7">
        <v>0.05</v>
      </c>
      <c r="H2957" s="6" t="s">
        <v>249</v>
      </c>
      <c r="I2957" s="6" t="s">
        <v>20</v>
      </c>
      <c r="J2957" s="6">
        <v>2014.0</v>
      </c>
      <c r="L2957" s="6">
        <v>4.0</v>
      </c>
      <c r="M2957" s="8">
        <f t="shared" si="4"/>
        <v>0.2</v>
      </c>
      <c r="P2957" s="9"/>
    </row>
    <row r="2958">
      <c r="A2958" s="6" t="s">
        <v>6933</v>
      </c>
      <c r="B2958" s="6" t="s">
        <v>74</v>
      </c>
      <c r="C2958" s="6" t="s">
        <v>43</v>
      </c>
      <c r="D2958" s="6" t="s">
        <v>6934</v>
      </c>
      <c r="E2958" s="6" t="s">
        <v>164</v>
      </c>
      <c r="F2958" s="6" t="s">
        <v>112</v>
      </c>
      <c r="G2958" s="7">
        <v>0.08</v>
      </c>
      <c r="H2958" s="6" t="s">
        <v>410</v>
      </c>
      <c r="I2958" s="6" t="s">
        <v>20</v>
      </c>
      <c r="J2958" s="6">
        <v>2021.0</v>
      </c>
      <c r="L2958" s="6">
        <v>1.0</v>
      </c>
      <c r="M2958" s="8">
        <f t="shared" si="4"/>
        <v>0.08</v>
      </c>
      <c r="N2958" s="6" t="s">
        <v>374</v>
      </c>
      <c r="P2958" s="9"/>
    </row>
    <row r="2959">
      <c r="A2959" s="6" t="s">
        <v>6935</v>
      </c>
      <c r="B2959" s="6" t="s">
        <v>74</v>
      </c>
      <c r="C2959" s="6" t="s">
        <v>43</v>
      </c>
      <c r="D2959" s="6" t="s">
        <v>6936</v>
      </c>
      <c r="E2959" s="6" t="s">
        <v>125</v>
      </c>
      <c r="F2959" s="6" t="s">
        <v>40</v>
      </c>
      <c r="G2959" s="7">
        <v>0.09</v>
      </c>
      <c r="H2959" s="6" t="s">
        <v>266</v>
      </c>
      <c r="I2959" s="6" t="s">
        <v>20</v>
      </c>
      <c r="J2959" s="6">
        <v>2025.0</v>
      </c>
      <c r="L2959" s="6">
        <v>1.0</v>
      </c>
      <c r="M2959" s="8">
        <f t="shared" si="4"/>
        <v>0.09</v>
      </c>
      <c r="P2959" s="9"/>
    </row>
    <row r="2960">
      <c r="A2960" s="6" t="s">
        <v>6937</v>
      </c>
      <c r="B2960" s="6" t="s">
        <v>74</v>
      </c>
      <c r="C2960" s="6" t="s">
        <v>37</v>
      </c>
      <c r="D2960" s="6" t="s">
        <v>6938</v>
      </c>
      <c r="E2960" s="6" t="s">
        <v>179</v>
      </c>
      <c r="F2960" s="6" t="s">
        <v>112</v>
      </c>
      <c r="G2960" s="7">
        <v>0.04</v>
      </c>
      <c r="H2960" s="6" t="s">
        <v>99</v>
      </c>
      <c r="I2960" s="6" t="s">
        <v>20</v>
      </c>
      <c r="J2960" s="6">
        <v>2022.0</v>
      </c>
      <c r="L2960" s="6">
        <v>1.0</v>
      </c>
      <c r="M2960" s="8">
        <f t="shared" si="4"/>
        <v>0.04</v>
      </c>
      <c r="P2960" s="9"/>
    </row>
    <row r="2961">
      <c r="A2961" s="6" t="s">
        <v>6939</v>
      </c>
      <c r="B2961" s="6" t="s">
        <v>3183</v>
      </c>
      <c r="C2961" s="6" t="s">
        <v>43</v>
      </c>
      <c r="D2961" s="6" t="s">
        <v>6940</v>
      </c>
      <c r="E2961" s="6" t="s">
        <v>256</v>
      </c>
      <c r="F2961" s="6" t="s">
        <v>87</v>
      </c>
      <c r="G2961" s="7">
        <v>0.32</v>
      </c>
      <c r="H2961" s="6" t="s">
        <v>148</v>
      </c>
      <c r="I2961" s="6" t="s">
        <v>45</v>
      </c>
      <c r="J2961" s="6">
        <v>2026.0</v>
      </c>
      <c r="K2961" s="10">
        <v>46056.0</v>
      </c>
      <c r="L2961" s="6">
        <v>1.0</v>
      </c>
      <c r="M2961" s="8">
        <f t="shared" si="4"/>
        <v>0.32</v>
      </c>
      <c r="P2961" s="9"/>
    </row>
    <row r="2962">
      <c r="A2962" s="6" t="s">
        <v>6939</v>
      </c>
      <c r="B2962" s="6" t="s">
        <v>3183</v>
      </c>
      <c r="C2962" s="6" t="s">
        <v>43</v>
      </c>
      <c r="D2962" s="6" t="s">
        <v>6940</v>
      </c>
      <c r="E2962" s="6" t="s">
        <v>256</v>
      </c>
      <c r="F2962" s="6" t="s">
        <v>87</v>
      </c>
      <c r="G2962" s="7">
        <v>0.06</v>
      </c>
      <c r="H2962" s="6" t="s">
        <v>148</v>
      </c>
      <c r="I2962" s="6" t="s">
        <v>20</v>
      </c>
      <c r="J2962" s="6">
        <v>2026.0</v>
      </c>
      <c r="K2962" s="10">
        <v>46056.0</v>
      </c>
      <c r="L2962" s="6">
        <v>1.0</v>
      </c>
      <c r="M2962" s="8">
        <f t="shared" si="4"/>
        <v>0.06</v>
      </c>
      <c r="P2962" s="9"/>
    </row>
    <row r="2963">
      <c r="A2963" s="6" t="s">
        <v>6941</v>
      </c>
      <c r="B2963" s="6" t="s">
        <v>6028</v>
      </c>
      <c r="C2963" s="6" t="s">
        <v>43</v>
      </c>
      <c r="D2963" s="6" t="s">
        <v>6942</v>
      </c>
      <c r="E2963" s="6" t="s">
        <v>107</v>
      </c>
      <c r="F2963" s="6" t="s">
        <v>18</v>
      </c>
      <c r="G2963" s="7">
        <v>0.05</v>
      </c>
      <c r="H2963" s="6" t="s">
        <v>88</v>
      </c>
      <c r="I2963" s="6" t="s">
        <v>20</v>
      </c>
      <c r="J2963" s="6">
        <v>2026.0</v>
      </c>
      <c r="K2963" s="10">
        <v>46054.0</v>
      </c>
      <c r="L2963" s="6">
        <v>2.0</v>
      </c>
      <c r="M2963" s="8">
        <f t="shared" si="4"/>
        <v>0.1</v>
      </c>
      <c r="P2963" s="9"/>
    </row>
    <row r="2964">
      <c r="A2964" s="6" t="s">
        <v>6943</v>
      </c>
      <c r="B2964" s="6" t="s">
        <v>4150</v>
      </c>
      <c r="C2964" s="6" t="s">
        <v>37</v>
      </c>
      <c r="D2964" s="6" t="s">
        <v>6944</v>
      </c>
      <c r="E2964" s="6" t="s">
        <v>420</v>
      </c>
      <c r="F2964" s="6" t="s">
        <v>40</v>
      </c>
      <c r="G2964" s="7">
        <v>0.06</v>
      </c>
      <c r="H2964" s="6" t="s">
        <v>701</v>
      </c>
      <c r="I2964" s="6" t="s">
        <v>20</v>
      </c>
      <c r="J2964" s="6">
        <v>2015.0</v>
      </c>
      <c r="K2964" s="10">
        <v>46084.0</v>
      </c>
      <c r="L2964" s="6">
        <v>1.0</v>
      </c>
      <c r="M2964" s="8">
        <f t="shared" si="4"/>
        <v>0.06</v>
      </c>
      <c r="N2964" s="6" t="s">
        <v>374</v>
      </c>
      <c r="P2964" s="9"/>
    </row>
    <row r="2965">
      <c r="A2965" s="6" t="s">
        <v>6945</v>
      </c>
      <c r="B2965" s="6" t="s">
        <v>1548</v>
      </c>
      <c r="C2965" s="6" t="s">
        <v>23</v>
      </c>
      <c r="D2965" s="6" t="s">
        <v>6946</v>
      </c>
      <c r="E2965" s="6" t="s">
        <v>1364</v>
      </c>
      <c r="F2965" s="6" t="s">
        <v>18</v>
      </c>
      <c r="G2965" s="7">
        <v>0.02</v>
      </c>
      <c r="H2965" s="6" t="s">
        <v>153</v>
      </c>
      <c r="I2965" s="6" t="s">
        <v>20</v>
      </c>
      <c r="J2965" s="6">
        <v>2025.0</v>
      </c>
      <c r="L2965" s="6">
        <v>10.0</v>
      </c>
      <c r="M2965" s="8">
        <f t="shared" si="4"/>
        <v>0.2</v>
      </c>
      <c r="P2965" s="9"/>
    </row>
    <row r="2966">
      <c r="A2966" s="6" t="s">
        <v>6945</v>
      </c>
      <c r="B2966" s="6" t="s">
        <v>1548</v>
      </c>
      <c r="C2966" s="6" t="s">
        <v>23</v>
      </c>
      <c r="D2966" s="6" t="s">
        <v>6946</v>
      </c>
      <c r="E2966" s="6" t="s">
        <v>1364</v>
      </c>
      <c r="F2966" s="6" t="s">
        <v>18</v>
      </c>
      <c r="G2966" s="7">
        <v>0.2</v>
      </c>
      <c r="H2966" s="6" t="s">
        <v>153</v>
      </c>
      <c r="I2966" s="6" t="s">
        <v>20</v>
      </c>
      <c r="J2966" s="6">
        <v>2025.0</v>
      </c>
      <c r="L2966" s="6">
        <v>1.0</v>
      </c>
      <c r="M2966" s="8">
        <f t="shared" si="4"/>
        <v>0.2</v>
      </c>
      <c r="P2966" s="9"/>
    </row>
    <row r="2967">
      <c r="A2967" s="6" t="s">
        <v>6947</v>
      </c>
      <c r="B2967" s="6" t="s">
        <v>219</v>
      </c>
      <c r="C2967" s="6" t="s">
        <v>43</v>
      </c>
      <c r="D2967" s="6" t="s">
        <v>6948</v>
      </c>
      <c r="E2967" s="6" t="s">
        <v>25</v>
      </c>
      <c r="F2967" s="6" t="s">
        <v>26</v>
      </c>
      <c r="G2967" s="7">
        <v>0.05</v>
      </c>
      <c r="H2967" s="6" t="s">
        <v>1300</v>
      </c>
      <c r="I2967" s="6" t="s">
        <v>20</v>
      </c>
      <c r="J2967" s="6">
        <v>2021.0</v>
      </c>
      <c r="L2967" s="6">
        <v>1.0</v>
      </c>
      <c r="M2967" s="8">
        <f t="shared" si="4"/>
        <v>0.05</v>
      </c>
      <c r="P2967" s="9"/>
    </row>
    <row r="2968">
      <c r="A2968" s="6" t="s">
        <v>6949</v>
      </c>
      <c r="B2968" s="6" t="s">
        <v>74</v>
      </c>
      <c r="C2968" s="6" t="s">
        <v>43</v>
      </c>
      <c r="D2968" s="6" t="s">
        <v>6950</v>
      </c>
      <c r="E2968" s="6" t="s">
        <v>86</v>
      </c>
      <c r="F2968" s="6" t="s">
        <v>87</v>
      </c>
      <c r="G2968" s="7">
        <v>18.0</v>
      </c>
      <c r="H2968" s="6" t="s">
        <v>421</v>
      </c>
      <c r="I2968" s="6" t="s">
        <v>45</v>
      </c>
      <c r="J2968" s="6">
        <v>2000.0</v>
      </c>
      <c r="L2968" s="6">
        <v>1.0</v>
      </c>
      <c r="M2968" s="8">
        <f t="shared" si="4"/>
        <v>18</v>
      </c>
      <c r="P2968" s="9"/>
    </row>
    <row r="2969">
      <c r="A2969" s="6" t="s">
        <v>6951</v>
      </c>
      <c r="B2969" s="6" t="s">
        <v>4428</v>
      </c>
      <c r="C2969" s="6" t="s">
        <v>37</v>
      </c>
      <c r="D2969" s="6" t="s">
        <v>6952</v>
      </c>
      <c r="E2969" s="6" t="s">
        <v>256</v>
      </c>
      <c r="F2969" s="6" t="s">
        <v>87</v>
      </c>
      <c r="G2969" s="7">
        <v>0.48</v>
      </c>
      <c r="H2969" s="6" t="s">
        <v>113</v>
      </c>
      <c r="I2969" s="6" t="s">
        <v>20</v>
      </c>
      <c r="J2969" s="6">
        <v>2023.0</v>
      </c>
      <c r="K2969" s="10">
        <v>46083.0</v>
      </c>
      <c r="L2969" s="6">
        <v>1.0</v>
      </c>
      <c r="M2969" s="8">
        <f t="shared" si="4"/>
        <v>0.48</v>
      </c>
      <c r="P2969" s="9"/>
    </row>
    <row r="2970">
      <c r="A2970" s="6" t="s">
        <v>6951</v>
      </c>
      <c r="B2970" s="6" t="s">
        <v>4428</v>
      </c>
      <c r="C2970" s="6" t="s">
        <v>37</v>
      </c>
      <c r="D2970" s="6" t="s">
        <v>6952</v>
      </c>
      <c r="E2970" s="6" t="s">
        <v>256</v>
      </c>
      <c r="F2970" s="6" t="s">
        <v>87</v>
      </c>
      <c r="G2970" s="7">
        <v>0.45</v>
      </c>
      <c r="H2970" s="6" t="s">
        <v>113</v>
      </c>
      <c r="I2970" s="6" t="s">
        <v>45</v>
      </c>
      <c r="J2970" s="6">
        <v>2023.0</v>
      </c>
      <c r="K2970" s="10">
        <v>46083.0</v>
      </c>
      <c r="L2970" s="6">
        <v>1.0</v>
      </c>
      <c r="M2970" s="8">
        <f t="shared" si="4"/>
        <v>0.45</v>
      </c>
      <c r="P2970" s="9"/>
    </row>
    <row r="2971">
      <c r="A2971" s="6" t="s">
        <v>6951</v>
      </c>
      <c r="B2971" s="6" t="s">
        <v>4428</v>
      </c>
      <c r="C2971" s="6" t="s">
        <v>37</v>
      </c>
      <c r="D2971" s="6" t="s">
        <v>6952</v>
      </c>
      <c r="E2971" s="6" t="s">
        <v>256</v>
      </c>
      <c r="F2971" s="6" t="s">
        <v>87</v>
      </c>
      <c r="G2971" s="7">
        <v>0.48</v>
      </c>
      <c r="H2971" s="6" t="s">
        <v>113</v>
      </c>
      <c r="I2971" s="6" t="s">
        <v>20</v>
      </c>
      <c r="J2971" s="6">
        <v>2023.0</v>
      </c>
      <c r="K2971" s="10">
        <v>46083.0</v>
      </c>
      <c r="L2971" s="6">
        <v>1.0</v>
      </c>
      <c r="M2971" s="8">
        <f t="shared" si="4"/>
        <v>0.48</v>
      </c>
      <c r="P2971" s="9"/>
    </row>
    <row r="2972">
      <c r="A2972" s="6" t="s">
        <v>6953</v>
      </c>
      <c r="B2972" s="6" t="s">
        <v>74</v>
      </c>
      <c r="C2972" s="6" t="s">
        <v>43</v>
      </c>
      <c r="D2972" s="6" t="s">
        <v>6954</v>
      </c>
      <c r="E2972" s="6" t="s">
        <v>76</v>
      </c>
      <c r="F2972" s="6" t="s">
        <v>77</v>
      </c>
      <c r="G2972" s="7">
        <v>0.07</v>
      </c>
      <c r="H2972" s="6" t="s">
        <v>918</v>
      </c>
      <c r="I2972" s="6" t="s">
        <v>20</v>
      </c>
      <c r="J2972" s="6">
        <v>2023.0</v>
      </c>
      <c r="L2972" s="6">
        <v>2.0</v>
      </c>
      <c r="M2972" s="8">
        <f t="shared" si="4"/>
        <v>0.14</v>
      </c>
      <c r="P2972" s="9"/>
    </row>
    <row r="2973">
      <c r="A2973" s="6" t="s">
        <v>6955</v>
      </c>
      <c r="B2973" s="6" t="s">
        <v>4249</v>
      </c>
      <c r="C2973" s="6" t="s">
        <v>37</v>
      </c>
      <c r="D2973" s="6" t="s">
        <v>6956</v>
      </c>
      <c r="E2973" s="6" t="s">
        <v>6957</v>
      </c>
      <c r="F2973" s="6" t="s">
        <v>1244</v>
      </c>
      <c r="G2973" s="7">
        <v>0.15</v>
      </c>
      <c r="H2973" s="6" t="s">
        <v>34</v>
      </c>
      <c r="I2973" s="6" t="s">
        <v>20</v>
      </c>
      <c r="J2973" s="6">
        <v>2025.0</v>
      </c>
      <c r="K2973" s="6" t="s">
        <v>1847</v>
      </c>
      <c r="L2973" s="6">
        <v>2.0</v>
      </c>
      <c r="M2973" s="8">
        <f t="shared" si="4"/>
        <v>0.3</v>
      </c>
      <c r="P2973" s="9"/>
    </row>
    <row r="2974">
      <c r="A2974" s="6" t="s">
        <v>6958</v>
      </c>
      <c r="B2974" s="6" t="s">
        <v>74</v>
      </c>
      <c r="C2974" s="6" t="s">
        <v>43</v>
      </c>
      <c r="D2974" s="6" t="s">
        <v>6959</v>
      </c>
      <c r="E2974" s="6" t="s">
        <v>757</v>
      </c>
      <c r="F2974" s="6" t="s">
        <v>87</v>
      </c>
      <c r="G2974" s="7">
        <v>0.24</v>
      </c>
      <c r="H2974" s="6" t="s">
        <v>113</v>
      </c>
      <c r="I2974" s="6" t="s">
        <v>20</v>
      </c>
      <c r="J2974" s="6">
        <v>2023.0</v>
      </c>
      <c r="L2974" s="6">
        <v>1.0</v>
      </c>
      <c r="M2974" s="8">
        <f t="shared" si="4"/>
        <v>0.24</v>
      </c>
      <c r="P2974" s="9"/>
    </row>
    <row r="2975">
      <c r="A2975" s="6" t="s">
        <v>6960</v>
      </c>
      <c r="B2975" s="6" t="s">
        <v>6961</v>
      </c>
      <c r="C2975" s="6" t="s">
        <v>43</v>
      </c>
      <c r="D2975" s="6" t="s">
        <v>6962</v>
      </c>
      <c r="E2975" s="6" t="s">
        <v>107</v>
      </c>
      <c r="F2975" s="6" t="s">
        <v>18</v>
      </c>
      <c r="G2975" s="7">
        <v>0.05</v>
      </c>
      <c r="H2975" s="6" t="s">
        <v>1493</v>
      </c>
      <c r="I2975" s="6" t="s">
        <v>20</v>
      </c>
      <c r="J2975" s="6">
        <v>2015.0</v>
      </c>
      <c r="K2975" s="10">
        <v>46024.0</v>
      </c>
      <c r="L2975" s="6">
        <v>1.0</v>
      </c>
      <c r="M2975" s="8">
        <f t="shared" si="4"/>
        <v>0.05</v>
      </c>
      <c r="P2975" s="9"/>
    </row>
    <row r="2976">
      <c r="A2976" s="6" t="s">
        <v>6963</v>
      </c>
      <c r="B2976" s="6" t="s">
        <v>74</v>
      </c>
      <c r="C2976" s="6" t="s">
        <v>30</v>
      </c>
      <c r="D2976" s="6" t="s">
        <v>6964</v>
      </c>
      <c r="E2976" s="6" t="s">
        <v>1147</v>
      </c>
      <c r="F2976" s="6" t="s">
        <v>18</v>
      </c>
      <c r="G2976" s="7">
        <v>0.25</v>
      </c>
      <c r="H2976" s="6" t="s">
        <v>903</v>
      </c>
      <c r="I2976" s="6" t="s">
        <v>20</v>
      </c>
      <c r="J2976" s="6">
        <v>2016.0</v>
      </c>
      <c r="L2976" s="6">
        <v>1.0</v>
      </c>
      <c r="M2976" s="8">
        <f t="shared" si="4"/>
        <v>0.25</v>
      </c>
      <c r="P2976" s="9"/>
    </row>
    <row r="2977">
      <c r="A2977" s="6" t="s">
        <v>6965</v>
      </c>
      <c r="B2977" s="6" t="s">
        <v>6966</v>
      </c>
      <c r="C2977" s="6" t="s">
        <v>43</v>
      </c>
      <c r="E2977" s="6" t="s">
        <v>757</v>
      </c>
      <c r="F2977" s="6" t="s">
        <v>87</v>
      </c>
      <c r="G2977" s="7">
        <v>0.05</v>
      </c>
      <c r="H2977" s="6" t="s">
        <v>922</v>
      </c>
      <c r="I2977" s="6" t="s">
        <v>20</v>
      </c>
      <c r="J2977" s="6">
        <v>2014.0</v>
      </c>
      <c r="K2977" s="10">
        <v>46085.0</v>
      </c>
      <c r="L2977" s="6">
        <v>1.0</v>
      </c>
      <c r="M2977" s="8">
        <f t="shared" si="4"/>
        <v>0.05</v>
      </c>
      <c r="P2977" s="9"/>
    </row>
    <row r="2978">
      <c r="A2978" s="6" t="s">
        <v>6967</v>
      </c>
      <c r="B2978" s="6" t="s">
        <v>6968</v>
      </c>
      <c r="C2978" s="6" t="s">
        <v>377</v>
      </c>
      <c r="D2978" s="6" t="s">
        <v>6969</v>
      </c>
      <c r="E2978" s="6" t="s">
        <v>107</v>
      </c>
      <c r="F2978" s="6" t="s">
        <v>1099</v>
      </c>
      <c r="G2978" s="7">
        <v>0.1</v>
      </c>
      <c r="H2978" s="6" t="s">
        <v>471</v>
      </c>
      <c r="I2978" s="6" t="s">
        <v>20</v>
      </c>
      <c r="J2978" s="6">
        <v>2026.0</v>
      </c>
      <c r="K2978" s="10">
        <v>46082.0</v>
      </c>
      <c r="L2978" s="6">
        <v>1.0</v>
      </c>
      <c r="M2978" s="8">
        <f t="shared" si="4"/>
        <v>0.1</v>
      </c>
      <c r="P2978" s="9"/>
    </row>
    <row r="2979">
      <c r="A2979" s="6" t="s">
        <v>6970</v>
      </c>
      <c r="B2979" s="6" t="s">
        <v>6971</v>
      </c>
      <c r="C2979" s="6" t="s">
        <v>23</v>
      </c>
      <c r="D2979" s="6" t="s">
        <v>6972</v>
      </c>
      <c r="E2979" s="6" t="s">
        <v>2010</v>
      </c>
      <c r="F2979" s="6" t="s">
        <v>40</v>
      </c>
      <c r="G2979" s="7">
        <v>0.91</v>
      </c>
      <c r="H2979" s="6" t="s">
        <v>1336</v>
      </c>
      <c r="I2979" s="6" t="s">
        <v>45</v>
      </c>
      <c r="J2979" s="6">
        <v>2025.0</v>
      </c>
      <c r="K2979" s="10">
        <v>46084.0</v>
      </c>
      <c r="L2979" s="6">
        <v>1.0</v>
      </c>
      <c r="M2979" s="8">
        <f t="shared" si="4"/>
        <v>0.91</v>
      </c>
      <c r="P2979" s="9"/>
    </row>
    <row r="2980">
      <c r="A2980" s="6" t="s">
        <v>6970</v>
      </c>
      <c r="B2980" s="6" t="s">
        <v>6971</v>
      </c>
      <c r="C2980" s="6" t="s">
        <v>23</v>
      </c>
      <c r="D2980" s="6" t="s">
        <v>6972</v>
      </c>
      <c r="E2980" s="6" t="s">
        <v>2010</v>
      </c>
      <c r="F2980" s="6" t="s">
        <v>40</v>
      </c>
      <c r="G2980" s="7">
        <v>0.14</v>
      </c>
      <c r="H2980" s="6" t="s">
        <v>1336</v>
      </c>
      <c r="I2980" s="6" t="s">
        <v>5423</v>
      </c>
      <c r="J2980" s="6">
        <v>2025.0</v>
      </c>
      <c r="K2980" s="10">
        <v>46084.0</v>
      </c>
      <c r="L2980" s="6">
        <v>10.0</v>
      </c>
      <c r="M2980" s="8">
        <f t="shared" si="4"/>
        <v>1.4</v>
      </c>
      <c r="P2980" s="9"/>
    </row>
    <row r="2981">
      <c r="A2981" s="6" t="s">
        <v>6973</v>
      </c>
      <c r="B2981" s="6" t="s">
        <v>6974</v>
      </c>
      <c r="C2981" s="6" t="s">
        <v>15</v>
      </c>
      <c r="D2981" s="6" t="s">
        <v>6975</v>
      </c>
      <c r="E2981" s="6" t="s">
        <v>368</v>
      </c>
      <c r="F2981" s="6" t="s">
        <v>87</v>
      </c>
      <c r="G2981" s="7">
        <v>0.19</v>
      </c>
      <c r="H2981" s="6" t="s">
        <v>153</v>
      </c>
      <c r="I2981" s="6" t="s">
        <v>20</v>
      </c>
      <c r="J2981" s="6">
        <v>2025.0</v>
      </c>
      <c r="K2981" s="10">
        <v>46084.0</v>
      </c>
      <c r="L2981" s="6">
        <v>1.0</v>
      </c>
      <c r="M2981" s="8">
        <f t="shared" si="4"/>
        <v>0.19</v>
      </c>
      <c r="P2981" s="9"/>
    </row>
    <row r="2982">
      <c r="A2982" s="6" t="s">
        <v>6976</v>
      </c>
      <c r="B2982" s="6" t="s">
        <v>6977</v>
      </c>
      <c r="C2982" s="6" t="s">
        <v>23</v>
      </c>
      <c r="D2982" s="6" t="s">
        <v>6978</v>
      </c>
      <c r="E2982" s="6" t="s">
        <v>5611</v>
      </c>
      <c r="F2982" s="6" t="s">
        <v>112</v>
      </c>
      <c r="G2982" s="7">
        <v>0.1</v>
      </c>
      <c r="H2982" s="6" t="s">
        <v>153</v>
      </c>
      <c r="I2982" s="6" t="s">
        <v>20</v>
      </c>
      <c r="J2982" s="6">
        <v>2025.0</v>
      </c>
      <c r="K2982" s="10">
        <v>46116.0</v>
      </c>
      <c r="L2982" s="6">
        <v>8.0</v>
      </c>
      <c r="M2982" s="8">
        <f t="shared" si="4"/>
        <v>0.8</v>
      </c>
      <c r="P2982" s="9"/>
    </row>
    <row r="2983">
      <c r="A2983" s="6" t="s">
        <v>6979</v>
      </c>
      <c r="B2983" s="6" t="s">
        <v>6980</v>
      </c>
      <c r="C2983" s="6" t="s">
        <v>15</v>
      </c>
      <c r="D2983" s="6" t="s">
        <v>6981</v>
      </c>
      <c r="E2983" s="6" t="s">
        <v>457</v>
      </c>
      <c r="F2983" s="6" t="s">
        <v>112</v>
      </c>
      <c r="G2983" s="7">
        <v>0.5</v>
      </c>
      <c r="H2983" s="6" t="s">
        <v>153</v>
      </c>
      <c r="I2983" s="6" t="s">
        <v>20</v>
      </c>
      <c r="J2983" s="6">
        <v>2025.0</v>
      </c>
      <c r="K2983" s="10">
        <v>46056.0</v>
      </c>
      <c r="L2983" s="6">
        <v>2.0</v>
      </c>
      <c r="M2983" s="8">
        <f t="shared" si="4"/>
        <v>1</v>
      </c>
      <c r="P2983" s="9"/>
    </row>
    <row r="2984">
      <c r="A2984" s="6" t="s">
        <v>6982</v>
      </c>
      <c r="B2984" s="6" t="s">
        <v>6983</v>
      </c>
      <c r="C2984" s="6" t="s">
        <v>23</v>
      </c>
      <c r="D2984" s="6" t="s">
        <v>6984</v>
      </c>
      <c r="E2984" s="6" t="s">
        <v>129</v>
      </c>
      <c r="F2984" s="6" t="s">
        <v>1335</v>
      </c>
      <c r="G2984" s="7">
        <v>0.24</v>
      </c>
      <c r="H2984" s="6" t="s">
        <v>6005</v>
      </c>
      <c r="I2984" s="6" t="s">
        <v>45</v>
      </c>
      <c r="J2984" s="6">
        <v>2025.0</v>
      </c>
      <c r="K2984" s="10">
        <v>46056.0</v>
      </c>
      <c r="L2984" s="6">
        <v>1.0</v>
      </c>
      <c r="M2984" s="8">
        <f t="shared" si="4"/>
        <v>0.24</v>
      </c>
      <c r="P2984" s="9"/>
    </row>
    <row r="2985">
      <c r="A2985" s="6" t="s">
        <v>6982</v>
      </c>
      <c r="B2985" s="6" t="s">
        <v>6983</v>
      </c>
      <c r="C2985" s="6" t="s">
        <v>23</v>
      </c>
      <c r="D2985" s="6" t="s">
        <v>6984</v>
      </c>
      <c r="E2985" s="6" t="s">
        <v>129</v>
      </c>
      <c r="F2985" s="6" t="s">
        <v>1335</v>
      </c>
      <c r="G2985" s="7">
        <v>0.15</v>
      </c>
      <c r="H2985" s="6" t="s">
        <v>6005</v>
      </c>
      <c r="I2985" s="6" t="s">
        <v>20</v>
      </c>
      <c r="J2985" s="6">
        <v>2025.0</v>
      </c>
      <c r="K2985" s="10">
        <v>46056.0</v>
      </c>
      <c r="L2985" s="6">
        <v>7.0</v>
      </c>
      <c r="M2985" s="8">
        <f t="shared" si="4"/>
        <v>1.05</v>
      </c>
      <c r="P2985" s="9"/>
    </row>
    <row r="2986">
      <c r="A2986" s="6" t="s">
        <v>6985</v>
      </c>
      <c r="B2986" s="6" t="s">
        <v>6986</v>
      </c>
      <c r="C2986" s="6" t="s">
        <v>156</v>
      </c>
      <c r="D2986" s="6" t="s">
        <v>6987</v>
      </c>
      <c r="E2986" s="6" t="s">
        <v>2461</v>
      </c>
      <c r="F2986" s="6" t="s">
        <v>18</v>
      </c>
      <c r="G2986" s="7">
        <v>2.3</v>
      </c>
      <c r="H2986" s="6" t="s">
        <v>153</v>
      </c>
      <c r="I2986" s="6" t="s">
        <v>20</v>
      </c>
      <c r="J2986" s="6">
        <v>2025.0</v>
      </c>
      <c r="K2986" s="10">
        <v>46179.0</v>
      </c>
      <c r="L2986" s="6">
        <v>1.0</v>
      </c>
      <c r="M2986" s="8">
        <f t="shared" si="4"/>
        <v>2.3</v>
      </c>
      <c r="P2986" s="9"/>
    </row>
    <row r="2987">
      <c r="A2987" s="6" t="s">
        <v>6988</v>
      </c>
      <c r="B2987" s="6" t="s">
        <v>6989</v>
      </c>
      <c r="C2987" s="6" t="s">
        <v>15</v>
      </c>
      <c r="D2987" s="6" t="s">
        <v>6990</v>
      </c>
      <c r="E2987" s="6" t="s">
        <v>201</v>
      </c>
      <c r="F2987" s="6" t="s">
        <v>40</v>
      </c>
      <c r="G2987" s="7">
        <v>0.2</v>
      </c>
      <c r="H2987" s="6" t="s">
        <v>153</v>
      </c>
      <c r="I2987" s="6" t="s">
        <v>20</v>
      </c>
      <c r="J2987" s="6">
        <v>2025.0</v>
      </c>
      <c r="K2987" s="10">
        <v>46084.0</v>
      </c>
      <c r="L2987" s="6">
        <v>1.0</v>
      </c>
      <c r="M2987" s="8">
        <f t="shared" si="4"/>
        <v>0.2</v>
      </c>
      <c r="P2987" s="9"/>
    </row>
    <row r="2988">
      <c r="A2988" s="6" t="s">
        <v>6988</v>
      </c>
      <c r="B2988" s="6" t="s">
        <v>6989</v>
      </c>
      <c r="C2988" s="6" t="s">
        <v>15</v>
      </c>
      <c r="D2988" s="6" t="s">
        <v>6990</v>
      </c>
      <c r="E2988" s="6" t="s">
        <v>201</v>
      </c>
      <c r="F2988" s="6" t="s">
        <v>40</v>
      </c>
      <c r="G2988" s="7">
        <v>0.4</v>
      </c>
      <c r="H2988" s="6" t="s">
        <v>153</v>
      </c>
      <c r="I2988" s="6" t="s">
        <v>45</v>
      </c>
      <c r="J2988" s="6">
        <v>2025.0</v>
      </c>
      <c r="K2988" s="10">
        <v>46084.0</v>
      </c>
      <c r="L2988" s="6">
        <v>1.0</v>
      </c>
      <c r="M2988" s="8">
        <f t="shared" si="4"/>
        <v>0.4</v>
      </c>
      <c r="P2988" s="9"/>
    </row>
    <row r="2989">
      <c r="A2989" s="6" t="s">
        <v>6991</v>
      </c>
      <c r="B2989" s="6" t="s">
        <v>2966</v>
      </c>
      <c r="C2989" s="6" t="s">
        <v>37</v>
      </c>
      <c r="D2989" s="6" t="s">
        <v>6992</v>
      </c>
      <c r="E2989" s="6" t="s">
        <v>1679</v>
      </c>
      <c r="F2989" s="6" t="s">
        <v>1000</v>
      </c>
      <c r="G2989" s="7">
        <v>0.15</v>
      </c>
      <c r="H2989" s="6" t="s">
        <v>34</v>
      </c>
      <c r="I2989" s="6" t="s">
        <v>20</v>
      </c>
      <c r="J2989" s="6">
        <v>2025.0</v>
      </c>
      <c r="K2989" s="10">
        <v>46145.0</v>
      </c>
      <c r="L2989" s="6">
        <v>1.0</v>
      </c>
      <c r="M2989" s="8">
        <f t="shared" si="4"/>
        <v>0.15</v>
      </c>
      <c r="P2989" s="9"/>
    </row>
    <row r="2990">
      <c r="A2990" s="6" t="s">
        <v>6993</v>
      </c>
      <c r="B2990" s="6" t="s">
        <v>929</v>
      </c>
      <c r="C2990" s="6" t="s">
        <v>37</v>
      </c>
      <c r="D2990" s="6" t="s">
        <v>6994</v>
      </c>
      <c r="E2990" s="6" t="s">
        <v>135</v>
      </c>
      <c r="F2990" s="6" t="s">
        <v>40</v>
      </c>
      <c r="G2990" s="7">
        <v>0.15</v>
      </c>
      <c r="H2990" s="6" t="s">
        <v>88</v>
      </c>
      <c r="I2990" s="6" t="s">
        <v>20</v>
      </c>
      <c r="J2990" s="6">
        <v>2024.0</v>
      </c>
      <c r="K2990" s="10">
        <v>46025.0</v>
      </c>
      <c r="L2990" s="6">
        <v>1.0</v>
      </c>
      <c r="M2990" s="8">
        <f t="shared" si="4"/>
        <v>0.15</v>
      </c>
      <c r="P2990" s="9"/>
    </row>
    <row r="2991">
      <c r="A2991" s="6" t="s">
        <v>6995</v>
      </c>
      <c r="B2991" s="6" t="s">
        <v>52</v>
      </c>
      <c r="C2991" s="6" t="s">
        <v>43</v>
      </c>
      <c r="D2991" s="6" t="s">
        <v>6996</v>
      </c>
      <c r="F2991" s="6" t="s">
        <v>1000</v>
      </c>
      <c r="G2991" s="7">
        <v>0.15</v>
      </c>
      <c r="H2991" s="6" t="s">
        <v>34</v>
      </c>
      <c r="I2991" s="6" t="s">
        <v>20</v>
      </c>
      <c r="J2991" s="6">
        <v>2025.0</v>
      </c>
      <c r="L2991" s="6">
        <v>1.0</v>
      </c>
      <c r="M2991" s="8">
        <f t="shared" si="4"/>
        <v>0.15</v>
      </c>
      <c r="P2991" s="9"/>
    </row>
    <row r="2992">
      <c r="A2992" s="6" t="s">
        <v>6997</v>
      </c>
      <c r="B2992" s="6" t="s">
        <v>361</v>
      </c>
      <c r="C2992" s="6" t="s">
        <v>43</v>
      </c>
      <c r="D2992" s="6" t="s">
        <v>6998</v>
      </c>
      <c r="E2992" s="6" t="s">
        <v>420</v>
      </c>
      <c r="F2992" s="6" t="s">
        <v>40</v>
      </c>
      <c r="G2992" s="7">
        <v>0.03</v>
      </c>
      <c r="H2992" s="6" t="s">
        <v>1076</v>
      </c>
      <c r="I2992" s="6" t="s">
        <v>20</v>
      </c>
      <c r="J2992" s="6">
        <v>2018.0</v>
      </c>
      <c r="K2992" s="10">
        <v>46144.0</v>
      </c>
      <c r="L2992" s="6">
        <v>1.0</v>
      </c>
      <c r="M2992" s="8">
        <f t="shared" si="4"/>
        <v>0.03</v>
      </c>
      <c r="P2992" s="9"/>
    </row>
    <row r="2993">
      <c r="A2993" s="6" t="s">
        <v>6999</v>
      </c>
      <c r="B2993" s="6" t="s">
        <v>361</v>
      </c>
      <c r="C2993" s="6" t="s">
        <v>43</v>
      </c>
      <c r="D2993" s="6" t="s">
        <v>7000</v>
      </c>
      <c r="E2993" s="6" t="s">
        <v>2792</v>
      </c>
      <c r="F2993" s="6" t="s">
        <v>87</v>
      </c>
      <c r="G2993" s="7">
        <v>0.03</v>
      </c>
      <c r="H2993" s="6" t="s">
        <v>709</v>
      </c>
      <c r="I2993" s="6" t="s">
        <v>20</v>
      </c>
      <c r="J2993" s="6">
        <v>2017.0</v>
      </c>
      <c r="K2993" s="10">
        <v>46117.0</v>
      </c>
      <c r="L2993" s="6">
        <v>1.0</v>
      </c>
      <c r="M2993" s="8">
        <f t="shared" si="4"/>
        <v>0.03</v>
      </c>
      <c r="P2993" s="9"/>
    </row>
    <row r="2994">
      <c r="A2994" s="6" t="s">
        <v>7001</v>
      </c>
      <c r="B2994" s="6" t="s">
        <v>5017</v>
      </c>
      <c r="C2994" s="6" t="s">
        <v>43</v>
      </c>
      <c r="D2994" s="6" t="s">
        <v>7002</v>
      </c>
      <c r="E2994" s="6" t="s">
        <v>1752</v>
      </c>
      <c r="F2994" s="6" t="s">
        <v>40</v>
      </c>
      <c r="G2994" s="7">
        <v>0.2</v>
      </c>
      <c r="H2994" s="6" t="s">
        <v>471</v>
      </c>
      <c r="I2994" s="6" t="s">
        <v>45</v>
      </c>
      <c r="J2994" s="6">
        <v>2026.0</v>
      </c>
      <c r="K2994" s="10">
        <v>46178.0</v>
      </c>
      <c r="L2994" s="6">
        <v>1.0</v>
      </c>
      <c r="M2994" s="8">
        <f t="shared" si="4"/>
        <v>0.2</v>
      </c>
      <c r="P2994" s="9"/>
    </row>
    <row r="2995">
      <c r="A2995" s="6" t="s">
        <v>7003</v>
      </c>
      <c r="B2995" s="6" t="s">
        <v>2470</v>
      </c>
      <c r="C2995" s="6" t="s">
        <v>43</v>
      </c>
      <c r="D2995" s="6" t="s">
        <v>7004</v>
      </c>
      <c r="E2995" s="6" t="s">
        <v>420</v>
      </c>
      <c r="F2995" s="6" t="s">
        <v>40</v>
      </c>
      <c r="G2995" s="7">
        <v>0.12</v>
      </c>
      <c r="H2995" s="6" t="s">
        <v>3621</v>
      </c>
      <c r="I2995" s="6" t="s">
        <v>20</v>
      </c>
      <c r="J2995" s="6">
        <v>2022.0</v>
      </c>
      <c r="K2995" s="10">
        <v>46116.0</v>
      </c>
      <c r="L2995" s="6">
        <v>1.0</v>
      </c>
      <c r="M2995" s="8">
        <f t="shared" si="4"/>
        <v>0.12</v>
      </c>
      <c r="P2995" s="9"/>
    </row>
    <row r="2996">
      <c r="A2996" s="6" t="s">
        <v>7005</v>
      </c>
      <c r="B2996" s="6" t="s">
        <v>7006</v>
      </c>
      <c r="C2996" s="6" t="s">
        <v>37</v>
      </c>
      <c r="D2996" s="6" t="s">
        <v>7007</v>
      </c>
      <c r="E2996" s="6" t="s">
        <v>7008</v>
      </c>
      <c r="F2996" s="6" t="s">
        <v>636</v>
      </c>
      <c r="G2996" s="7">
        <v>0.13</v>
      </c>
      <c r="H2996" s="6" t="s">
        <v>597</v>
      </c>
      <c r="I2996" s="6" t="s">
        <v>20</v>
      </c>
      <c r="J2996" s="6">
        <v>2024.0</v>
      </c>
      <c r="K2996" s="10">
        <v>46147.0</v>
      </c>
      <c r="L2996" s="6">
        <v>1.0</v>
      </c>
      <c r="M2996" s="8">
        <f t="shared" si="4"/>
        <v>0.13</v>
      </c>
      <c r="P2996" s="9"/>
    </row>
    <row r="2997">
      <c r="A2997" s="6" t="s">
        <v>7009</v>
      </c>
      <c r="B2997" s="6" t="s">
        <v>74</v>
      </c>
      <c r="C2997" s="6" t="s">
        <v>43</v>
      </c>
      <c r="D2997" s="6" t="s">
        <v>7010</v>
      </c>
      <c r="E2997" s="6" t="s">
        <v>7011</v>
      </c>
      <c r="F2997" s="6" t="s">
        <v>1244</v>
      </c>
      <c r="G2997" s="7">
        <v>0.1</v>
      </c>
      <c r="H2997" s="6" t="s">
        <v>586</v>
      </c>
      <c r="I2997" s="6" t="s">
        <v>20</v>
      </c>
      <c r="J2997" s="6">
        <v>2012.0</v>
      </c>
      <c r="L2997" s="6">
        <v>4.0</v>
      </c>
      <c r="M2997" s="8">
        <f t="shared" si="4"/>
        <v>0.4</v>
      </c>
      <c r="P2997" s="9"/>
    </row>
    <row r="2998">
      <c r="A2998" s="6" t="s">
        <v>7012</v>
      </c>
      <c r="B2998" s="6" t="s">
        <v>4849</v>
      </c>
      <c r="C2998" s="6" t="s">
        <v>43</v>
      </c>
      <c r="D2998" s="6" t="s">
        <v>7013</v>
      </c>
      <c r="E2998" s="6" t="s">
        <v>135</v>
      </c>
      <c r="F2998" s="6" t="s">
        <v>40</v>
      </c>
      <c r="G2998" s="7">
        <v>0.06</v>
      </c>
      <c r="H2998" s="6" t="s">
        <v>1392</v>
      </c>
      <c r="I2998" s="6" t="s">
        <v>20</v>
      </c>
      <c r="J2998" s="6">
        <v>2014.0</v>
      </c>
      <c r="K2998" s="10">
        <v>46054.0</v>
      </c>
      <c r="L2998" s="6">
        <v>4.0</v>
      </c>
      <c r="M2998" s="8">
        <f t="shared" si="4"/>
        <v>0.24</v>
      </c>
      <c r="P2998" s="9"/>
    </row>
    <row r="2999">
      <c r="A2999" s="6" t="s">
        <v>7014</v>
      </c>
      <c r="B2999" s="6" t="s">
        <v>7015</v>
      </c>
      <c r="C2999" s="6" t="s">
        <v>43</v>
      </c>
      <c r="D2999" s="6" t="s">
        <v>7016</v>
      </c>
      <c r="E2999" s="6" t="s">
        <v>179</v>
      </c>
      <c r="F2999" s="6" t="s">
        <v>112</v>
      </c>
      <c r="G2999" s="7">
        <v>0.13</v>
      </c>
      <c r="H2999" s="6" t="s">
        <v>746</v>
      </c>
      <c r="I2999" s="6" t="s">
        <v>20</v>
      </c>
      <c r="J2999" s="6">
        <v>2024.0</v>
      </c>
      <c r="K2999" s="6" t="s">
        <v>233</v>
      </c>
      <c r="L2999" s="6">
        <v>1.0</v>
      </c>
      <c r="M2999" s="8">
        <f t="shared" si="4"/>
        <v>0.13</v>
      </c>
      <c r="P2999" s="9"/>
    </row>
    <row r="3000">
      <c r="A3000" s="6" t="s">
        <v>7017</v>
      </c>
      <c r="B3000" s="6" t="s">
        <v>7018</v>
      </c>
      <c r="C3000" s="6" t="s">
        <v>15</v>
      </c>
      <c r="D3000" s="6" t="s">
        <v>7019</v>
      </c>
      <c r="E3000" s="6" t="s">
        <v>201</v>
      </c>
      <c r="F3000" s="6" t="s">
        <v>40</v>
      </c>
      <c r="G3000" s="7">
        <v>0.15</v>
      </c>
      <c r="H3000" s="6" t="s">
        <v>780</v>
      </c>
      <c r="I3000" s="6" t="s">
        <v>20</v>
      </c>
      <c r="J3000" s="6">
        <v>2025.0</v>
      </c>
      <c r="K3000" s="10">
        <v>46084.0</v>
      </c>
      <c r="L3000" s="6">
        <v>2.0</v>
      </c>
      <c r="M3000" s="8">
        <f t="shared" si="4"/>
        <v>0.3</v>
      </c>
      <c r="P3000" s="9"/>
    </row>
    <row r="3001">
      <c r="A3001" s="6" t="s">
        <v>7020</v>
      </c>
      <c r="B3001" s="6" t="s">
        <v>115</v>
      </c>
      <c r="C3001" s="6" t="s">
        <v>23</v>
      </c>
      <c r="D3001" s="6" t="s">
        <v>7021</v>
      </c>
      <c r="E3001" s="6" t="s">
        <v>509</v>
      </c>
      <c r="F3001" s="6" t="s">
        <v>87</v>
      </c>
      <c r="G3001" s="7">
        <v>0.2</v>
      </c>
      <c r="H3001" s="6" t="s">
        <v>153</v>
      </c>
      <c r="I3001" s="6" t="s">
        <v>20</v>
      </c>
      <c r="J3001" s="6">
        <v>2025.0</v>
      </c>
      <c r="L3001" s="6">
        <v>3.0</v>
      </c>
      <c r="M3001" s="8">
        <f t="shared" si="4"/>
        <v>0.6</v>
      </c>
      <c r="P3001" s="9"/>
    </row>
    <row r="3002">
      <c r="A3002" s="6" t="s">
        <v>7022</v>
      </c>
      <c r="B3002" s="6" t="s">
        <v>603</v>
      </c>
      <c r="C3002" s="6" t="s">
        <v>43</v>
      </c>
      <c r="D3002" s="6" t="s">
        <v>7023</v>
      </c>
      <c r="E3002" s="6" t="s">
        <v>2030</v>
      </c>
      <c r="F3002" s="6" t="s">
        <v>40</v>
      </c>
      <c r="G3002" s="7">
        <v>0.03</v>
      </c>
      <c r="H3002" s="6" t="s">
        <v>249</v>
      </c>
      <c r="I3002" s="6" t="s">
        <v>20</v>
      </c>
      <c r="J3002" s="6">
        <v>2014.0</v>
      </c>
      <c r="K3002" s="10">
        <v>46114.0</v>
      </c>
      <c r="L3002" s="6">
        <v>2.0</v>
      </c>
      <c r="M3002" s="8">
        <f t="shared" si="4"/>
        <v>0.06</v>
      </c>
      <c r="P3002" s="9"/>
    </row>
    <row r="3003">
      <c r="A3003" s="6" t="s">
        <v>7024</v>
      </c>
      <c r="B3003" s="6" t="s">
        <v>74</v>
      </c>
      <c r="C3003" s="6" t="s">
        <v>37</v>
      </c>
      <c r="D3003" s="6" t="s">
        <v>7025</v>
      </c>
      <c r="E3003" s="6" t="s">
        <v>98</v>
      </c>
      <c r="F3003" s="6" t="s">
        <v>18</v>
      </c>
      <c r="G3003" s="7">
        <v>0.13</v>
      </c>
      <c r="H3003" s="6" t="s">
        <v>1856</v>
      </c>
      <c r="I3003" s="6" t="s">
        <v>20</v>
      </c>
      <c r="J3003" s="6">
        <v>2017.0</v>
      </c>
      <c r="L3003" s="6">
        <v>1.0</v>
      </c>
      <c r="M3003" s="8">
        <f t="shared" si="4"/>
        <v>0.13</v>
      </c>
      <c r="P3003" s="9"/>
    </row>
    <row r="3004">
      <c r="A3004" s="6" t="s">
        <v>7026</v>
      </c>
      <c r="B3004" s="6" t="s">
        <v>219</v>
      </c>
      <c r="C3004" s="6" t="s">
        <v>43</v>
      </c>
      <c r="D3004" s="6" t="s">
        <v>7027</v>
      </c>
      <c r="E3004" s="6" t="s">
        <v>25</v>
      </c>
      <c r="F3004" s="6" t="s">
        <v>26</v>
      </c>
      <c r="G3004" s="7">
        <v>0.09</v>
      </c>
      <c r="H3004" s="6" t="s">
        <v>165</v>
      </c>
      <c r="I3004" s="6" t="s">
        <v>20</v>
      </c>
      <c r="J3004" s="6">
        <v>2020.0</v>
      </c>
      <c r="L3004" s="6">
        <v>1.0</v>
      </c>
      <c r="M3004" s="8">
        <f t="shared" si="4"/>
        <v>0.09</v>
      </c>
      <c r="P3004" s="9"/>
    </row>
    <row r="3005">
      <c r="A3005" s="6" t="s">
        <v>7028</v>
      </c>
      <c r="B3005" s="6" t="s">
        <v>74</v>
      </c>
      <c r="C3005" s="6" t="s">
        <v>43</v>
      </c>
      <c r="D3005" s="6" t="s">
        <v>7029</v>
      </c>
      <c r="E3005" s="6" t="s">
        <v>86</v>
      </c>
      <c r="F3005" s="6" t="s">
        <v>87</v>
      </c>
      <c r="G3005" s="7">
        <v>0.03</v>
      </c>
      <c r="H3005" s="6" t="s">
        <v>78</v>
      </c>
      <c r="I3005" s="6" t="s">
        <v>20</v>
      </c>
      <c r="J3005" s="6">
        <v>2018.0</v>
      </c>
      <c r="L3005" s="6">
        <v>1.0</v>
      </c>
      <c r="M3005" s="8">
        <f t="shared" si="4"/>
        <v>0.03</v>
      </c>
      <c r="P3005" s="9"/>
    </row>
    <row r="3006">
      <c r="A3006" s="6" t="s">
        <v>7028</v>
      </c>
      <c r="B3006" s="6" t="s">
        <v>74</v>
      </c>
      <c r="C3006" s="6" t="s">
        <v>43</v>
      </c>
      <c r="D3006" s="6" t="s">
        <v>7029</v>
      </c>
      <c r="E3006" s="6" t="s">
        <v>86</v>
      </c>
      <c r="F3006" s="6" t="s">
        <v>87</v>
      </c>
      <c r="G3006" s="7">
        <v>0.05</v>
      </c>
      <c r="H3006" s="6" t="s">
        <v>89</v>
      </c>
      <c r="I3006" s="6" t="s">
        <v>20</v>
      </c>
      <c r="J3006" s="6">
        <v>2021.0</v>
      </c>
      <c r="L3006" s="6">
        <v>1.0</v>
      </c>
      <c r="M3006" s="8">
        <f t="shared" si="4"/>
        <v>0.05</v>
      </c>
      <c r="P3006" s="9"/>
    </row>
    <row r="3007">
      <c r="A3007" s="6" t="s">
        <v>7030</v>
      </c>
      <c r="B3007" s="6" t="s">
        <v>162</v>
      </c>
      <c r="C3007" s="6" t="s">
        <v>43</v>
      </c>
      <c r="D3007" s="6" t="s">
        <v>7031</v>
      </c>
      <c r="E3007" s="6" t="s">
        <v>76</v>
      </c>
      <c r="F3007" s="6" t="s">
        <v>77</v>
      </c>
      <c r="G3007" s="7">
        <v>0.14</v>
      </c>
      <c r="H3007" s="6" t="s">
        <v>1527</v>
      </c>
      <c r="I3007" s="6" t="s">
        <v>20</v>
      </c>
      <c r="J3007" s="6">
        <v>2006.0</v>
      </c>
      <c r="L3007" s="6">
        <v>1.0</v>
      </c>
      <c r="M3007" s="8">
        <f t="shared" si="4"/>
        <v>0.14</v>
      </c>
      <c r="P3007" s="9"/>
    </row>
    <row r="3008">
      <c r="A3008" s="6" t="s">
        <v>7032</v>
      </c>
      <c r="B3008" s="6" t="s">
        <v>1986</v>
      </c>
      <c r="C3008" s="6" t="s">
        <v>37</v>
      </c>
      <c r="D3008" s="6" t="s">
        <v>7033</v>
      </c>
      <c r="E3008" s="6" t="s">
        <v>708</v>
      </c>
      <c r="F3008" s="6" t="s">
        <v>112</v>
      </c>
      <c r="G3008" s="7">
        <v>0.59</v>
      </c>
      <c r="H3008" s="6" t="s">
        <v>113</v>
      </c>
      <c r="I3008" s="6" t="s">
        <v>20</v>
      </c>
      <c r="J3008" s="6">
        <v>2023.0</v>
      </c>
      <c r="K3008" s="10">
        <v>46117.0</v>
      </c>
      <c r="L3008" s="6">
        <v>1.0</v>
      </c>
      <c r="M3008" s="8">
        <f t="shared" si="4"/>
        <v>0.59</v>
      </c>
      <c r="P3008" s="9"/>
    </row>
    <row r="3009">
      <c r="A3009" s="6" t="s">
        <v>7034</v>
      </c>
      <c r="B3009" s="6" t="s">
        <v>808</v>
      </c>
      <c r="C3009" s="6" t="s">
        <v>183</v>
      </c>
      <c r="D3009" s="6" t="s">
        <v>7035</v>
      </c>
      <c r="F3009" s="6" t="s">
        <v>18</v>
      </c>
      <c r="G3009" s="7">
        <v>2.11</v>
      </c>
      <c r="H3009" s="6" t="s">
        <v>194</v>
      </c>
      <c r="I3009" s="6" t="s">
        <v>20</v>
      </c>
      <c r="J3009" s="6">
        <v>1994.0</v>
      </c>
      <c r="L3009" s="6">
        <v>1.0</v>
      </c>
      <c r="M3009" s="8">
        <f t="shared" si="4"/>
        <v>2.11</v>
      </c>
      <c r="N3009" s="6" t="s">
        <v>122</v>
      </c>
      <c r="P3009" s="9"/>
    </row>
    <row r="3010">
      <c r="A3010" s="6" t="s">
        <v>7036</v>
      </c>
      <c r="B3010" s="6" t="s">
        <v>606</v>
      </c>
      <c r="C3010" s="6" t="s">
        <v>15</v>
      </c>
      <c r="D3010" s="6" t="s">
        <v>7037</v>
      </c>
      <c r="E3010" s="6" t="s">
        <v>1364</v>
      </c>
      <c r="F3010" s="6" t="s">
        <v>18</v>
      </c>
      <c r="G3010" s="7">
        <v>0.19</v>
      </c>
      <c r="H3010" s="6" t="s">
        <v>153</v>
      </c>
      <c r="I3010" s="6" t="s">
        <v>20</v>
      </c>
      <c r="J3010" s="6">
        <v>2025.0</v>
      </c>
      <c r="L3010" s="6">
        <v>2.0</v>
      </c>
      <c r="M3010" s="8">
        <f t="shared" si="4"/>
        <v>0.38</v>
      </c>
      <c r="P3010" s="9"/>
    </row>
    <row r="3011">
      <c r="A3011" s="6" t="s">
        <v>7036</v>
      </c>
      <c r="B3011" s="6" t="s">
        <v>606</v>
      </c>
      <c r="C3011" s="6" t="s">
        <v>15</v>
      </c>
      <c r="D3011" s="6" t="s">
        <v>7037</v>
      </c>
      <c r="E3011" s="6" t="s">
        <v>1364</v>
      </c>
      <c r="F3011" s="6" t="s">
        <v>18</v>
      </c>
      <c r="G3011" s="7">
        <v>0.49</v>
      </c>
      <c r="H3011" s="6" t="s">
        <v>153</v>
      </c>
      <c r="I3011" s="6" t="s">
        <v>45</v>
      </c>
      <c r="J3011" s="6">
        <v>2025.0</v>
      </c>
      <c r="L3011" s="6">
        <v>1.0</v>
      </c>
      <c r="M3011" s="8">
        <f t="shared" si="4"/>
        <v>0.49</v>
      </c>
      <c r="P3011" s="9"/>
    </row>
    <row r="3012">
      <c r="A3012" s="6" t="s">
        <v>7038</v>
      </c>
      <c r="B3012" s="6" t="s">
        <v>254</v>
      </c>
      <c r="C3012" s="6" t="s">
        <v>43</v>
      </c>
      <c r="D3012" s="6" t="s">
        <v>7039</v>
      </c>
      <c r="E3012" s="6" t="s">
        <v>176</v>
      </c>
      <c r="F3012" s="6" t="s">
        <v>77</v>
      </c>
      <c r="G3012" s="7">
        <v>0.05</v>
      </c>
      <c r="H3012" s="6" t="s">
        <v>34</v>
      </c>
      <c r="I3012" s="6" t="s">
        <v>20</v>
      </c>
      <c r="J3012" s="6">
        <v>2025.0</v>
      </c>
      <c r="L3012" s="6">
        <v>4.0</v>
      </c>
      <c r="M3012" s="8">
        <f t="shared" si="4"/>
        <v>0.2</v>
      </c>
      <c r="P3012" s="9"/>
    </row>
    <row r="3013">
      <c r="A3013" s="6" t="s">
        <v>7040</v>
      </c>
      <c r="B3013" s="6" t="s">
        <v>861</v>
      </c>
      <c r="C3013" s="6" t="s">
        <v>37</v>
      </c>
      <c r="D3013" s="6" t="s">
        <v>7041</v>
      </c>
      <c r="E3013" s="6" t="s">
        <v>708</v>
      </c>
      <c r="F3013" s="6" t="s">
        <v>112</v>
      </c>
      <c r="G3013" s="7">
        <v>0.05</v>
      </c>
      <c r="H3013" s="6" t="s">
        <v>249</v>
      </c>
      <c r="I3013" s="6" t="s">
        <v>20</v>
      </c>
      <c r="J3013" s="6">
        <v>2014.0</v>
      </c>
      <c r="K3013" s="10">
        <v>46179.0</v>
      </c>
      <c r="L3013" s="6">
        <v>1.0</v>
      </c>
      <c r="M3013" s="8">
        <f t="shared" si="4"/>
        <v>0.05</v>
      </c>
      <c r="P3013" s="9"/>
    </row>
    <row r="3014">
      <c r="A3014" s="6" t="s">
        <v>7042</v>
      </c>
      <c r="B3014" s="6" t="s">
        <v>836</v>
      </c>
      <c r="C3014" s="6" t="s">
        <v>43</v>
      </c>
      <c r="D3014" s="6" t="s">
        <v>7043</v>
      </c>
      <c r="E3014" s="6" t="s">
        <v>356</v>
      </c>
      <c r="F3014" s="6" t="s">
        <v>87</v>
      </c>
      <c r="G3014" s="7">
        <v>0.1</v>
      </c>
      <c r="H3014" s="6" t="s">
        <v>1287</v>
      </c>
      <c r="I3014" s="6" t="s">
        <v>20</v>
      </c>
      <c r="J3014" s="6">
        <v>2021.0</v>
      </c>
      <c r="K3014" s="10">
        <v>46085.0</v>
      </c>
      <c r="L3014" s="6">
        <v>1.0</v>
      </c>
      <c r="M3014" s="8">
        <f t="shared" si="4"/>
        <v>0.1</v>
      </c>
      <c r="P3014" s="9"/>
    </row>
    <row r="3015">
      <c r="A3015" s="6" t="s">
        <v>7044</v>
      </c>
      <c r="B3015" s="6" t="s">
        <v>606</v>
      </c>
      <c r="C3015" s="6" t="s">
        <v>23</v>
      </c>
      <c r="D3015" s="6" t="s">
        <v>7045</v>
      </c>
      <c r="E3015" s="6" t="s">
        <v>3973</v>
      </c>
      <c r="F3015" s="6" t="s">
        <v>40</v>
      </c>
      <c r="G3015" s="7">
        <v>0.06</v>
      </c>
      <c r="H3015" s="6" t="s">
        <v>130</v>
      </c>
      <c r="I3015" s="6" t="s">
        <v>20</v>
      </c>
      <c r="J3015" s="6">
        <v>2014.0</v>
      </c>
      <c r="L3015" s="6">
        <v>1.0</v>
      </c>
      <c r="M3015" s="8">
        <f t="shared" si="4"/>
        <v>0.06</v>
      </c>
      <c r="P3015" s="9"/>
    </row>
    <row r="3016">
      <c r="A3016" s="6" t="s">
        <v>7046</v>
      </c>
      <c r="B3016" s="6" t="s">
        <v>74</v>
      </c>
      <c r="C3016" s="6" t="s">
        <v>43</v>
      </c>
      <c r="D3016" s="6" t="s">
        <v>7047</v>
      </c>
      <c r="E3016" s="6" t="s">
        <v>389</v>
      </c>
      <c r="F3016" s="6" t="s">
        <v>87</v>
      </c>
      <c r="G3016" s="7">
        <v>0.04</v>
      </c>
      <c r="H3016" s="6" t="s">
        <v>922</v>
      </c>
      <c r="I3016" s="6" t="s">
        <v>20</v>
      </c>
      <c r="J3016" s="6">
        <v>2014.0</v>
      </c>
      <c r="L3016" s="6">
        <v>1.0</v>
      </c>
      <c r="M3016" s="8">
        <f t="shared" si="4"/>
        <v>0.04</v>
      </c>
      <c r="P3016" s="9"/>
    </row>
    <row r="3017">
      <c r="A3017" s="6" t="s">
        <v>7048</v>
      </c>
      <c r="B3017" s="6" t="s">
        <v>7049</v>
      </c>
      <c r="C3017" s="6" t="s">
        <v>43</v>
      </c>
      <c r="D3017" s="6" t="s">
        <v>7050</v>
      </c>
      <c r="E3017" s="6" t="s">
        <v>39</v>
      </c>
      <c r="F3017" s="6" t="s">
        <v>40</v>
      </c>
      <c r="G3017" s="7">
        <v>0.05</v>
      </c>
      <c r="H3017" s="6" t="s">
        <v>228</v>
      </c>
      <c r="I3017" s="6" t="s">
        <v>20</v>
      </c>
      <c r="J3017" s="6">
        <v>2025.0</v>
      </c>
      <c r="K3017" s="10">
        <v>46084.0</v>
      </c>
      <c r="L3017" s="6">
        <v>1.0</v>
      </c>
      <c r="M3017" s="8">
        <f t="shared" si="4"/>
        <v>0.05</v>
      </c>
      <c r="P3017" s="9"/>
    </row>
    <row r="3018">
      <c r="A3018" s="6" t="s">
        <v>7051</v>
      </c>
      <c r="B3018" s="6" t="s">
        <v>162</v>
      </c>
      <c r="C3018" s="6" t="s">
        <v>43</v>
      </c>
      <c r="D3018" s="6" t="s">
        <v>7052</v>
      </c>
      <c r="E3018" s="6" t="s">
        <v>389</v>
      </c>
      <c r="F3018" s="6" t="s">
        <v>87</v>
      </c>
      <c r="G3018" s="7">
        <v>0.8</v>
      </c>
      <c r="H3018" s="6" t="s">
        <v>7053</v>
      </c>
      <c r="I3018" s="6" t="s">
        <v>20</v>
      </c>
      <c r="J3018" s="6">
        <v>2002.0</v>
      </c>
      <c r="L3018" s="6">
        <v>1.0</v>
      </c>
      <c r="M3018" s="8">
        <f t="shared" si="4"/>
        <v>0.8</v>
      </c>
      <c r="P3018" s="9"/>
    </row>
    <row r="3019">
      <c r="A3019" s="6" t="s">
        <v>7054</v>
      </c>
      <c r="B3019" s="6" t="s">
        <v>2234</v>
      </c>
      <c r="C3019" s="6" t="s">
        <v>43</v>
      </c>
      <c r="D3019" s="6" t="s">
        <v>7055</v>
      </c>
      <c r="E3019" s="6" t="s">
        <v>164</v>
      </c>
      <c r="F3019" s="6" t="s">
        <v>112</v>
      </c>
      <c r="G3019" s="7">
        <v>0.06</v>
      </c>
      <c r="H3019" s="6" t="s">
        <v>211</v>
      </c>
      <c r="I3019" s="6" t="s">
        <v>20</v>
      </c>
      <c r="J3019" s="6">
        <v>2010.0</v>
      </c>
      <c r="K3019" s="10">
        <v>46023.0</v>
      </c>
      <c r="L3019" s="6">
        <v>4.0</v>
      </c>
      <c r="M3019" s="8">
        <f t="shared" si="4"/>
        <v>0.24</v>
      </c>
      <c r="P3019" s="9"/>
    </row>
    <row r="3020">
      <c r="A3020" s="6" t="s">
        <v>7056</v>
      </c>
      <c r="B3020" s="6" t="s">
        <v>208</v>
      </c>
      <c r="C3020" s="6" t="s">
        <v>30</v>
      </c>
      <c r="D3020" s="6" t="s">
        <v>7057</v>
      </c>
      <c r="E3020" s="6" t="s">
        <v>179</v>
      </c>
      <c r="F3020" s="6" t="s">
        <v>112</v>
      </c>
      <c r="G3020" s="7">
        <v>0.06</v>
      </c>
      <c r="H3020" s="6" t="s">
        <v>211</v>
      </c>
      <c r="I3020" s="6" t="s">
        <v>20</v>
      </c>
      <c r="J3020" s="6">
        <v>2002.0</v>
      </c>
      <c r="K3020" s="10">
        <v>46023.0</v>
      </c>
      <c r="L3020" s="6">
        <v>1.0</v>
      </c>
      <c r="M3020" s="8">
        <f t="shared" si="4"/>
        <v>0.06</v>
      </c>
      <c r="P3020" s="9"/>
    </row>
    <row r="3021">
      <c r="A3021" s="6" t="s">
        <v>7058</v>
      </c>
      <c r="B3021" s="6" t="s">
        <v>162</v>
      </c>
      <c r="C3021" s="6" t="s">
        <v>37</v>
      </c>
      <c r="D3021" s="6" t="s">
        <v>7059</v>
      </c>
      <c r="E3021" s="6" t="s">
        <v>164</v>
      </c>
      <c r="F3021" s="6" t="s">
        <v>112</v>
      </c>
      <c r="G3021" s="7">
        <v>0.37</v>
      </c>
      <c r="H3021" s="6" t="s">
        <v>460</v>
      </c>
      <c r="I3021" s="6" t="s">
        <v>20</v>
      </c>
      <c r="J3021" s="6">
        <v>2015.0</v>
      </c>
      <c r="L3021" s="6">
        <v>1.0</v>
      </c>
      <c r="M3021" s="8">
        <f t="shared" si="4"/>
        <v>0.37</v>
      </c>
      <c r="P3021" s="9"/>
    </row>
    <row r="3022">
      <c r="A3022" s="6" t="s">
        <v>7060</v>
      </c>
      <c r="B3022" s="6" t="s">
        <v>7061</v>
      </c>
      <c r="C3022" s="6" t="s">
        <v>43</v>
      </c>
      <c r="D3022" s="6" t="s">
        <v>7062</v>
      </c>
      <c r="E3022" s="6" t="s">
        <v>1702</v>
      </c>
      <c r="F3022" s="6" t="s">
        <v>112</v>
      </c>
      <c r="G3022" s="7">
        <v>0.1</v>
      </c>
      <c r="H3022" s="6" t="s">
        <v>488</v>
      </c>
      <c r="I3022" s="6" t="s">
        <v>20</v>
      </c>
      <c r="J3022" s="6">
        <v>2023.0</v>
      </c>
      <c r="K3022" s="10">
        <v>46116.0</v>
      </c>
      <c r="L3022" s="6">
        <v>7.0</v>
      </c>
      <c r="M3022" s="8">
        <f t="shared" si="4"/>
        <v>0.7</v>
      </c>
      <c r="P3022" s="9"/>
    </row>
    <row r="3023">
      <c r="A3023" s="6" t="s">
        <v>7063</v>
      </c>
      <c r="B3023" s="6" t="s">
        <v>74</v>
      </c>
      <c r="C3023" s="6" t="s">
        <v>43</v>
      </c>
      <c r="D3023" s="6" t="s">
        <v>7064</v>
      </c>
      <c r="E3023" s="6" t="s">
        <v>7065</v>
      </c>
      <c r="F3023" s="6" t="s">
        <v>18</v>
      </c>
      <c r="G3023" s="7">
        <v>0.05</v>
      </c>
      <c r="H3023" s="6" t="s">
        <v>144</v>
      </c>
      <c r="I3023" s="6" t="s">
        <v>20</v>
      </c>
      <c r="J3023" s="6">
        <v>2018.0</v>
      </c>
      <c r="L3023" s="6">
        <v>1.0</v>
      </c>
      <c r="M3023" s="8">
        <f t="shared" si="4"/>
        <v>0.05</v>
      </c>
      <c r="P3023" s="9"/>
    </row>
    <row r="3024">
      <c r="A3024" s="6" t="s">
        <v>7066</v>
      </c>
      <c r="B3024" s="6" t="s">
        <v>606</v>
      </c>
      <c r="C3024" s="6" t="s">
        <v>23</v>
      </c>
      <c r="D3024" s="6" t="s">
        <v>7067</v>
      </c>
      <c r="E3024" s="6" t="s">
        <v>7065</v>
      </c>
      <c r="F3024" s="6" t="s">
        <v>18</v>
      </c>
      <c r="G3024" s="7">
        <v>0.05</v>
      </c>
      <c r="H3024" s="6" t="s">
        <v>153</v>
      </c>
      <c r="I3024" s="6" t="s">
        <v>20</v>
      </c>
      <c r="J3024" s="6">
        <v>2025.0</v>
      </c>
      <c r="L3024" s="6">
        <v>6.0</v>
      </c>
      <c r="M3024" s="8">
        <f t="shared" si="4"/>
        <v>0.3</v>
      </c>
      <c r="P3024" s="9"/>
    </row>
    <row r="3025">
      <c r="A3025" s="6" t="s">
        <v>7068</v>
      </c>
      <c r="B3025" s="6" t="s">
        <v>685</v>
      </c>
      <c r="C3025" s="6" t="s">
        <v>37</v>
      </c>
      <c r="D3025" s="6" t="s">
        <v>7069</v>
      </c>
      <c r="E3025" s="6" t="s">
        <v>1417</v>
      </c>
      <c r="F3025" s="6" t="s">
        <v>71</v>
      </c>
      <c r="G3025" s="7">
        <v>0.03</v>
      </c>
      <c r="H3025" s="6" t="s">
        <v>431</v>
      </c>
      <c r="I3025" s="6" t="s">
        <v>20</v>
      </c>
      <c r="J3025" s="6">
        <v>2019.0</v>
      </c>
      <c r="K3025" s="10">
        <v>46055.0</v>
      </c>
      <c r="L3025" s="6">
        <v>2.0</v>
      </c>
      <c r="M3025" s="8">
        <f t="shared" si="4"/>
        <v>0.06</v>
      </c>
      <c r="P3025" s="9"/>
    </row>
    <row r="3026">
      <c r="A3026" s="6" t="s">
        <v>7070</v>
      </c>
      <c r="B3026" s="6" t="s">
        <v>610</v>
      </c>
      <c r="C3026" s="6" t="s">
        <v>37</v>
      </c>
      <c r="D3026" s="6" t="s">
        <v>7071</v>
      </c>
      <c r="E3026" s="6" t="s">
        <v>2030</v>
      </c>
      <c r="F3026" s="6" t="s">
        <v>40</v>
      </c>
      <c r="G3026" s="7">
        <v>0.12</v>
      </c>
      <c r="H3026" s="6" t="s">
        <v>104</v>
      </c>
      <c r="I3026" s="6" t="s">
        <v>20</v>
      </c>
      <c r="J3026" s="6">
        <v>2019.0</v>
      </c>
      <c r="K3026" s="10">
        <v>46116.0</v>
      </c>
      <c r="L3026" s="6">
        <v>1.0</v>
      </c>
      <c r="M3026" s="8">
        <f t="shared" si="4"/>
        <v>0.12</v>
      </c>
      <c r="P3026" s="9"/>
    </row>
    <row r="3027">
      <c r="A3027" s="6" t="s">
        <v>7072</v>
      </c>
      <c r="B3027" s="6" t="s">
        <v>610</v>
      </c>
      <c r="C3027" s="6" t="s">
        <v>37</v>
      </c>
      <c r="D3027" s="6" t="s">
        <v>7073</v>
      </c>
      <c r="E3027" s="6" t="s">
        <v>3707</v>
      </c>
      <c r="F3027" s="6" t="s">
        <v>1244</v>
      </c>
      <c r="G3027" s="7">
        <v>0.1</v>
      </c>
      <c r="H3027" s="6" t="s">
        <v>918</v>
      </c>
      <c r="I3027" s="6" t="s">
        <v>20</v>
      </c>
      <c r="J3027" s="6">
        <v>2023.0</v>
      </c>
      <c r="K3027" s="10">
        <v>46116.0</v>
      </c>
      <c r="L3027" s="6">
        <v>1.0</v>
      </c>
      <c r="M3027" s="8">
        <f t="shared" si="4"/>
        <v>0.1</v>
      </c>
      <c r="P3027" s="9"/>
    </row>
    <row r="3028">
      <c r="A3028" s="6" t="s">
        <v>7074</v>
      </c>
      <c r="B3028" s="6" t="s">
        <v>610</v>
      </c>
      <c r="C3028" s="6" t="s">
        <v>37</v>
      </c>
      <c r="D3028" s="6" t="s">
        <v>7075</v>
      </c>
      <c r="E3028" s="6" t="s">
        <v>825</v>
      </c>
      <c r="F3028" s="6" t="s">
        <v>112</v>
      </c>
      <c r="G3028" s="7">
        <v>0.09</v>
      </c>
      <c r="H3028" s="6" t="s">
        <v>104</v>
      </c>
      <c r="I3028" s="6" t="s">
        <v>20</v>
      </c>
      <c r="J3028" s="6">
        <v>2019.0</v>
      </c>
      <c r="K3028" s="10">
        <v>46055.0</v>
      </c>
      <c r="L3028" s="6">
        <v>1.0</v>
      </c>
      <c r="M3028" s="8">
        <f t="shared" si="4"/>
        <v>0.09</v>
      </c>
      <c r="P3028" s="9"/>
    </row>
    <row r="3029">
      <c r="A3029" s="6" t="s">
        <v>7076</v>
      </c>
      <c r="B3029" s="6" t="s">
        <v>7077</v>
      </c>
      <c r="C3029" s="6" t="s">
        <v>37</v>
      </c>
      <c r="D3029" s="6" t="s">
        <v>7078</v>
      </c>
      <c r="E3029" s="6" t="s">
        <v>176</v>
      </c>
      <c r="F3029" s="6" t="s">
        <v>77</v>
      </c>
      <c r="G3029" s="7">
        <v>0.39</v>
      </c>
      <c r="H3029" s="6" t="s">
        <v>113</v>
      </c>
      <c r="I3029" s="6" t="s">
        <v>20</v>
      </c>
      <c r="J3029" s="6">
        <v>2023.0</v>
      </c>
      <c r="K3029" s="10">
        <v>46055.0</v>
      </c>
      <c r="L3029" s="6">
        <v>2.0</v>
      </c>
      <c r="M3029" s="8">
        <f t="shared" si="4"/>
        <v>0.78</v>
      </c>
      <c r="P3029" s="9"/>
    </row>
    <row r="3030">
      <c r="A3030" s="6" t="s">
        <v>7079</v>
      </c>
      <c r="B3030" s="6" t="s">
        <v>138</v>
      </c>
      <c r="C3030" s="6" t="s">
        <v>37</v>
      </c>
      <c r="D3030" s="6" t="s">
        <v>7080</v>
      </c>
      <c r="E3030" s="6" t="s">
        <v>5032</v>
      </c>
      <c r="F3030" s="6" t="s">
        <v>159</v>
      </c>
      <c r="G3030" s="7">
        <v>0.16</v>
      </c>
      <c r="H3030" s="6" t="s">
        <v>136</v>
      </c>
      <c r="I3030" s="6" t="s">
        <v>20</v>
      </c>
      <c r="J3030" s="6">
        <v>2026.0</v>
      </c>
      <c r="L3030" s="6">
        <v>1.0</v>
      </c>
      <c r="M3030" s="8">
        <f t="shared" si="4"/>
        <v>0.16</v>
      </c>
      <c r="P3030" s="9"/>
    </row>
    <row r="3031">
      <c r="A3031" s="6" t="s">
        <v>7081</v>
      </c>
      <c r="B3031" s="6" t="s">
        <v>162</v>
      </c>
      <c r="C3031" s="6" t="s">
        <v>43</v>
      </c>
      <c r="D3031" s="6" t="s">
        <v>7082</v>
      </c>
      <c r="E3031" s="6" t="s">
        <v>179</v>
      </c>
      <c r="F3031" s="6" t="s">
        <v>112</v>
      </c>
      <c r="G3031" s="7">
        <v>0.03</v>
      </c>
      <c r="H3031" s="6" t="s">
        <v>506</v>
      </c>
      <c r="I3031" s="6" t="s">
        <v>20</v>
      </c>
      <c r="J3031" s="6">
        <v>2016.0</v>
      </c>
      <c r="L3031" s="6">
        <v>4.0</v>
      </c>
      <c r="M3031" s="8">
        <f t="shared" si="4"/>
        <v>0.12</v>
      </c>
      <c r="P3031" s="9"/>
    </row>
    <row r="3032">
      <c r="A3032" s="6" t="s">
        <v>7083</v>
      </c>
      <c r="B3032" s="6" t="s">
        <v>7084</v>
      </c>
      <c r="C3032" s="6" t="s">
        <v>23</v>
      </c>
      <c r="D3032" s="6" t="s">
        <v>7085</v>
      </c>
      <c r="E3032" s="6" t="s">
        <v>2709</v>
      </c>
      <c r="F3032" s="6" t="s">
        <v>18</v>
      </c>
      <c r="G3032" s="7">
        <v>0.26</v>
      </c>
      <c r="H3032" s="6" t="s">
        <v>342</v>
      </c>
      <c r="I3032" s="6" t="s">
        <v>20</v>
      </c>
      <c r="J3032" s="6">
        <v>2014.0</v>
      </c>
      <c r="K3032" s="10">
        <v>46023.0</v>
      </c>
      <c r="L3032" s="6">
        <v>6.0</v>
      </c>
      <c r="M3032" s="8">
        <f t="shared" si="4"/>
        <v>1.56</v>
      </c>
      <c r="P3032" s="9"/>
    </row>
    <row r="3033">
      <c r="A3033" s="6" t="s">
        <v>7086</v>
      </c>
      <c r="B3033" s="6" t="s">
        <v>6690</v>
      </c>
      <c r="C3033" s="6" t="s">
        <v>37</v>
      </c>
      <c r="D3033" s="6" t="s">
        <v>7087</v>
      </c>
      <c r="E3033" s="6" t="s">
        <v>2030</v>
      </c>
      <c r="F3033" s="6" t="s">
        <v>40</v>
      </c>
      <c r="G3033" s="7">
        <v>0.22</v>
      </c>
      <c r="H3033" s="6" t="s">
        <v>19</v>
      </c>
      <c r="I3033" s="6" t="s">
        <v>20</v>
      </c>
      <c r="J3033" s="6">
        <v>2023.0</v>
      </c>
      <c r="L3033" s="6">
        <v>1.0</v>
      </c>
      <c r="M3033" s="8">
        <f t="shared" si="4"/>
        <v>0.22</v>
      </c>
      <c r="P3033" s="9"/>
    </row>
    <row r="3034">
      <c r="A3034" s="6" t="s">
        <v>7088</v>
      </c>
      <c r="B3034" s="6" t="s">
        <v>7089</v>
      </c>
      <c r="C3034" s="6" t="s">
        <v>43</v>
      </c>
      <c r="D3034" s="6" t="s">
        <v>7090</v>
      </c>
      <c r="E3034" s="6" t="s">
        <v>448</v>
      </c>
      <c r="F3034" s="6" t="s">
        <v>112</v>
      </c>
      <c r="G3034" s="7">
        <v>0.06</v>
      </c>
      <c r="H3034" s="6" t="s">
        <v>297</v>
      </c>
      <c r="I3034" s="6" t="s">
        <v>20</v>
      </c>
      <c r="J3034" s="6">
        <v>2022.0</v>
      </c>
      <c r="K3034" s="10">
        <v>46147.0</v>
      </c>
      <c r="L3034" s="6">
        <v>1.0</v>
      </c>
      <c r="M3034" s="8">
        <f t="shared" si="4"/>
        <v>0.06</v>
      </c>
      <c r="P3034" s="9"/>
    </row>
    <row r="3035">
      <c r="A3035" s="6" t="s">
        <v>7091</v>
      </c>
      <c r="B3035" s="6" t="s">
        <v>292</v>
      </c>
      <c r="C3035" s="6" t="s">
        <v>204</v>
      </c>
      <c r="D3035" s="6" t="s">
        <v>7092</v>
      </c>
      <c r="E3035" s="6" t="s">
        <v>3827</v>
      </c>
      <c r="F3035" s="6" t="s">
        <v>77</v>
      </c>
      <c r="G3035" s="7">
        <v>0.4</v>
      </c>
      <c r="H3035" s="6" t="s">
        <v>238</v>
      </c>
      <c r="I3035" s="6" t="s">
        <v>20</v>
      </c>
      <c r="J3035" s="6">
        <v>2024.0</v>
      </c>
      <c r="L3035" s="6">
        <v>1.0</v>
      </c>
      <c r="M3035" s="8">
        <f t="shared" si="4"/>
        <v>0.4</v>
      </c>
      <c r="P3035" s="9"/>
    </row>
    <row r="3036">
      <c r="A3036" s="6" t="s">
        <v>7093</v>
      </c>
      <c r="B3036" s="6" t="s">
        <v>494</v>
      </c>
      <c r="C3036" s="6" t="s">
        <v>43</v>
      </c>
      <c r="D3036" s="6" t="s">
        <v>7094</v>
      </c>
      <c r="E3036" s="6" t="s">
        <v>579</v>
      </c>
      <c r="F3036" s="6" t="s">
        <v>112</v>
      </c>
      <c r="G3036" s="7">
        <v>0.05</v>
      </c>
      <c r="H3036" s="6" t="s">
        <v>104</v>
      </c>
      <c r="I3036" s="6" t="s">
        <v>20</v>
      </c>
      <c r="J3036" s="6">
        <v>2019.0</v>
      </c>
      <c r="L3036" s="6">
        <v>4.0</v>
      </c>
      <c r="M3036" s="8">
        <f t="shared" si="4"/>
        <v>0.2</v>
      </c>
      <c r="P3036" s="9"/>
    </row>
    <row r="3037">
      <c r="A3037" s="6" t="s">
        <v>7095</v>
      </c>
      <c r="B3037" s="6" t="s">
        <v>7096</v>
      </c>
      <c r="C3037" s="6" t="s">
        <v>30</v>
      </c>
      <c r="D3037" s="6" t="s">
        <v>7097</v>
      </c>
      <c r="E3037" s="6" t="s">
        <v>39</v>
      </c>
      <c r="F3037" s="6" t="s">
        <v>40</v>
      </c>
      <c r="G3037" s="7">
        <v>0.85</v>
      </c>
      <c r="H3037" s="6" t="s">
        <v>232</v>
      </c>
      <c r="I3037" s="6" t="s">
        <v>20</v>
      </c>
      <c r="J3037" s="6">
        <v>2010.0</v>
      </c>
      <c r="K3037" s="10">
        <v>46083.0</v>
      </c>
      <c r="L3037" s="6">
        <v>3.0</v>
      </c>
      <c r="M3037" s="8">
        <f t="shared" si="4"/>
        <v>2.55</v>
      </c>
      <c r="P3037" s="9"/>
    </row>
    <row r="3038">
      <c r="A3038" s="6" t="s">
        <v>7098</v>
      </c>
      <c r="B3038" s="6" t="s">
        <v>213</v>
      </c>
      <c r="C3038" s="6" t="s">
        <v>7099</v>
      </c>
      <c r="D3038" s="6" t="s">
        <v>7100</v>
      </c>
      <c r="E3038" s="6" t="s">
        <v>215</v>
      </c>
      <c r="F3038" s="6" t="s">
        <v>26</v>
      </c>
      <c r="G3038" s="7">
        <v>1.5</v>
      </c>
      <c r="H3038" s="6" t="s">
        <v>7101</v>
      </c>
      <c r="I3038" s="6" t="s">
        <v>20</v>
      </c>
      <c r="J3038" s="6">
        <v>2024.0</v>
      </c>
      <c r="L3038" s="6">
        <v>4.0</v>
      </c>
      <c r="M3038" s="8">
        <f t="shared" si="4"/>
        <v>6</v>
      </c>
      <c r="P3038" s="9"/>
    </row>
    <row r="3039">
      <c r="A3039" s="6" t="s">
        <v>7102</v>
      </c>
      <c r="B3039" s="6" t="s">
        <v>7103</v>
      </c>
      <c r="C3039" s="6" t="s">
        <v>37</v>
      </c>
      <c r="D3039" s="6" t="s">
        <v>7104</v>
      </c>
      <c r="E3039" s="6" t="s">
        <v>98</v>
      </c>
      <c r="F3039" s="6" t="s">
        <v>18</v>
      </c>
      <c r="G3039" s="7">
        <v>0.04</v>
      </c>
      <c r="H3039" s="6" t="s">
        <v>787</v>
      </c>
      <c r="I3039" s="6" t="s">
        <v>20</v>
      </c>
      <c r="J3039" s="6">
        <v>2023.0</v>
      </c>
      <c r="L3039" s="6">
        <v>1.0</v>
      </c>
      <c r="M3039" s="8">
        <f t="shared" si="4"/>
        <v>0.04</v>
      </c>
      <c r="P3039" s="9"/>
    </row>
    <row r="3040">
      <c r="A3040" s="6" t="s">
        <v>7105</v>
      </c>
      <c r="B3040" s="6" t="s">
        <v>7106</v>
      </c>
      <c r="C3040" s="6" t="s">
        <v>37</v>
      </c>
      <c r="D3040" s="6" t="s">
        <v>7107</v>
      </c>
      <c r="E3040" s="6" t="s">
        <v>3602</v>
      </c>
      <c r="F3040" s="6" t="s">
        <v>636</v>
      </c>
      <c r="G3040" s="7">
        <v>0.48</v>
      </c>
      <c r="H3040" s="6" t="s">
        <v>1927</v>
      </c>
      <c r="I3040" s="6" t="s">
        <v>20</v>
      </c>
      <c r="J3040" s="6">
        <v>2025.0</v>
      </c>
      <c r="K3040" s="10">
        <v>46114.0</v>
      </c>
      <c r="L3040" s="6">
        <v>1.0</v>
      </c>
      <c r="M3040" s="8">
        <f t="shared" si="4"/>
        <v>0.48</v>
      </c>
      <c r="P3040" s="9"/>
    </row>
    <row r="3041">
      <c r="A3041" s="6" t="s">
        <v>7108</v>
      </c>
      <c r="B3041" s="6" t="s">
        <v>7109</v>
      </c>
      <c r="C3041" s="6" t="s">
        <v>43</v>
      </c>
      <c r="D3041" s="6" t="s">
        <v>7110</v>
      </c>
      <c r="E3041" s="6" t="s">
        <v>57</v>
      </c>
      <c r="F3041" s="6" t="s">
        <v>40</v>
      </c>
      <c r="G3041" s="7">
        <v>0.23</v>
      </c>
      <c r="H3041" s="6" t="s">
        <v>428</v>
      </c>
      <c r="I3041" s="6" t="s">
        <v>20</v>
      </c>
      <c r="J3041" s="6">
        <v>2022.0</v>
      </c>
      <c r="K3041" s="10">
        <v>46082.0</v>
      </c>
      <c r="L3041" s="6">
        <v>1.0</v>
      </c>
      <c r="M3041" s="8">
        <f t="shared" si="4"/>
        <v>0.23</v>
      </c>
      <c r="P3041" s="9"/>
    </row>
    <row r="3042">
      <c r="A3042" s="6" t="s">
        <v>7111</v>
      </c>
      <c r="B3042" s="6" t="s">
        <v>192</v>
      </c>
      <c r="C3042" s="6" t="s">
        <v>37</v>
      </c>
      <c r="D3042" s="6" t="s">
        <v>7112</v>
      </c>
      <c r="E3042" s="6" t="s">
        <v>994</v>
      </c>
      <c r="F3042" s="6" t="s">
        <v>26</v>
      </c>
      <c r="G3042" s="7">
        <v>0.15</v>
      </c>
      <c r="H3042" s="6" t="s">
        <v>324</v>
      </c>
      <c r="I3042" s="6" t="s">
        <v>20</v>
      </c>
      <c r="J3042" s="6">
        <v>1995.0</v>
      </c>
      <c r="L3042" s="6">
        <v>1.0</v>
      </c>
      <c r="M3042" s="8">
        <f t="shared" si="4"/>
        <v>0.15</v>
      </c>
      <c r="P3042" s="9"/>
    </row>
    <row r="3043">
      <c r="A3043" s="6" t="s">
        <v>7111</v>
      </c>
      <c r="B3043" s="6" t="s">
        <v>192</v>
      </c>
      <c r="C3043" s="6" t="s">
        <v>37</v>
      </c>
      <c r="D3043" s="6" t="s">
        <v>7112</v>
      </c>
      <c r="E3043" s="6" t="s">
        <v>994</v>
      </c>
      <c r="F3043" s="6" t="s">
        <v>26</v>
      </c>
      <c r="G3043" s="7">
        <v>0.35</v>
      </c>
      <c r="H3043" s="6" t="s">
        <v>316</v>
      </c>
      <c r="I3043" s="6" t="s">
        <v>20</v>
      </c>
      <c r="J3043" s="6">
        <v>1995.0</v>
      </c>
      <c r="L3043" s="6">
        <v>1.0</v>
      </c>
      <c r="M3043" s="8">
        <f t="shared" si="4"/>
        <v>0.35</v>
      </c>
      <c r="P3043" s="9"/>
    </row>
    <row r="3044">
      <c r="A3044" s="6" t="s">
        <v>7113</v>
      </c>
      <c r="B3044" s="6" t="s">
        <v>192</v>
      </c>
      <c r="C3044" s="6" t="s">
        <v>37</v>
      </c>
      <c r="D3044" s="6" t="s">
        <v>7114</v>
      </c>
      <c r="E3044" s="6" t="s">
        <v>25</v>
      </c>
      <c r="F3044" s="6" t="s">
        <v>26</v>
      </c>
      <c r="G3044" s="7">
        <v>0.1</v>
      </c>
      <c r="H3044" s="6" t="s">
        <v>324</v>
      </c>
      <c r="I3044" s="6" t="s">
        <v>20</v>
      </c>
      <c r="J3044" s="6">
        <v>1995.0</v>
      </c>
      <c r="L3044" s="6">
        <v>2.0</v>
      </c>
      <c r="M3044" s="8">
        <f t="shared" si="4"/>
        <v>0.2</v>
      </c>
      <c r="P3044" s="9"/>
    </row>
    <row r="3045">
      <c r="A3045" s="6" t="s">
        <v>7115</v>
      </c>
      <c r="B3045" s="6" t="s">
        <v>603</v>
      </c>
      <c r="C3045" s="6" t="s">
        <v>43</v>
      </c>
      <c r="D3045" s="6" t="s">
        <v>7116</v>
      </c>
      <c r="E3045" s="6" t="s">
        <v>57</v>
      </c>
      <c r="F3045" s="6" t="s">
        <v>40</v>
      </c>
      <c r="G3045" s="7">
        <v>0.05</v>
      </c>
      <c r="H3045" s="6" t="s">
        <v>165</v>
      </c>
      <c r="I3045" s="6" t="s">
        <v>20</v>
      </c>
      <c r="J3045" s="6">
        <v>2020.0</v>
      </c>
      <c r="K3045" s="10">
        <v>46055.0</v>
      </c>
      <c r="L3045" s="6">
        <v>1.0</v>
      </c>
      <c r="M3045" s="8">
        <f t="shared" si="4"/>
        <v>0.05</v>
      </c>
      <c r="P3045" s="9"/>
    </row>
    <row r="3046">
      <c r="A3046" s="6" t="s">
        <v>7117</v>
      </c>
      <c r="B3046" s="6" t="s">
        <v>52</v>
      </c>
      <c r="C3046" s="6" t="s">
        <v>43</v>
      </c>
      <c r="D3046" s="6" t="s">
        <v>7118</v>
      </c>
      <c r="F3046" s="6" t="s">
        <v>50</v>
      </c>
      <c r="G3046" s="7">
        <v>0.13</v>
      </c>
      <c r="H3046" s="6" t="s">
        <v>136</v>
      </c>
      <c r="I3046" s="6" t="s">
        <v>20</v>
      </c>
      <c r="J3046" s="6">
        <v>2026.0</v>
      </c>
      <c r="L3046" s="6">
        <v>1.0</v>
      </c>
      <c r="M3046" s="8">
        <f t="shared" si="4"/>
        <v>0.13</v>
      </c>
      <c r="P3046" s="9"/>
    </row>
    <row r="3047">
      <c r="A3047" s="6" t="s">
        <v>7119</v>
      </c>
      <c r="B3047" s="6" t="s">
        <v>162</v>
      </c>
      <c r="C3047" s="6" t="s">
        <v>43</v>
      </c>
      <c r="D3047" s="6" t="s">
        <v>7120</v>
      </c>
      <c r="E3047" s="6" t="s">
        <v>140</v>
      </c>
      <c r="F3047" s="6" t="s">
        <v>87</v>
      </c>
      <c r="G3047" s="7">
        <v>0.5</v>
      </c>
      <c r="H3047" s="6" t="s">
        <v>582</v>
      </c>
      <c r="I3047" s="6" t="s">
        <v>20</v>
      </c>
      <c r="J3047" s="6">
        <v>2023.0</v>
      </c>
      <c r="L3047" s="6">
        <v>1.0</v>
      </c>
      <c r="M3047" s="8">
        <f t="shared" si="4"/>
        <v>0.5</v>
      </c>
      <c r="P3047" s="9"/>
    </row>
    <row r="3048">
      <c r="A3048" s="6" t="s">
        <v>7121</v>
      </c>
      <c r="B3048" s="6" t="s">
        <v>3050</v>
      </c>
      <c r="C3048" s="6" t="s">
        <v>43</v>
      </c>
      <c r="D3048" s="6" t="s">
        <v>7122</v>
      </c>
      <c r="E3048" s="6" t="s">
        <v>86</v>
      </c>
      <c r="F3048" s="6" t="s">
        <v>87</v>
      </c>
      <c r="G3048" s="7">
        <v>0.16</v>
      </c>
      <c r="H3048" s="6" t="s">
        <v>165</v>
      </c>
      <c r="I3048" s="6" t="s">
        <v>20</v>
      </c>
      <c r="J3048" s="6">
        <v>2020.0</v>
      </c>
      <c r="K3048" s="10">
        <v>46082.0</v>
      </c>
      <c r="L3048" s="6">
        <v>2.0</v>
      </c>
      <c r="M3048" s="8">
        <f t="shared" si="4"/>
        <v>0.32</v>
      </c>
      <c r="P3048" s="9"/>
    </row>
    <row r="3049">
      <c r="A3049" s="6" t="s">
        <v>7123</v>
      </c>
      <c r="B3049" s="6" t="s">
        <v>829</v>
      </c>
      <c r="C3049" s="6" t="s">
        <v>15</v>
      </c>
      <c r="D3049" s="6" t="s">
        <v>7124</v>
      </c>
      <c r="E3049" s="6" t="s">
        <v>994</v>
      </c>
      <c r="F3049" s="6" t="s">
        <v>26</v>
      </c>
      <c r="G3049" s="7">
        <v>0.14</v>
      </c>
      <c r="H3049" s="6" t="s">
        <v>1584</v>
      </c>
      <c r="I3049" s="6" t="s">
        <v>20</v>
      </c>
      <c r="J3049" s="6">
        <v>1997.0</v>
      </c>
      <c r="K3049" s="10">
        <v>46025.0</v>
      </c>
      <c r="L3049" s="6">
        <v>1.0</v>
      </c>
      <c r="M3049" s="8">
        <f t="shared" si="4"/>
        <v>0.14</v>
      </c>
      <c r="P3049" s="9"/>
    </row>
    <row r="3050">
      <c r="A3050" s="6" t="s">
        <v>7125</v>
      </c>
      <c r="B3050" s="6" t="s">
        <v>7126</v>
      </c>
      <c r="C3050" s="6" t="s">
        <v>30</v>
      </c>
      <c r="D3050" s="6" t="s">
        <v>7127</v>
      </c>
      <c r="E3050" s="6" t="s">
        <v>356</v>
      </c>
      <c r="F3050" s="6" t="s">
        <v>87</v>
      </c>
      <c r="G3050" s="7">
        <v>2.5</v>
      </c>
      <c r="H3050" s="6" t="s">
        <v>259</v>
      </c>
      <c r="I3050" s="6" t="s">
        <v>20</v>
      </c>
      <c r="J3050" s="6">
        <v>1996.0</v>
      </c>
      <c r="K3050" s="10">
        <v>46055.0</v>
      </c>
      <c r="L3050" s="6">
        <v>1.0</v>
      </c>
      <c r="M3050" s="8">
        <f t="shared" si="4"/>
        <v>2.5</v>
      </c>
      <c r="P3050" s="9"/>
    </row>
    <row r="3051">
      <c r="A3051" s="6" t="s">
        <v>7128</v>
      </c>
      <c r="B3051" s="6" t="s">
        <v>5761</v>
      </c>
      <c r="C3051" s="6" t="s">
        <v>156</v>
      </c>
      <c r="D3051" s="6" t="s">
        <v>7129</v>
      </c>
      <c r="E3051" s="6" t="s">
        <v>7130</v>
      </c>
      <c r="F3051" s="6" t="s">
        <v>965</v>
      </c>
      <c r="G3051" s="7">
        <v>0.53</v>
      </c>
      <c r="H3051" s="6" t="s">
        <v>153</v>
      </c>
      <c r="I3051" s="6" t="s">
        <v>20</v>
      </c>
      <c r="J3051" s="6">
        <v>2025.0</v>
      </c>
      <c r="K3051" s="10">
        <v>46084.0</v>
      </c>
      <c r="L3051" s="6">
        <v>1.0</v>
      </c>
      <c r="M3051" s="8">
        <f t="shared" si="4"/>
        <v>0.53</v>
      </c>
      <c r="P3051" s="9"/>
    </row>
    <row r="3052">
      <c r="A3052" s="6" t="s">
        <v>7131</v>
      </c>
      <c r="B3052" s="6" t="s">
        <v>2192</v>
      </c>
      <c r="C3052" s="6" t="s">
        <v>30</v>
      </c>
      <c r="D3052" s="6" t="s">
        <v>7132</v>
      </c>
      <c r="E3052" s="6" t="s">
        <v>176</v>
      </c>
      <c r="F3052" s="6" t="s">
        <v>7133</v>
      </c>
      <c r="G3052" s="7">
        <v>0.19</v>
      </c>
      <c r="H3052" s="6" t="s">
        <v>2041</v>
      </c>
      <c r="I3052" s="6" t="s">
        <v>20</v>
      </c>
      <c r="J3052" s="6">
        <v>1998.0</v>
      </c>
      <c r="K3052" s="10">
        <v>46084.0</v>
      </c>
      <c r="L3052" s="6">
        <v>1.0</v>
      </c>
      <c r="M3052" s="8">
        <f t="shared" si="4"/>
        <v>0.19</v>
      </c>
      <c r="P3052" s="9"/>
    </row>
    <row r="3053">
      <c r="A3053" s="6" t="s">
        <v>7134</v>
      </c>
      <c r="B3053" s="6" t="s">
        <v>7135</v>
      </c>
      <c r="C3053" s="6" t="s">
        <v>37</v>
      </c>
      <c r="D3053" s="6" t="s">
        <v>7136</v>
      </c>
      <c r="E3053" s="6" t="s">
        <v>7137</v>
      </c>
      <c r="F3053" s="6" t="s">
        <v>112</v>
      </c>
      <c r="G3053" s="7">
        <v>0.44</v>
      </c>
      <c r="H3053" s="6" t="s">
        <v>918</v>
      </c>
      <c r="I3053" s="6" t="s">
        <v>45</v>
      </c>
      <c r="J3053" s="6">
        <v>2023.0</v>
      </c>
      <c r="K3053" s="10">
        <v>46115.0</v>
      </c>
      <c r="L3053" s="6">
        <v>1.0</v>
      </c>
      <c r="M3053" s="8">
        <f t="shared" si="4"/>
        <v>0.44</v>
      </c>
      <c r="P3053" s="9"/>
    </row>
    <row r="3054">
      <c r="A3054" s="6" t="s">
        <v>7138</v>
      </c>
      <c r="B3054" s="6" t="s">
        <v>1875</v>
      </c>
      <c r="C3054" s="6" t="s">
        <v>43</v>
      </c>
      <c r="D3054" s="6" t="s">
        <v>7139</v>
      </c>
      <c r="E3054" s="6" t="s">
        <v>76</v>
      </c>
      <c r="F3054" s="6" t="s">
        <v>77</v>
      </c>
      <c r="G3054" s="7">
        <v>0.03</v>
      </c>
      <c r="H3054" s="6" t="s">
        <v>382</v>
      </c>
      <c r="I3054" s="6" t="s">
        <v>20</v>
      </c>
      <c r="J3054" s="6">
        <v>2020.0</v>
      </c>
      <c r="K3054" s="10">
        <v>46055.0</v>
      </c>
      <c r="L3054" s="6">
        <v>1.0</v>
      </c>
      <c r="M3054" s="8">
        <f t="shared" si="4"/>
        <v>0.03</v>
      </c>
      <c r="P3054" s="9"/>
    </row>
    <row r="3055">
      <c r="A3055" s="6" t="s">
        <v>7140</v>
      </c>
      <c r="B3055" s="6" t="s">
        <v>119</v>
      </c>
      <c r="C3055" s="6" t="s">
        <v>204</v>
      </c>
      <c r="D3055" s="6" t="s">
        <v>7141</v>
      </c>
      <c r="E3055" s="6" t="s">
        <v>224</v>
      </c>
      <c r="F3055" s="6" t="s">
        <v>7142</v>
      </c>
      <c r="G3055" s="7">
        <v>0.05</v>
      </c>
      <c r="H3055" s="6" t="s">
        <v>471</v>
      </c>
      <c r="I3055" s="6" t="s">
        <v>20</v>
      </c>
      <c r="J3055" s="6">
        <v>2026.0</v>
      </c>
      <c r="L3055" s="6">
        <v>2.0</v>
      </c>
      <c r="M3055" s="8">
        <f t="shared" si="4"/>
        <v>0.1</v>
      </c>
      <c r="P3055" s="9"/>
    </row>
    <row r="3056">
      <c r="A3056" s="6" t="s">
        <v>7143</v>
      </c>
      <c r="B3056" s="6" t="s">
        <v>162</v>
      </c>
      <c r="C3056" s="6" t="s">
        <v>43</v>
      </c>
      <c r="D3056" s="6" t="s">
        <v>7144</v>
      </c>
      <c r="E3056" s="6" t="s">
        <v>654</v>
      </c>
      <c r="F3056" s="6" t="s">
        <v>18</v>
      </c>
      <c r="G3056" s="7">
        <v>0.23</v>
      </c>
      <c r="H3056" s="6" t="s">
        <v>3369</v>
      </c>
      <c r="I3056" s="6" t="s">
        <v>20</v>
      </c>
      <c r="J3056" s="6">
        <v>2003.0</v>
      </c>
      <c r="L3056" s="6">
        <v>1.0</v>
      </c>
      <c r="M3056" s="8">
        <f t="shared" si="4"/>
        <v>0.23</v>
      </c>
      <c r="P3056" s="9"/>
    </row>
    <row r="3057">
      <c r="A3057" s="6" t="s">
        <v>7145</v>
      </c>
      <c r="B3057" s="6" t="s">
        <v>74</v>
      </c>
      <c r="C3057" s="6" t="s">
        <v>37</v>
      </c>
      <c r="D3057" s="6" t="s">
        <v>7146</v>
      </c>
      <c r="E3057" s="6" t="s">
        <v>7147</v>
      </c>
      <c r="F3057" s="6" t="s">
        <v>4080</v>
      </c>
      <c r="G3057" s="7">
        <v>0.09</v>
      </c>
      <c r="H3057" s="6" t="s">
        <v>922</v>
      </c>
      <c r="I3057" s="6" t="s">
        <v>20</v>
      </c>
      <c r="J3057" s="6">
        <v>2014.0</v>
      </c>
      <c r="L3057" s="6">
        <v>1.0</v>
      </c>
      <c r="M3057" s="8">
        <f t="shared" si="4"/>
        <v>0.09</v>
      </c>
      <c r="N3057" s="6" t="s">
        <v>374</v>
      </c>
      <c r="P3057" s="9"/>
    </row>
    <row r="3058">
      <c r="A3058" s="6" t="s">
        <v>7148</v>
      </c>
      <c r="B3058" s="6" t="s">
        <v>462</v>
      </c>
      <c r="C3058" s="6" t="s">
        <v>377</v>
      </c>
      <c r="D3058" s="6" t="s">
        <v>7149</v>
      </c>
      <c r="E3058" s="6" t="s">
        <v>329</v>
      </c>
      <c r="F3058" s="6" t="s">
        <v>112</v>
      </c>
      <c r="G3058" s="7">
        <v>0.1</v>
      </c>
      <c r="H3058" s="6" t="s">
        <v>471</v>
      </c>
      <c r="I3058" s="6" t="s">
        <v>20</v>
      </c>
      <c r="J3058" s="6">
        <v>2026.0</v>
      </c>
      <c r="L3058" s="6">
        <v>2.0</v>
      </c>
      <c r="M3058" s="8">
        <f t="shared" si="4"/>
        <v>0.2</v>
      </c>
      <c r="P3058" s="9"/>
    </row>
    <row r="3059">
      <c r="A3059" s="6" t="s">
        <v>7150</v>
      </c>
      <c r="B3059" s="6" t="s">
        <v>7151</v>
      </c>
      <c r="C3059" s="6" t="s">
        <v>30</v>
      </c>
      <c r="D3059" s="6" t="s">
        <v>7152</v>
      </c>
      <c r="E3059" s="6" t="s">
        <v>164</v>
      </c>
      <c r="F3059" s="6" t="s">
        <v>112</v>
      </c>
      <c r="G3059" s="7">
        <v>1.0</v>
      </c>
      <c r="H3059" s="6" t="s">
        <v>746</v>
      </c>
      <c r="I3059" s="6" t="s">
        <v>20</v>
      </c>
      <c r="J3059" s="6">
        <v>2024.0</v>
      </c>
      <c r="K3059" s="10">
        <v>46055.0</v>
      </c>
      <c r="L3059" s="6">
        <v>1.0</v>
      </c>
      <c r="M3059" s="8">
        <f t="shared" si="4"/>
        <v>1</v>
      </c>
      <c r="N3059" s="6" t="s">
        <v>122</v>
      </c>
      <c r="P3059" s="9"/>
    </row>
    <row r="3060">
      <c r="A3060" s="6" t="s">
        <v>7153</v>
      </c>
      <c r="B3060" s="6" t="s">
        <v>138</v>
      </c>
      <c r="C3060" s="6" t="s">
        <v>43</v>
      </c>
      <c r="D3060" s="6" t="s">
        <v>6041</v>
      </c>
      <c r="E3060" s="6" t="s">
        <v>164</v>
      </c>
      <c r="F3060" s="6" t="s">
        <v>112</v>
      </c>
      <c r="G3060" s="7">
        <v>0.1</v>
      </c>
      <c r="H3060" s="6" t="s">
        <v>136</v>
      </c>
      <c r="I3060" s="6" t="s">
        <v>20</v>
      </c>
      <c r="J3060" s="6">
        <v>2026.0</v>
      </c>
      <c r="L3060" s="6">
        <v>4.0</v>
      </c>
      <c r="M3060" s="8">
        <f t="shared" si="4"/>
        <v>0.4</v>
      </c>
      <c r="P3060" s="9"/>
    </row>
    <row r="3061">
      <c r="A3061" s="6" t="s">
        <v>7154</v>
      </c>
      <c r="B3061" s="6" t="s">
        <v>213</v>
      </c>
      <c r="C3061" s="6" t="s">
        <v>23</v>
      </c>
      <c r="D3061" s="6" t="s">
        <v>7155</v>
      </c>
      <c r="E3061" s="6" t="s">
        <v>185</v>
      </c>
      <c r="F3061" s="6" t="s">
        <v>26</v>
      </c>
      <c r="G3061" s="7">
        <v>0.4</v>
      </c>
      <c r="H3061" s="6" t="s">
        <v>297</v>
      </c>
      <c r="I3061" s="6" t="s">
        <v>45</v>
      </c>
      <c r="J3061" s="6">
        <v>2022.0</v>
      </c>
      <c r="L3061" s="6">
        <v>2.0</v>
      </c>
      <c r="M3061" s="8">
        <f t="shared" si="4"/>
        <v>0.8</v>
      </c>
      <c r="P3061" s="9"/>
    </row>
    <row r="3062">
      <c r="A3062" s="6" t="s">
        <v>7156</v>
      </c>
      <c r="B3062" s="6" t="s">
        <v>1731</v>
      </c>
      <c r="C3062" s="6" t="s">
        <v>23</v>
      </c>
      <c r="D3062" s="6" t="s">
        <v>7157</v>
      </c>
      <c r="E3062" s="6" t="s">
        <v>172</v>
      </c>
      <c r="F3062" s="6" t="s">
        <v>26</v>
      </c>
      <c r="G3062" s="7">
        <v>0.19</v>
      </c>
      <c r="H3062" s="6" t="s">
        <v>130</v>
      </c>
      <c r="I3062" s="6" t="s">
        <v>20</v>
      </c>
      <c r="J3062" s="6">
        <v>2014.0</v>
      </c>
      <c r="L3062" s="6">
        <v>2.0</v>
      </c>
      <c r="M3062" s="8">
        <f t="shared" si="4"/>
        <v>0.38</v>
      </c>
      <c r="P3062" s="9"/>
    </row>
    <row r="3063">
      <c r="A3063" s="6" t="s">
        <v>7158</v>
      </c>
      <c r="B3063" s="6" t="s">
        <v>1577</v>
      </c>
      <c r="C3063" s="6" t="s">
        <v>43</v>
      </c>
      <c r="D3063" s="6" t="s">
        <v>7159</v>
      </c>
      <c r="E3063" s="6"/>
      <c r="F3063" s="6" t="s">
        <v>26</v>
      </c>
      <c r="G3063" s="7">
        <v>0.1</v>
      </c>
      <c r="H3063" s="6" t="s">
        <v>72</v>
      </c>
      <c r="I3063" s="6" t="s">
        <v>20</v>
      </c>
      <c r="J3063" s="6">
        <v>2026.0</v>
      </c>
      <c r="K3063" s="6"/>
      <c r="L3063" s="6">
        <v>1.0</v>
      </c>
      <c r="M3063" s="8">
        <f t="shared" si="4"/>
        <v>0.1</v>
      </c>
      <c r="P3063" s="9"/>
    </row>
    <row r="3064">
      <c r="A3064" s="6" t="s">
        <v>7160</v>
      </c>
      <c r="B3064" s="6" t="s">
        <v>74</v>
      </c>
      <c r="C3064" s="6" t="s">
        <v>43</v>
      </c>
      <c r="D3064" s="6" t="s">
        <v>7161</v>
      </c>
      <c r="E3064" s="6" t="s">
        <v>76</v>
      </c>
      <c r="F3064" s="6" t="s">
        <v>77</v>
      </c>
      <c r="G3064" s="7">
        <v>0.15</v>
      </c>
      <c r="H3064" s="6" t="s">
        <v>488</v>
      </c>
      <c r="I3064" s="6" t="s">
        <v>20</v>
      </c>
      <c r="J3064" s="6">
        <v>2023.0</v>
      </c>
      <c r="L3064" s="6">
        <v>1.0</v>
      </c>
      <c r="M3064" s="8">
        <f t="shared" si="4"/>
        <v>0.15</v>
      </c>
      <c r="P3064" s="9"/>
    </row>
    <row r="3065">
      <c r="A3065" s="6" t="s">
        <v>7160</v>
      </c>
      <c r="B3065" s="6" t="s">
        <v>74</v>
      </c>
      <c r="C3065" s="6" t="s">
        <v>43</v>
      </c>
      <c r="D3065" s="6" t="s">
        <v>7161</v>
      </c>
      <c r="E3065" s="6" t="s">
        <v>76</v>
      </c>
      <c r="F3065" s="6" t="s">
        <v>77</v>
      </c>
      <c r="G3065" s="7">
        <v>0.06</v>
      </c>
      <c r="H3065" s="6" t="s">
        <v>324</v>
      </c>
      <c r="I3065" s="6" t="s">
        <v>20</v>
      </c>
      <c r="J3065" s="6">
        <v>1995.0</v>
      </c>
      <c r="L3065" s="6">
        <v>10.0</v>
      </c>
      <c r="M3065" s="8">
        <f t="shared" si="4"/>
        <v>0.6</v>
      </c>
      <c r="P3065" s="9"/>
    </row>
    <row r="3066">
      <c r="A3066" s="6" t="s">
        <v>7160</v>
      </c>
      <c r="B3066" s="6" t="s">
        <v>74</v>
      </c>
      <c r="C3066" s="6" t="s">
        <v>43</v>
      </c>
      <c r="D3066" s="6" t="s">
        <v>7161</v>
      </c>
      <c r="E3066" s="6" t="s">
        <v>76</v>
      </c>
      <c r="F3066" s="6" t="s">
        <v>77</v>
      </c>
      <c r="G3066" s="7">
        <v>0.75</v>
      </c>
      <c r="H3066" s="6" t="s">
        <v>453</v>
      </c>
      <c r="I3066" s="6" t="s">
        <v>20</v>
      </c>
      <c r="J3066" s="6">
        <v>1994.0</v>
      </c>
      <c r="L3066" s="6">
        <v>2.0</v>
      </c>
      <c r="M3066" s="8">
        <f t="shared" si="4"/>
        <v>1.5</v>
      </c>
      <c r="P3066" s="9"/>
    </row>
    <row r="3067">
      <c r="A3067" s="6" t="s">
        <v>7162</v>
      </c>
      <c r="B3067" s="6" t="s">
        <v>7163</v>
      </c>
      <c r="C3067" s="6" t="s">
        <v>30</v>
      </c>
      <c r="D3067" s="6" t="s">
        <v>7164</v>
      </c>
      <c r="E3067" s="6" t="s">
        <v>39</v>
      </c>
      <c r="F3067" s="6" t="s">
        <v>40</v>
      </c>
      <c r="G3067" s="7">
        <v>0.49</v>
      </c>
      <c r="H3067" s="6" t="s">
        <v>144</v>
      </c>
      <c r="I3067" s="6" t="s">
        <v>20</v>
      </c>
      <c r="J3067" s="6">
        <v>2018.0</v>
      </c>
      <c r="K3067" s="10">
        <v>46055.0</v>
      </c>
      <c r="L3067" s="6">
        <v>1.0</v>
      </c>
      <c r="M3067" s="8">
        <f t="shared" si="4"/>
        <v>0.49</v>
      </c>
      <c r="P3067" s="9"/>
    </row>
    <row r="3068">
      <c r="A3068" s="6" t="s">
        <v>7165</v>
      </c>
      <c r="B3068" s="6" t="s">
        <v>1590</v>
      </c>
      <c r="C3068" s="6" t="s">
        <v>43</v>
      </c>
      <c r="D3068" s="6" t="s">
        <v>7166</v>
      </c>
      <c r="E3068" s="6" t="s">
        <v>248</v>
      </c>
      <c r="F3068" s="6" t="s">
        <v>77</v>
      </c>
      <c r="G3068" s="7">
        <v>0.04</v>
      </c>
      <c r="H3068" s="6" t="s">
        <v>787</v>
      </c>
      <c r="I3068" s="6" t="s">
        <v>20</v>
      </c>
      <c r="J3068" s="6">
        <v>2023.0</v>
      </c>
      <c r="K3068" s="10">
        <v>46026.0</v>
      </c>
      <c r="L3068" s="6">
        <v>1.0</v>
      </c>
      <c r="M3068" s="8">
        <f t="shared" si="4"/>
        <v>0.04</v>
      </c>
      <c r="P3068" s="9"/>
    </row>
    <row r="3069">
      <c r="A3069" s="6" t="s">
        <v>7167</v>
      </c>
      <c r="B3069" s="6" t="s">
        <v>102</v>
      </c>
      <c r="C3069" s="6" t="s">
        <v>30</v>
      </c>
      <c r="D3069" s="6" t="s">
        <v>7168</v>
      </c>
      <c r="E3069" s="6" t="s">
        <v>2030</v>
      </c>
      <c r="F3069" s="6" t="s">
        <v>40</v>
      </c>
      <c r="G3069" s="7">
        <v>0.5</v>
      </c>
      <c r="H3069" s="6" t="s">
        <v>903</v>
      </c>
      <c r="I3069" s="6" t="s">
        <v>20</v>
      </c>
      <c r="J3069" s="6">
        <v>2016.0</v>
      </c>
      <c r="K3069" s="10">
        <v>46116.0</v>
      </c>
      <c r="L3069" s="6">
        <v>1.0</v>
      </c>
      <c r="M3069" s="8">
        <f t="shared" si="4"/>
        <v>0.5</v>
      </c>
      <c r="P3069" s="9"/>
    </row>
    <row r="3070">
      <c r="A3070" s="6" t="s">
        <v>7169</v>
      </c>
      <c r="B3070" s="6" t="s">
        <v>213</v>
      </c>
      <c r="C3070" s="6" t="s">
        <v>23</v>
      </c>
      <c r="D3070" s="6" t="s">
        <v>7170</v>
      </c>
      <c r="E3070" s="6" t="s">
        <v>215</v>
      </c>
      <c r="F3070" s="6" t="s">
        <v>26</v>
      </c>
      <c r="G3070" s="7">
        <v>0.05</v>
      </c>
      <c r="H3070" s="6" t="s">
        <v>780</v>
      </c>
      <c r="I3070" s="6" t="s">
        <v>20</v>
      </c>
      <c r="J3070" s="6">
        <v>2025.0</v>
      </c>
      <c r="L3070" s="6">
        <v>1.0</v>
      </c>
      <c r="M3070" s="8">
        <f t="shared" si="4"/>
        <v>0.05</v>
      </c>
      <c r="P3070" s="9"/>
    </row>
    <row r="3071">
      <c r="A3071" s="6" t="s">
        <v>7171</v>
      </c>
      <c r="B3071" s="6" t="s">
        <v>219</v>
      </c>
      <c r="C3071" s="6" t="s">
        <v>43</v>
      </c>
      <c r="D3071" s="6" t="s">
        <v>7172</v>
      </c>
      <c r="E3071" s="6" t="s">
        <v>215</v>
      </c>
      <c r="F3071" s="6" t="s">
        <v>26</v>
      </c>
      <c r="G3071" s="7">
        <v>0.06</v>
      </c>
      <c r="H3071" s="6" t="s">
        <v>7173</v>
      </c>
      <c r="I3071" s="6" t="s">
        <v>20</v>
      </c>
      <c r="J3071" s="6">
        <v>2025.0</v>
      </c>
      <c r="L3071" s="6">
        <v>1.0</v>
      </c>
      <c r="M3071" s="8">
        <f t="shared" si="4"/>
        <v>0.06</v>
      </c>
      <c r="P3071" s="9"/>
    </row>
    <row r="3072">
      <c r="A3072" s="6" t="s">
        <v>7174</v>
      </c>
      <c r="B3072" s="6" t="s">
        <v>7175</v>
      </c>
      <c r="C3072" s="6" t="s">
        <v>23</v>
      </c>
      <c r="D3072" s="6" t="s">
        <v>7176</v>
      </c>
      <c r="E3072" s="6" t="s">
        <v>457</v>
      </c>
      <c r="F3072" s="6" t="s">
        <v>112</v>
      </c>
      <c r="G3072" s="7">
        <v>0.05</v>
      </c>
      <c r="H3072" s="6" t="s">
        <v>780</v>
      </c>
      <c r="I3072" s="6" t="s">
        <v>20</v>
      </c>
      <c r="J3072" s="6">
        <v>2025.0</v>
      </c>
      <c r="K3072" s="10">
        <v>46057.0</v>
      </c>
      <c r="L3072" s="6">
        <v>1.0</v>
      </c>
      <c r="M3072" s="8">
        <f t="shared" si="4"/>
        <v>0.05</v>
      </c>
      <c r="P3072" s="9"/>
    </row>
    <row r="3073">
      <c r="A3073" s="6" t="s">
        <v>7177</v>
      </c>
      <c r="B3073" s="6" t="s">
        <v>6690</v>
      </c>
      <c r="C3073" s="6" t="s">
        <v>37</v>
      </c>
      <c r="D3073" s="6" t="s">
        <v>7178</v>
      </c>
      <c r="E3073" s="6" t="s">
        <v>164</v>
      </c>
      <c r="F3073" s="6" t="s">
        <v>112</v>
      </c>
      <c r="G3073" s="7">
        <v>0.13</v>
      </c>
      <c r="H3073" s="6" t="s">
        <v>113</v>
      </c>
      <c r="I3073" s="6" t="s">
        <v>20</v>
      </c>
      <c r="J3073" s="6">
        <v>2023.0</v>
      </c>
      <c r="L3073" s="6">
        <v>1.0</v>
      </c>
      <c r="M3073" s="8">
        <f t="shared" si="4"/>
        <v>0.13</v>
      </c>
      <c r="P3073" s="9"/>
    </row>
    <row r="3074">
      <c r="A3074" s="6" t="s">
        <v>7179</v>
      </c>
      <c r="B3074" s="6" t="s">
        <v>3932</v>
      </c>
      <c r="C3074" s="6" t="s">
        <v>43</v>
      </c>
      <c r="D3074" s="6" t="s">
        <v>7180</v>
      </c>
      <c r="E3074" s="6" t="s">
        <v>86</v>
      </c>
      <c r="F3074" s="6" t="s">
        <v>87</v>
      </c>
      <c r="G3074" s="7">
        <v>0.05</v>
      </c>
      <c r="H3074" s="6" t="s">
        <v>324</v>
      </c>
      <c r="I3074" s="6" t="s">
        <v>20</v>
      </c>
      <c r="J3074" s="6">
        <v>1995.0</v>
      </c>
      <c r="L3074" s="6">
        <v>2.0</v>
      </c>
      <c r="M3074" s="8">
        <f t="shared" si="4"/>
        <v>0.1</v>
      </c>
      <c r="P3074" s="9"/>
    </row>
    <row r="3075">
      <c r="A3075" s="6" t="s">
        <v>7179</v>
      </c>
      <c r="B3075" s="6" t="s">
        <v>3932</v>
      </c>
      <c r="C3075" s="6" t="s">
        <v>43</v>
      </c>
      <c r="D3075" s="6" t="s">
        <v>7180</v>
      </c>
      <c r="E3075" s="6" t="s">
        <v>86</v>
      </c>
      <c r="F3075" s="6" t="s">
        <v>87</v>
      </c>
      <c r="G3075" s="7">
        <v>0.17</v>
      </c>
      <c r="H3075" s="6" t="s">
        <v>316</v>
      </c>
      <c r="I3075" s="6" t="s">
        <v>20</v>
      </c>
      <c r="J3075" s="6">
        <v>1995.0</v>
      </c>
      <c r="L3075" s="6">
        <v>6.0</v>
      </c>
      <c r="M3075" s="8">
        <f t="shared" si="4"/>
        <v>1.02</v>
      </c>
      <c r="P3075" s="9"/>
    </row>
    <row r="3076">
      <c r="A3076" s="6" t="s">
        <v>7181</v>
      </c>
      <c r="B3076" s="6" t="s">
        <v>440</v>
      </c>
      <c r="C3076" s="6" t="s">
        <v>309</v>
      </c>
      <c r="D3076" s="6" t="s">
        <v>7182</v>
      </c>
      <c r="E3076" s="6" t="s">
        <v>1752</v>
      </c>
      <c r="F3076" s="6" t="s">
        <v>697</v>
      </c>
      <c r="G3076" s="7">
        <v>29.98</v>
      </c>
      <c r="H3076" s="6" t="s">
        <v>2041</v>
      </c>
      <c r="I3076" s="6" t="s">
        <v>20</v>
      </c>
      <c r="J3076" s="6">
        <v>1998.0</v>
      </c>
      <c r="L3076" s="6">
        <v>1.0</v>
      </c>
      <c r="M3076" s="8">
        <f t="shared" si="4"/>
        <v>29.98</v>
      </c>
      <c r="P3076" s="9"/>
    </row>
    <row r="3077">
      <c r="A3077" s="6" t="s">
        <v>7183</v>
      </c>
      <c r="B3077" s="6" t="s">
        <v>4478</v>
      </c>
      <c r="C3077" s="6" t="s">
        <v>1488</v>
      </c>
      <c r="D3077" s="6" t="s">
        <v>7184</v>
      </c>
      <c r="E3077" s="6" t="s">
        <v>1093</v>
      </c>
      <c r="F3077" s="6" t="s">
        <v>77</v>
      </c>
      <c r="G3077" s="7">
        <v>17.99</v>
      </c>
      <c r="H3077" s="6" t="s">
        <v>136</v>
      </c>
      <c r="I3077" s="6" t="s">
        <v>20</v>
      </c>
      <c r="J3077" s="6">
        <v>2026.0</v>
      </c>
      <c r="L3077" s="6">
        <v>1.0</v>
      </c>
      <c r="M3077" s="8">
        <f t="shared" si="4"/>
        <v>17.99</v>
      </c>
      <c r="P3077" s="9"/>
    </row>
    <row r="3078">
      <c r="A3078" s="6" t="s">
        <v>7185</v>
      </c>
      <c r="B3078" s="6" t="s">
        <v>115</v>
      </c>
      <c r="C3078" s="6" t="s">
        <v>15</v>
      </c>
      <c r="D3078" s="6" t="s">
        <v>7186</v>
      </c>
      <c r="E3078" s="6" t="s">
        <v>7187</v>
      </c>
      <c r="F3078" s="6" t="s">
        <v>40</v>
      </c>
      <c r="G3078" s="7">
        <v>0.12</v>
      </c>
      <c r="H3078" s="6" t="s">
        <v>153</v>
      </c>
      <c r="I3078" s="6" t="s">
        <v>20</v>
      </c>
      <c r="J3078" s="6">
        <v>2025.0</v>
      </c>
      <c r="L3078" s="6">
        <v>1.0</v>
      </c>
      <c r="M3078" s="8">
        <f t="shared" si="4"/>
        <v>0.12</v>
      </c>
      <c r="P3078" s="9"/>
    </row>
    <row r="3079">
      <c r="A3079" s="6" t="s">
        <v>7188</v>
      </c>
      <c r="B3079" s="6" t="s">
        <v>7189</v>
      </c>
      <c r="C3079" s="6" t="s">
        <v>43</v>
      </c>
      <c r="D3079" s="6" t="s">
        <v>7190</v>
      </c>
      <c r="F3079" s="6" t="s">
        <v>77</v>
      </c>
      <c r="G3079" s="7">
        <v>0.1</v>
      </c>
      <c r="H3079" s="6" t="s">
        <v>787</v>
      </c>
      <c r="I3079" s="6" t="s">
        <v>20</v>
      </c>
      <c r="J3079" s="6">
        <v>2023.0</v>
      </c>
      <c r="L3079" s="6">
        <v>1.0</v>
      </c>
      <c r="M3079" s="8">
        <f t="shared" si="4"/>
        <v>0.1</v>
      </c>
      <c r="P3079" s="9"/>
    </row>
    <row r="3080">
      <c r="A3080" s="6" t="s">
        <v>7191</v>
      </c>
      <c r="B3080" s="6" t="s">
        <v>1295</v>
      </c>
      <c r="C3080" s="6" t="s">
        <v>30</v>
      </c>
      <c r="D3080" s="6" t="s">
        <v>7192</v>
      </c>
      <c r="E3080" s="6" t="s">
        <v>579</v>
      </c>
      <c r="F3080" s="6" t="s">
        <v>112</v>
      </c>
      <c r="G3080" s="7">
        <v>2.49</v>
      </c>
      <c r="H3080" s="6" t="s">
        <v>34</v>
      </c>
      <c r="I3080" s="6" t="s">
        <v>20</v>
      </c>
      <c r="J3080" s="6">
        <v>2025.0</v>
      </c>
      <c r="K3080" s="10">
        <v>46055.0</v>
      </c>
      <c r="L3080" s="6">
        <v>1.0</v>
      </c>
      <c r="M3080" s="8">
        <f t="shared" si="4"/>
        <v>2.49</v>
      </c>
      <c r="P3080" s="9"/>
    </row>
    <row r="3081">
      <c r="A3081" s="6" t="s">
        <v>7193</v>
      </c>
      <c r="B3081" s="6" t="s">
        <v>625</v>
      </c>
      <c r="C3081" s="6" t="s">
        <v>37</v>
      </c>
      <c r="D3081" s="6" t="s">
        <v>7194</v>
      </c>
      <c r="E3081" s="6" t="s">
        <v>7195</v>
      </c>
      <c r="F3081" s="6" t="s">
        <v>77</v>
      </c>
      <c r="G3081" s="7">
        <v>0.19</v>
      </c>
      <c r="H3081" s="6" t="s">
        <v>141</v>
      </c>
      <c r="I3081" s="6" t="s">
        <v>20</v>
      </c>
      <c r="J3081" s="6">
        <v>1995.0</v>
      </c>
      <c r="K3081" s="10">
        <v>46083.0</v>
      </c>
      <c r="L3081" s="6">
        <v>2.0</v>
      </c>
      <c r="M3081" s="8">
        <f t="shared" si="4"/>
        <v>0.38</v>
      </c>
      <c r="P3081" s="9"/>
    </row>
    <row r="3082">
      <c r="A3082" s="6" t="s">
        <v>7196</v>
      </c>
      <c r="B3082" s="6" t="s">
        <v>115</v>
      </c>
      <c r="C3082" s="6" t="s">
        <v>15</v>
      </c>
      <c r="D3082" s="6" t="s">
        <v>7197</v>
      </c>
      <c r="E3082" s="6" t="s">
        <v>6731</v>
      </c>
      <c r="F3082" s="6" t="s">
        <v>77</v>
      </c>
      <c r="G3082" s="7">
        <v>0.2</v>
      </c>
      <c r="H3082" s="6" t="s">
        <v>153</v>
      </c>
      <c r="I3082" s="6" t="s">
        <v>20</v>
      </c>
      <c r="J3082" s="6">
        <v>2025.0</v>
      </c>
      <c r="L3082" s="6">
        <v>4.0</v>
      </c>
      <c r="M3082" s="8">
        <f t="shared" si="4"/>
        <v>0.8</v>
      </c>
      <c r="P3082" s="9"/>
    </row>
    <row r="3083">
      <c r="A3083" s="6" t="s">
        <v>7198</v>
      </c>
      <c r="B3083" s="6" t="s">
        <v>6690</v>
      </c>
      <c r="C3083" s="6" t="s">
        <v>30</v>
      </c>
      <c r="D3083" s="6" t="s">
        <v>7199</v>
      </c>
      <c r="E3083" s="6" t="s">
        <v>256</v>
      </c>
      <c r="F3083" s="6" t="s">
        <v>87</v>
      </c>
      <c r="G3083" s="7">
        <v>0.19</v>
      </c>
      <c r="H3083" s="6" t="s">
        <v>144</v>
      </c>
      <c r="I3083" s="6" t="s">
        <v>20</v>
      </c>
      <c r="J3083" s="6">
        <v>2018.0</v>
      </c>
      <c r="L3083" s="6">
        <v>2.0</v>
      </c>
      <c r="M3083" s="8">
        <f t="shared" si="4"/>
        <v>0.38</v>
      </c>
      <c r="P3083" s="9"/>
    </row>
    <row r="3084">
      <c r="A3084" s="6" t="s">
        <v>7198</v>
      </c>
      <c r="B3084" s="6" t="s">
        <v>6690</v>
      </c>
      <c r="C3084" s="6" t="s">
        <v>30</v>
      </c>
      <c r="D3084" s="6" t="s">
        <v>7199</v>
      </c>
      <c r="E3084" s="6" t="s">
        <v>256</v>
      </c>
      <c r="F3084" s="6" t="s">
        <v>87</v>
      </c>
      <c r="G3084" s="7">
        <v>0.39</v>
      </c>
      <c r="H3084" s="6" t="s">
        <v>144</v>
      </c>
      <c r="I3084" s="6" t="s">
        <v>45</v>
      </c>
      <c r="J3084" s="6">
        <v>2018.0</v>
      </c>
      <c r="L3084" s="6">
        <v>1.0</v>
      </c>
      <c r="M3084" s="8">
        <f t="shared" si="4"/>
        <v>0.39</v>
      </c>
      <c r="P3084" s="9"/>
    </row>
    <row r="3085">
      <c r="A3085" s="6" t="s">
        <v>7200</v>
      </c>
      <c r="B3085" s="6" t="s">
        <v>6690</v>
      </c>
      <c r="C3085" s="6" t="s">
        <v>30</v>
      </c>
      <c r="D3085" s="6" t="s">
        <v>7201</v>
      </c>
      <c r="E3085" s="6" t="s">
        <v>329</v>
      </c>
      <c r="F3085" s="6" t="s">
        <v>112</v>
      </c>
      <c r="G3085" s="7">
        <v>0.24</v>
      </c>
      <c r="H3085" s="6" t="s">
        <v>382</v>
      </c>
      <c r="I3085" s="6" t="s">
        <v>20</v>
      </c>
      <c r="J3085" s="6">
        <v>2020.0</v>
      </c>
      <c r="L3085" s="6">
        <v>1.0</v>
      </c>
      <c r="M3085" s="8">
        <f t="shared" si="4"/>
        <v>0.24</v>
      </c>
      <c r="P3085" s="9"/>
    </row>
    <row r="3086">
      <c r="A3086" s="6" t="s">
        <v>7202</v>
      </c>
      <c r="B3086" s="6" t="s">
        <v>6690</v>
      </c>
      <c r="C3086" s="6" t="s">
        <v>37</v>
      </c>
      <c r="D3086" s="6" t="s">
        <v>7203</v>
      </c>
      <c r="E3086" s="6" t="s">
        <v>86</v>
      </c>
      <c r="F3086" s="6" t="s">
        <v>87</v>
      </c>
      <c r="G3086" s="7">
        <v>0.2</v>
      </c>
      <c r="H3086" s="6" t="s">
        <v>144</v>
      </c>
      <c r="I3086" s="6" t="s">
        <v>20</v>
      </c>
      <c r="J3086" s="6">
        <v>2018.0</v>
      </c>
      <c r="L3086" s="6">
        <v>1.0</v>
      </c>
      <c r="M3086" s="8">
        <f t="shared" si="4"/>
        <v>0.2</v>
      </c>
      <c r="P3086" s="9"/>
    </row>
    <row r="3087">
      <c r="A3087" s="6" t="s">
        <v>7204</v>
      </c>
      <c r="B3087" s="6" t="s">
        <v>170</v>
      </c>
      <c r="C3087" s="6" t="s">
        <v>15</v>
      </c>
      <c r="D3087" s="6" t="s">
        <v>7205</v>
      </c>
      <c r="E3087" s="6" t="s">
        <v>172</v>
      </c>
      <c r="F3087" s="6" t="s">
        <v>26</v>
      </c>
      <c r="G3087" s="7">
        <v>0.5</v>
      </c>
      <c r="H3087" s="6" t="s">
        <v>153</v>
      </c>
      <c r="I3087" s="6" t="s">
        <v>20</v>
      </c>
      <c r="J3087" s="6">
        <v>2025.0</v>
      </c>
      <c r="L3087" s="6">
        <v>3.0</v>
      </c>
      <c r="M3087" s="8">
        <f t="shared" si="4"/>
        <v>1.5</v>
      </c>
      <c r="P3087" s="9"/>
    </row>
    <row r="3088">
      <c r="A3088" s="6" t="s">
        <v>7206</v>
      </c>
      <c r="B3088" s="6" t="s">
        <v>7207</v>
      </c>
      <c r="C3088" s="6" t="s">
        <v>37</v>
      </c>
      <c r="D3088" s="6" t="s">
        <v>7208</v>
      </c>
      <c r="F3088" s="6" t="s">
        <v>26</v>
      </c>
      <c r="G3088" s="7">
        <v>0.75</v>
      </c>
      <c r="H3088" s="6" t="s">
        <v>19</v>
      </c>
      <c r="I3088" s="6" t="s">
        <v>20</v>
      </c>
      <c r="J3088" s="6">
        <v>2023.0</v>
      </c>
      <c r="L3088" s="6">
        <v>2.0</v>
      </c>
      <c r="M3088" s="8">
        <f t="shared" si="4"/>
        <v>1.5</v>
      </c>
      <c r="P3088" s="9"/>
    </row>
    <row r="3089">
      <c r="A3089" s="6" t="s">
        <v>7209</v>
      </c>
      <c r="B3089" s="6" t="s">
        <v>219</v>
      </c>
      <c r="C3089" s="6" t="s">
        <v>30</v>
      </c>
      <c r="D3089" s="6" t="s">
        <v>7210</v>
      </c>
      <c r="E3089" s="6" t="s">
        <v>681</v>
      </c>
      <c r="F3089" s="6" t="s">
        <v>26</v>
      </c>
      <c r="G3089" s="7">
        <v>0.39</v>
      </c>
      <c r="H3089" s="6" t="s">
        <v>324</v>
      </c>
      <c r="I3089" s="6" t="s">
        <v>20</v>
      </c>
      <c r="J3089" s="6">
        <v>1995.0</v>
      </c>
      <c r="L3089" s="6">
        <v>1.0</v>
      </c>
      <c r="M3089" s="8">
        <f t="shared" si="4"/>
        <v>0.39</v>
      </c>
      <c r="N3089" s="6" t="s">
        <v>122</v>
      </c>
      <c r="P3089" s="9"/>
    </row>
    <row r="3090">
      <c r="A3090" s="6" t="s">
        <v>7209</v>
      </c>
      <c r="B3090" s="6" t="s">
        <v>219</v>
      </c>
      <c r="C3090" s="6" t="s">
        <v>30</v>
      </c>
      <c r="D3090" s="6" t="s">
        <v>7210</v>
      </c>
      <c r="E3090" s="6" t="s">
        <v>681</v>
      </c>
      <c r="F3090" s="6" t="s">
        <v>26</v>
      </c>
      <c r="G3090" s="7">
        <v>1.5</v>
      </c>
      <c r="H3090" s="6" t="s">
        <v>316</v>
      </c>
      <c r="I3090" s="6" t="s">
        <v>20</v>
      </c>
      <c r="J3090" s="6">
        <v>1995.0</v>
      </c>
      <c r="L3090" s="6">
        <v>1.0</v>
      </c>
      <c r="M3090" s="8">
        <f t="shared" si="4"/>
        <v>1.5</v>
      </c>
      <c r="N3090" s="6" t="s">
        <v>122</v>
      </c>
      <c r="P3090" s="9"/>
    </row>
    <row r="3091">
      <c r="A3091" s="6" t="s">
        <v>7211</v>
      </c>
      <c r="B3091" s="6" t="s">
        <v>7212</v>
      </c>
      <c r="C3091" s="6" t="s">
        <v>15</v>
      </c>
      <c r="D3091" s="6" t="s">
        <v>7213</v>
      </c>
      <c r="E3091" s="6" t="s">
        <v>152</v>
      </c>
      <c r="F3091" s="6" t="s">
        <v>40</v>
      </c>
      <c r="G3091" s="7">
        <v>1.36</v>
      </c>
      <c r="H3091" s="6" t="s">
        <v>153</v>
      </c>
      <c r="I3091" s="6" t="s">
        <v>20</v>
      </c>
      <c r="J3091" s="6">
        <v>2025.0</v>
      </c>
      <c r="K3091" s="6" t="s">
        <v>445</v>
      </c>
      <c r="L3091" s="6">
        <v>1.0</v>
      </c>
      <c r="M3091" s="8">
        <f t="shared" si="4"/>
        <v>1.36</v>
      </c>
      <c r="P3091" s="9"/>
    </row>
    <row r="3092">
      <c r="A3092" s="6" t="s">
        <v>7214</v>
      </c>
      <c r="B3092" s="6" t="s">
        <v>714</v>
      </c>
      <c r="C3092" s="6" t="s">
        <v>204</v>
      </c>
      <c r="D3092" s="6" t="s">
        <v>7215</v>
      </c>
      <c r="E3092" s="6" t="s">
        <v>7216</v>
      </c>
      <c r="F3092" s="6" t="s">
        <v>1710</v>
      </c>
      <c r="G3092" s="7">
        <v>11.69</v>
      </c>
      <c r="H3092" s="6" t="s">
        <v>3245</v>
      </c>
      <c r="I3092" s="6" t="s">
        <v>20</v>
      </c>
      <c r="J3092" s="6">
        <v>1994.0</v>
      </c>
      <c r="K3092" s="10">
        <v>46147.0</v>
      </c>
      <c r="L3092" s="6">
        <v>1.0</v>
      </c>
      <c r="M3092" s="8">
        <f t="shared" si="4"/>
        <v>11.69</v>
      </c>
      <c r="N3092" s="6" t="s">
        <v>122</v>
      </c>
      <c r="P3092" s="9"/>
    </row>
    <row r="3093">
      <c r="A3093" s="6" t="s">
        <v>7217</v>
      </c>
      <c r="B3093" s="6" t="s">
        <v>138</v>
      </c>
      <c r="C3093" s="6" t="s">
        <v>37</v>
      </c>
      <c r="D3093" s="6" t="s">
        <v>7218</v>
      </c>
      <c r="E3093" s="6" t="s">
        <v>39</v>
      </c>
      <c r="F3093" s="6" t="s">
        <v>40</v>
      </c>
      <c r="G3093" s="7">
        <v>0.2</v>
      </c>
      <c r="H3093" s="6" t="s">
        <v>136</v>
      </c>
      <c r="I3093" s="6" t="s">
        <v>20</v>
      </c>
      <c r="J3093" s="6">
        <v>2026.0</v>
      </c>
      <c r="L3093" s="6">
        <v>2.0</v>
      </c>
      <c r="M3093" s="8">
        <f t="shared" si="4"/>
        <v>0.4</v>
      </c>
      <c r="P3093" s="9"/>
    </row>
    <row r="3094">
      <c r="A3094" s="6" t="s">
        <v>7219</v>
      </c>
      <c r="B3094" s="6" t="s">
        <v>3587</v>
      </c>
      <c r="C3094" s="6" t="s">
        <v>156</v>
      </c>
      <c r="D3094" s="6" t="s">
        <v>7220</v>
      </c>
      <c r="E3094" s="6" t="s">
        <v>17</v>
      </c>
      <c r="F3094" s="6" t="s">
        <v>18</v>
      </c>
      <c r="G3094" s="7">
        <v>0.5</v>
      </c>
      <c r="H3094" s="6" t="s">
        <v>153</v>
      </c>
      <c r="I3094" s="6" t="s">
        <v>20</v>
      </c>
      <c r="J3094" s="6">
        <v>2025.0</v>
      </c>
      <c r="K3094" s="10">
        <v>46145.0</v>
      </c>
      <c r="L3094" s="6">
        <v>1.0</v>
      </c>
      <c r="M3094" s="8">
        <f t="shared" si="4"/>
        <v>0.5</v>
      </c>
      <c r="P3094" s="9"/>
    </row>
    <row r="3095">
      <c r="A3095" s="6" t="s">
        <v>7221</v>
      </c>
      <c r="B3095" s="6" t="s">
        <v>3434</v>
      </c>
      <c r="C3095" s="6" t="s">
        <v>156</v>
      </c>
      <c r="D3095" s="6" t="s">
        <v>7222</v>
      </c>
      <c r="E3095" s="6">
        <v>3.0</v>
      </c>
      <c r="F3095" s="6" t="s">
        <v>26</v>
      </c>
      <c r="G3095" s="7">
        <v>2.82</v>
      </c>
      <c r="H3095" s="6" t="s">
        <v>153</v>
      </c>
      <c r="I3095" s="6" t="s">
        <v>20</v>
      </c>
      <c r="J3095" s="6">
        <v>2025.0</v>
      </c>
      <c r="L3095" s="6">
        <v>1.0</v>
      </c>
      <c r="M3095" s="8">
        <f t="shared" si="4"/>
        <v>2.82</v>
      </c>
      <c r="P3095" s="9"/>
    </row>
    <row r="3096">
      <c r="A3096" s="6" t="s">
        <v>7223</v>
      </c>
      <c r="B3096" s="6" t="s">
        <v>800</v>
      </c>
      <c r="C3096" s="6" t="s">
        <v>15</v>
      </c>
      <c r="D3096" s="6" t="s">
        <v>7224</v>
      </c>
      <c r="E3096" s="6" t="s">
        <v>7225</v>
      </c>
      <c r="F3096" s="6" t="s">
        <v>77</v>
      </c>
      <c r="G3096" s="7">
        <v>0.44</v>
      </c>
      <c r="H3096" s="6" t="s">
        <v>27</v>
      </c>
      <c r="I3096" s="6" t="s">
        <v>20</v>
      </c>
      <c r="J3096" s="6">
        <v>2026.0</v>
      </c>
      <c r="K3096" s="10">
        <v>46178.0</v>
      </c>
      <c r="L3096" s="6">
        <v>1.0</v>
      </c>
      <c r="M3096" s="8">
        <f t="shared" si="4"/>
        <v>0.44</v>
      </c>
      <c r="P3096" s="9"/>
    </row>
    <row r="3097">
      <c r="A3097" s="6" t="s">
        <v>7226</v>
      </c>
      <c r="B3097" s="6" t="s">
        <v>6690</v>
      </c>
      <c r="C3097" s="6" t="s">
        <v>30</v>
      </c>
      <c r="D3097" s="6" t="s">
        <v>7227</v>
      </c>
      <c r="E3097" s="6" t="s">
        <v>654</v>
      </c>
      <c r="F3097" s="6" t="s">
        <v>18</v>
      </c>
      <c r="G3097" s="7">
        <v>0.27</v>
      </c>
      <c r="H3097" s="6" t="s">
        <v>144</v>
      </c>
      <c r="I3097" s="6" t="s">
        <v>20</v>
      </c>
      <c r="J3097" s="6">
        <v>2018.0</v>
      </c>
      <c r="L3097" s="6">
        <v>1.0</v>
      </c>
      <c r="M3097" s="8">
        <f t="shared" si="4"/>
        <v>0.27</v>
      </c>
      <c r="P3097" s="9"/>
    </row>
    <row r="3098">
      <c r="A3098" s="6" t="s">
        <v>7228</v>
      </c>
      <c r="B3098" s="6" t="s">
        <v>7229</v>
      </c>
      <c r="C3098" s="6" t="s">
        <v>37</v>
      </c>
      <c r="D3098" s="6" t="s">
        <v>7230</v>
      </c>
      <c r="E3098" s="6" t="s">
        <v>1679</v>
      </c>
      <c r="F3098" s="6" t="s">
        <v>1000</v>
      </c>
      <c r="G3098" s="7">
        <v>0.15</v>
      </c>
      <c r="H3098" s="6" t="s">
        <v>136</v>
      </c>
      <c r="I3098" s="6" t="s">
        <v>20</v>
      </c>
      <c r="J3098" s="6">
        <v>2026.0</v>
      </c>
      <c r="K3098" s="10">
        <v>46114.0</v>
      </c>
      <c r="L3098" s="6">
        <v>1.0</v>
      </c>
      <c r="M3098" s="8">
        <f t="shared" si="4"/>
        <v>0.15</v>
      </c>
      <c r="P3098" s="9"/>
    </row>
    <row r="3099">
      <c r="A3099" s="6" t="s">
        <v>7231</v>
      </c>
      <c r="B3099" s="6" t="s">
        <v>3587</v>
      </c>
      <c r="C3099" s="6" t="s">
        <v>15</v>
      </c>
      <c r="D3099" s="6" t="s">
        <v>7232</v>
      </c>
      <c r="E3099" s="6" t="s">
        <v>2721</v>
      </c>
      <c r="F3099" s="6" t="s">
        <v>18</v>
      </c>
      <c r="G3099" s="7">
        <v>0.1</v>
      </c>
      <c r="H3099" s="6" t="s">
        <v>153</v>
      </c>
      <c r="I3099" s="6" t="s">
        <v>20</v>
      </c>
      <c r="J3099" s="6">
        <v>2025.0</v>
      </c>
      <c r="K3099" s="10">
        <v>46086.0</v>
      </c>
      <c r="L3099" s="6">
        <v>1.0</v>
      </c>
      <c r="M3099" s="8">
        <f t="shared" si="4"/>
        <v>0.1</v>
      </c>
      <c r="P3099" s="9"/>
    </row>
    <row r="3100">
      <c r="A3100" s="6" t="s">
        <v>7233</v>
      </c>
      <c r="B3100" s="6" t="s">
        <v>3587</v>
      </c>
      <c r="C3100" s="6" t="s">
        <v>156</v>
      </c>
      <c r="D3100" s="6" t="s">
        <v>7234</v>
      </c>
      <c r="E3100" s="6">
        <v>4.0</v>
      </c>
      <c r="F3100" s="6" t="s">
        <v>26</v>
      </c>
      <c r="G3100" s="7">
        <v>4.95</v>
      </c>
      <c r="H3100" s="6" t="s">
        <v>153</v>
      </c>
      <c r="I3100" s="6" t="s">
        <v>20</v>
      </c>
      <c r="J3100" s="6">
        <v>2025.0</v>
      </c>
      <c r="K3100" s="10">
        <v>46116.0</v>
      </c>
      <c r="L3100" s="6">
        <v>1.0</v>
      </c>
      <c r="M3100" s="8">
        <f t="shared" si="4"/>
        <v>4.95</v>
      </c>
      <c r="P3100" s="9"/>
    </row>
    <row r="3101">
      <c r="A3101" s="6" t="s">
        <v>7235</v>
      </c>
      <c r="B3101" s="6" t="s">
        <v>7236</v>
      </c>
      <c r="C3101" s="6" t="s">
        <v>1488</v>
      </c>
      <c r="D3101" s="6" t="s">
        <v>7237</v>
      </c>
      <c r="E3101" s="6" t="s">
        <v>3177</v>
      </c>
      <c r="F3101" s="6" t="s">
        <v>1118</v>
      </c>
      <c r="G3101" s="7">
        <v>1.0</v>
      </c>
      <c r="H3101" s="6" t="s">
        <v>1856</v>
      </c>
      <c r="I3101" s="6" t="s">
        <v>20</v>
      </c>
      <c r="J3101" s="6">
        <v>2017.0</v>
      </c>
      <c r="K3101" s="10">
        <v>46148.0</v>
      </c>
      <c r="L3101" s="6">
        <v>1.0</v>
      </c>
      <c r="M3101" s="8">
        <f t="shared" si="4"/>
        <v>1</v>
      </c>
      <c r="N3101" s="6" t="s">
        <v>122</v>
      </c>
      <c r="P3101" s="9"/>
    </row>
    <row r="3102">
      <c r="A3102" s="6" t="s">
        <v>7238</v>
      </c>
      <c r="B3102" s="6" t="s">
        <v>7239</v>
      </c>
      <c r="C3102" s="6" t="s">
        <v>43</v>
      </c>
      <c r="D3102" s="6" t="s">
        <v>7240</v>
      </c>
      <c r="E3102" s="6" t="s">
        <v>356</v>
      </c>
      <c r="F3102" s="6" t="s">
        <v>87</v>
      </c>
      <c r="G3102" s="7">
        <v>0.06</v>
      </c>
      <c r="H3102" s="6" t="s">
        <v>297</v>
      </c>
      <c r="I3102" s="6" t="s">
        <v>20</v>
      </c>
      <c r="J3102" s="6">
        <v>2022.0</v>
      </c>
      <c r="K3102" s="10">
        <v>46084.0</v>
      </c>
      <c r="L3102" s="6">
        <v>1.0</v>
      </c>
      <c r="M3102" s="8">
        <f t="shared" si="4"/>
        <v>0.06</v>
      </c>
      <c r="P3102" s="9"/>
    </row>
    <row r="3103">
      <c r="A3103" s="6" t="s">
        <v>7241</v>
      </c>
      <c r="B3103" s="6" t="s">
        <v>4413</v>
      </c>
      <c r="C3103" s="6" t="s">
        <v>37</v>
      </c>
      <c r="D3103" s="6" t="s">
        <v>7242</v>
      </c>
      <c r="E3103" s="6" t="s">
        <v>98</v>
      </c>
      <c r="F3103" s="6" t="s">
        <v>18</v>
      </c>
      <c r="G3103" s="7">
        <v>0.2</v>
      </c>
      <c r="H3103" s="6" t="s">
        <v>34</v>
      </c>
      <c r="I3103" s="6" t="s">
        <v>20</v>
      </c>
      <c r="J3103" s="6">
        <v>2025.0</v>
      </c>
      <c r="L3103" s="6">
        <v>1.0</v>
      </c>
      <c r="M3103" s="8">
        <f t="shared" si="4"/>
        <v>0.2</v>
      </c>
      <c r="P3103" s="9"/>
    </row>
    <row r="3104">
      <c r="A3104" s="6" t="s">
        <v>7243</v>
      </c>
      <c r="B3104" s="6" t="s">
        <v>6690</v>
      </c>
      <c r="C3104" s="6" t="s">
        <v>37</v>
      </c>
      <c r="D3104" s="6" t="s">
        <v>7244</v>
      </c>
      <c r="E3104" s="6" t="s">
        <v>1939</v>
      </c>
      <c r="F3104" s="6" t="s">
        <v>977</v>
      </c>
      <c r="G3104" s="7">
        <v>0.1</v>
      </c>
      <c r="H3104" s="6" t="s">
        <v>674</v>
      </c>
      <c r="I3104" s="6" t="s">
        <v>20</v>
      </c>
      <c r="J3104" s="6">
        <v>2021.0</v>
      </c>
      <c r="L3104" s="6">
        <v>1.0</v>
      </c>
      <c r="M3104" s="8">
        <f t="shared" si="4"/>
        <v>0.1</v>
      </c>
      <c r="P3104" s="9"/>
    </row>
    <row r="3105">
      <c r="A3105" s="6" t="s">
        <v>7245</v>
      </c>
      <c r="B3105" s="6" t="s">
        <v>7246</v>
      </c>
      <c r="C3105" s="6" t="s">
        <v>156</v>
      </c>
      <c r="D3105" s="6" t="s">
        <v>7247</v>
      </c>
      <c r="E3105" s="6" t="s">
        <v>7248</v>
      </c>
      <c r="F3105" s="6" t="s">
        <v>3210</v>
      </c>
      <c r="G3105" s="7">
        <v>2.9</v>
      </c>
      <c r="H3105" s="6" t="s">
        <v>153</v>
      </c>
      <c r="I3105" s="6" t="s">
        <v>20</v>
      </c>
      <c r="J3105" s="6">
        <v>2025.0</v>
      </c>
      <c r="K3105" s="10">
        <v>46082.0</v>
      </c>
      <c r="L3105" s="6">
        <v>1.0</v>
      </c>
      <c r="M3105" s="8">
        <f t="shared" si="4"/>
        <v>2.9</v>
      </c>
      <c r="P3105" s="9"/>
    </row>
    <row r="3106">
      <c r="A3106" s="6" t="s">
        <v>7249</v>
      </c>
      <c r="B3106" s="6" t="s">
        <v>7250</v>
      </c>
      <c r="C3106" s="6" t="s">
        <v>43</v>
      </c>
      <c r="D3106" s="6" t="s">
        <v>7251</v>
      </c>
      <c r="F3106" s="6" t="s">
        <v>26</v>
      </c>
      <c r="G3106" s="7">
        <v>0.04</v>
      </c>
      <c r="H3106" s="6" t="s">
        <v>7252</v>
      </c>
      <c r="I3106" s="6" t="s">
        <v>20</v>
      </c>
      <c r="J3106" s="6">
        <v>2023.0</v>
      </c>
      <c r="L3106" s="6">
        <v>1.0</v>
      </c>
      <c r="M3106" s="8">
        <f t="shared" si="4"/>
        <v>0.04</v>
      </c>
      <c r="P3106" s="9"/>
    </row>
    <row r="3107">
      <c r="A3107" s="6" t="s">
        <v>7253</v>
      </c>
      <c r="B3107" s="6" t="s">
        <v>6690</v>
      </c>
      <c r="C3107" s="6" t="s">
        <v>37</v>
      </c>
      <c r="D3107" s="6" t="s">
        <v>7254</v>
      </c>
      <c r="E3107" s="6" t="s">
        <v>76</v>
      </c>
      <c r="F3107" s="6" t="s">
        <v>77</v>
      </c>
      <c r="G3107" s="7">
        <v>0.1</v>
      </c>
      <c r="H3107" s="6" t="s">
        <v>918</v>
      </c>
      <c r="I3107" s="6" t="s">
        <v>20</v>
      </c>
      <c r="J3107" s="6">
        <v>2023.0</v>
      </c>
      <c r="L3107" s="6">
        <v>1.0</v>
      </c>
      <c r="M3107" s="8">
        <f t="shared" si="4"/>
        <v>0.1</v>
      </c>
      <c r="P3107" s="9"/>
    </row>
    <row r="3108">
      <c r="A3108" s="6" t="s">
        <v>7255</v>
      </c>
      <c r="B3108" s="6" t="s">
        <v>146</v>
      </c>
      <c r="C3108" s="6" t="s">
        <v>30</v>
      </c>
      <c r="D3108" s="6" t="s">
        <v>7256</v>
      </c>
      <c r="E3108" s="6" t="s">
        <v>4430</v>
      </c>
      <c r="F3108" s="6" t="s">
        <v>1118</v>
      </c>
      <c r="G3108" s="7">
        <v>0.25</v>
      </c>
      <c r="H3108" s="6" t="s">
        <v>7257</v>
      </c>
      <c r="I3108" s="6" t="s">
        <v>20</v>
      </c>
      <c r="J3108" s="6">
        <v>2021.0</v>
      </c>
      <c r="L3108" s="6">
        <v>1.0</v>
      </c>
      <c r="M3108" s="8">
        <f t="shared" si="4"/>
        <v>0.25</v>
      </c>
      <c r="N3108" s="6" t="s">
        <v>374</v>
      </c>
      <c r="P3108" s="9"/>
    </row>
    <row r="3109">
      <c r="A3109" s="6" t="s">
        <v>7255</v>
      </c>
      <c r="B3109" s="6" t="s">
        <v>146</v>
      </c>
      <c r="C3109" s="6" t="s">
        <v>30</v>
      </c>
      <c r="D3109" s="6" t="s">
        <v>7256</v>
      </c>
      <c r="E3109" s="6" t="s">
        <v>4430</v>
      </c>
      <c r="F3109" s="6" t="s">
        <v>1118</v>
      </c>
      <c r="G3109" s="7">
        <v>0.25</v>
      </c>
      <c r="H3109" s="6" t="s">
        <v>431</v>
      </c>
      <c r="I3109" s="6" t="s">
        <v>20</v>
      </c>
      <c r="J3109" s="6">
        <v>2019.0</v>
      </c>
      <c r="L3109" s="6">
        <v>4.0</v>
      </c>
      <c r="M3109" s="8">
        <f t="shared" si="4"/>
        <v>1</v>
      </c>
      <c r="P3109" s="9"/>
    </row>
    <row r="3110">
      <c r="A3110" s="6" t="s">
        <v>7258</v>
      </c>
      <c r="B3110" s="6" t="s">
        <v>2110</v>
      </c>
      <c r="C3110" s="6" t="s">
        <v>15</v>
      </c>
      <c r="D3110" s="6" t="s">
        <v>7259</v>
      </c>
      <c r="E3110" s="6" t="s">
        <v>7260</v>
      </c>
      <c r="F3110" s="6" t="s">
        <v>6381</v>
      </c>
      <c r="G3110" s="7">
        <v>0.23</v>
      </c>
      <c r="H3110" s="6" t="s">
        <v>19</v>
      </c>
      <c r="I3110" s="6" t="s">
        <v>20</v>
      </c>
      <c r="J3110" s="6">
        <v>2023.0</v>
      </c>
      <c r="K3110" s="10">
        <v>46083.0</v>
      </c>
      <c r="L3110" s="6">
        <v>1.0</v>
      </c>
      <c r="M3110" s="8">
        <f t="shared" si="4"/>
        <v>0.23</v>
      </c>
      <c r="P3110" s="9"/>
    </row>
    <row r="3111">
      <c r="A3111" s="6" t="s">
        <v>7261</v>
      </c>
      <c r="B3111" s="6" t="s">
        <v>762</v>
      </c>
      <c r="C3111" s="6" t="s">
        <v>43</v>
      </c>
      <c r="D3111" s="6" t="s">
        <v>7262</v>
      </c>
      <c r="E3111" s="6" t="s">
        <v>57</v>
      </c>
      <c r="F3111" s="6" t="s">
        <v>40</v>
      </c>
      <c r="G3111" s="7">
        <v>0.19</v>
      </c>
      <c r="H3111" s="6" t="s">
        <v>764</v>
      </c>
      <c r="I3111" s="6" t="s">
        <v>20</v>
      </c>
      <c r="J3111" s="6">
        <v>1999.0</v>
      </c>
      <c r="K3111" s="10">
        <v>46024.0</v>
      </c>
      <c r="L3111" s="6">
        <v>1.0</v>
      </c>
      <c r="M3111" s="8">
        <f t="shared" si="4"/>
        <v>0.19</v>
      </c>
      <c r="P3111" s="9"/>
    </row>
    <row r="3112">
      <c r="A3112" s="6" t="s">
        <v>7263</v>
      </c>
      <c r="B3112" s="6" t="s">
        <v>603</v>
      </c>
      <c r="C3112" s="6" t="s">
        <v>37</v>
      </c>
      <c r="D3112" s="6" t="s">
        <v>7264</v>
      </c>
      <c r="E3112" s="6" t="s">
        <v>1147</v>
      </c>
      <c r="F3112" s="6" t="s">
        <v>18</v>
      </c>
      <c r="G3112" s="7">
        <v>0.14</v>
      </c>
      <c r="H3112" s="6" t="s">
        <v>488</v>
      </c>
      <c r="I3112" s="6" t="s">
        <v>20</v>
      </c>
      <c r="J3112" s="6">
        <v>2023.0</v>
      </c>
      <c r="K3112" s="10">
        <v>46082.0</v>
      </c>
      <c r="L3112" s="6">
        <v>1.0</v>
      </c>
      <c r="M3112" s="8">
        <f t="shared" si="4"/>
        <v>0.14</v>
      </c>
      <c r="P3112" s="9"/>
    </row>
    <row r="3113">
      <c r="A3113" s="6" t="s">
        <v>7265</v>
      </c>
      <c r="B3113" s="6" t="s">
        <v>7266</v>
      </c>
      <c r="C3113" s="6" t="s">
        <v>43</v>
      </c>
      <c r="D3113" s="6" t="s">
        <v>7267</v>
      </c>
      <c r="E3113" s="6" t="s">
        <v>98</v>
      </c>
      <c r="F3113" s="6" t="s">
        <v>18</v>
      </c>
      <c r="G3113" s="7">
        <v>0.04</v>
      </c>
      <c r="H3113" s="6" t="s">
        <v>336</v>
      </c>
      <c r="I3113" s="6" t="s">
        <v>20</v>
      </c>
      <c r="J3113" s="6">
        <v>2020.0</v>
      </c>
      <c r="K3113" s="10">
        <v>46055.0</v>
      </c>
      <c r="L3113" s="6">
        <v>1.0</v>
      </c>
      <c r="M3113" s="8">
        <f t="shared" si="4"/>
        <v>0.04</v>
      </c>
      <c r="P3113" s="9"/>
    </row>
    <row r="3114">
      <c r="A3114" s="6" t="s">
        <v>7268</v>
      </c>
      <c r="B3114" s="6" t="s">
        <v>74</v>
      </c>
      <c r="C3114" s="6" t="s">
        <v>43</v>
      </c>
      <c r="D3114" s="6" t="s">
        <v>7269</v>
      </c>
      <c r="E3114" s="6" t="s">
        <v>107</v>
      </c>
      <c r="F3114" s="6" t="s">
        <v>18</v>
      </c>
      <c r="G3114" s="7">
        <v>0.05</v>
      </c>
      <c r="H3114" s="6" t="s">
        <v>88</v>
      </c>
      <c r="I3114" s="6" t="s">
        <v>20</v>
      </c>
      <c r="J3114" s="6">
        <v>2024.0</v>
      </c>
      <c r="L3114" s="6">
        <v>1.0</v>
      </c>
      <c r="M3114" s="8">
        <f t="shared" si="4"/>
        <v>0.05</v>
      </c>
      <c r="P3114" s="9"/>
    </row>
    <row r="3115">
      <c r="A3115" s="6" t="s">
        <v>7268</v>
      </c>
      <c r="B3115" s="6" t="s">
        <v>74</v>
      </c>
      <c r="C3115" s="6" t="s">
        <v>43</v>
      </c>
      <c r="D3115" s="6" t="s">
        <v>7269</v>
      </c>
      <c r="E3115" s="6" t="s">
        <v>107</v>
      </c>
      <c r="F3115" s="6" t="s">
        <v>18</v>
      </c>
      <c r="G3115" s="7">
        <v>0.05</v>
      </c>
      <c r="H3115" s="6" t="s">
        <v>7270</v>
      </c>
      <c r="I3115" s="6" t="s">
        <v>20</v>
      </c>
      <c r="J3115" s="6">
        <v>2021.0</v>
      </c>
      <c r="L3115" s="6">
        <v>2.0</v>
      </c>
      <c r="M3115" s="8">
        <f t="shared" si="4"/>
        <v>0.1</v>
      </c>
      <c r="P3115" s="9"/>
    </row>
    <row r="3116">
      <c r="A3116" s="6" t="s">
        <v>7271</v>
      </c>
      <c r="B3116" s="6" t="s">
        <v>208</v>
      </c>
      <c r="C3116" s="6" t="s">
        <v>43</v>
      </c>
      <c r="D3116" s="6" t="s">
        <v>7272</v>
      </c>
      <c r="E3116" s="6" t="s">
        <v>98</v>
      </c>
      <c r="F3116" s="6" t="s">
        <v>18</v>
      </c>
      <c r="G3116" s="7">
        <v>0.06</v>
      </c>
      <c r="H3116" s="6" t="s">
        <v>1004</v>
      </c>
      <c r="I3116" s="6" t="s">
        <v>20</v>
      </c>
      <c r="J3116" s="6">
        <v>2022.0</v>
      </c>
      <c r="K3116" s="10">
        <v>46083.0</v>
      </c>
      <c r="L3116" s="6">
        <v>1.0</v>
      </c>
      <c r="M3116" s="8">
        <f t="shared" si="4"/>
        <v>0.06</v>
      </c>
      <c r="P3116" s="9"/>
    </row>
    <row r="3117">
      <c r="A3117" s="6" t="s">
        <v>7273</v>
      </c>
      <c r="B3117" s="6" t="s">
        <v>138</v>
      </c>
      <c r="C3117" s="6" t="s">
        <v>418</v>
      </c>
      <c r="D3117" s="6" t="s">
        <v>7274</v>
      </c>
      <c r="E3117" s="6" t="s">
        <v>98</v>
      </c>
      <c r="F3117" s="6" t="s">
        <v>1099</v>
      </c>
      <c r="G3117" s="7">
        <v>0.09</v>
      </c>
      <c r="H3117" s="6" t="s">
        <v>471</v>
      </c>
      <c r="I3117" s="6" t="s">
        <v>20</v>
      </c>
      <c r="J3117" s="6">
        <v>2026.0</v>
      </c>
      <c r="L3117" s="6">
        <v>1.0</v>
      </c>
      <c r="M3117" s="8">
        <f t="shared" si="4"/>
        <v>0.09</v>
      </c>
      <c r="P3117" s="9"/>
    </row>
    <row r="3118">
      <c r="A3118" s="6" t="s">
        <v>7275</v>
      </c>
      <c r="B3118" s="6" t="s">
        <v>4639</v>
      </c>
      <c r="C3118" s="6" t="s">
        <v>43</v>
      </c>
      <c r="D3118" s="6" t="s">
        <v>7276</v>
      </c>
      <c r="E3118" s="6" t="s">
        <v>164</v>
      </c>
      <c r="F3118" s="6" t="s">
        <v>112</v>
      </c>
      <c r="G3118" s="7">
        <v>0.2</v>
      </c>
      <c r="H3118" s="6" t="s">
        <v>5607</v>
      </c>
      <c r="I3118" s="6" t="s">
        <v>20</v>
      </c>
      <c r="J3118" s="6">
        <v>2014.0</v>
      </c>
      <c r="K3118" s="10">
        <v>46024.0</v>
      </c>
      <c r="L3118" s="6">
        <v>1.0</v>
      </c>
      <c r="M3118" s="8">
        <f t="shared" si="4"/>
        <v>0.2</v>
      </c>
      <c r="P3118" s="9"/>
    </row>
    <row r="3119">
      <c r="A3119" s="6" t="s">
        <v>7277</v>
      </c>
      <c r="B3119" s="6" t="s">
        <v>74</v>
      </c>
      <c r="C3119" s="6" t="s">
        <v>43</v>
      </c>
      <c r="D3119" s="6" t="s">
        <v>7278</v>
      </c>
      <c r="E3119" s="6" t="s">
        <v>210</v>
      </c>
      <c r="F3119" s="6" t="s">
        <v>18</v>
      </c>
      <c r="G3119" s="7">
        <v>0.06</v>
      </c>
      <c r="H3119" s="6" t="s">
        <v>431</v>
      </c>
      <c r="I3119" s="6" t="s">
        <v>20</v>
      </c>
      <c r="J3119" s="6">
        <v>2019.0</v>
      </c>
      <c r="L3119" s="6">
        <v>3.0</v>
      </c>
      <c r="M3119" s="8">
        <f t="shared" si="4"/>
        <v>0.18</v>
      </c>
      <c r="P3119" s="9"/>
    </row>
    <row r="3120">
      <c r="A3120" s="6" t="s">
        <v>7279</v>
      </c>
      <c r="B3120" s="6" t="s">
        <v>74</v>
      </c>
      <c r="C3120" s="6" t="s">
        <v>43</v>
      </c>
      <c r="D3120" s="6" t="s">
        <v>7280</v>
      </c>
      <c r="E3120" s="6" t="s">
        <v>190</v>
      </c>
      <c r="F3120" s="6" t="s">
        <v>18</v>
      </c>
      <c r="G3120" s="7">
        <v>3.9</v>
      </c>
      <c r="H3120" s="6" t="s">
        <v>270</v>
      </c>
      <c r="I3120" s="6" t="s">
        <v>20</v>
      </c>
      <c r="J3120" s="6">
        <v>2022.0</v>
      </c>
      <c r="L3120" s="6">
        <v>1.0</v>
      </c>
      <c r="M3120" s="8">
        <f t="shared" si="4"/>
        <v>3.9</v>
      </c>
      <c r="N3120" s="6" t="s">
        <v>122</v>
      </c>
      <c r="P3120" s="9"/>
    </row>
    <row r="3121">
      <c r="A3121" s="6" t="s">
        <v>7281</v>
      </c>
      <c r="B3121" s="6" t="s">
        <v>7282</v>
      </c>
      <c r="C3121" s="6" t="s">
        <v>43</v>
      </c>
      <c r="D3121" s="6" t="s">
        <v>7283</v>
      </c>
      <c r="E3121" s="6" t="s">
        <v>107</v>
      </c>
      <c r="F3121" s="6" t="s">
        <v>18</v>
      </c>
      <c r="G3121" s="7">
        <v>0.06</v>
      </c>
      <c r="H3121" s="6" t="s">
        <v>746</v>
      </c>
      <c r="I3121" s="6" t="s">
        <v>20</v>
      </c>
      <c r="J3121" s="6">
        <v>2024.0</v>
      </c>
      <c r="K3121" s="10">
        <v>46082.0</v>
      </c>
      <c r="L3121" s="6">
        <v>1.0</v>
      </c>
      <c r="M3121" s="8">
        <f t="shared" si="4"/>
        <v>0.06</v>
      </c>
      <c r="P3121" s="9"/>
    </row>
    <row r="3122">
      <c r="A3122" s="6" t="s">
        <v>7284</v>
      </c>
      <c r="B3122" s="6" t="s">
        <v>7285</v>
      </c>
      <c r="C3122" s="6" t="s">
        <v>37</v>
      </c>
      <c r="D3122" s="6" t="s">
        <v>7286</v>
      </c>
      <c r="E3122" s="6" t="s">
        <v>1093</v>
      </c>
      <c r="F3122" s="6" t="s">
        <v>77</v>
      </c>
      <c r="G3122" s="7">
        <v>0.05</v>
      </c>
      <c r="H3122" s="6" t="s">
        <v>249</v>
      </c>
      <c r="I3122" s="6" t="s">
        <v>20</v>
      </c>
      <c r="J3122" s="6">
        <v>2014.0</v>
      </c>
      <c r="K3122" s="10">
        <v>46086.0</v>
      </c>
      <c r="L3122" s="6">
        <v>1.0</v>
      </c>
      <c r="M3122" s="8">
        <f t="shared" si="4"/>
        <v>0.05</v>
      </c>
      <c r="P3122" s="9"/>
    </row>
    <row r="3123">
      <c r="A3123" s="6" t="s">
        <v>7287</v>
      </c>
      <c r="B3123" s="6" t="s">
        <v>138</v>
      </c>
      <c r="C3123" s="6" t="s">
        <v>418</v>
      </c>
      <c r="D3123" s="6" t="s">
        <v>7288</v>
      </c>
      <c r="E3123" s="6" t="s">
        <v>164</v>
      </c>
      <c r="F3123" s="6" t="s">
        <v>112</v>
      </c>
      <c r="G3123" s="7">
        <v>0.18</v>
      </c>
      <c r="H3123" s="6" t="s">
        <v>471</v>
      </c>
      <c r="I3123" s="6" t="s">
        <v>20</v>
      </c>
      <c r="J3123" s="6">
        <v>2026.0</v>
      </c>
      <c r="L3123" s="6">
        <v>1.0</v>
      </c>
      <c r="M3123" s="8">
        <f t="shared" si="4"/>
        <v>0.18</v>
      </c>
      <c r="P3123" s="9"/>
    </row>
    <row r="3124">
      <c r="A3124" s="6" t="s">
        <v>7289</v>
      </c>
      <c r="B3124" s="6" t="s">
        <v>4967</v>
      </c>
      <c r="C3124" s="6" t="s">
        <v>37</v>
      </c>
      <c r="D3124" s="6" t="s">
        <v>7290</v>
      </c>
      <c r="E3124" s="6" t="s">
        <v>39</v>
      </c>
      <c r="F3124" s="6" t="s">
        <v>40</v>
      </c>
      <c r="G3124" s="7">
        <v>0.07</v>
      </c>
      <c r="H3124" s="6" t="s">
        <v>471</v>
      </c>
      <c r="I3124" s="6" t="s">
        <v>20</v>
      </c>
      <c r="J3124" s="6">
        <v>2026.0</v>
      </c>
      <c r="K3124" s="6" t="s">
        <v>100</v>
      </c>
      <c r="L3124" s="6">
        <v>1.0</v>
      </c>
      <c r="M3124" s="8">
        <f t="shared" si="4"/>
        <v>0.07</v>
      </c>
      <c r="P3124" s="9"/>
    </row>
    <row r="3125">
      <c r="A3125" s="6" t="s">
        <v>7291</v>
      </c>
      <c r="B3125" s="6" t="s">
        <v>5913</v>
      </c>
      <c r="C3125" s="6" t="s">
        <v>37</v>
      </c>
      <c r="D3125" s="6" t="s">
        <v>7292</v>
      </c>
      <c r="E3125" s="6" t="s">
        <v>3084</v>
      </c>
      <c r="F3125" s="6" t="s">
        <v>1244</v>
      </c>
      <c r="G3125" s="7">
        <v>0.2</v>
      </c>
      <c r="H3125" s="6" t="s">
        <v>471</v>
      </c>
      <c r="I3125" s="6" t="s">
        <v>20</v>
      </c>
      <c r="J3125" s="6">
        <v>2026.0</v>
      </c>
      <c r="K3125" s="10">
        <v>46055.0</v>
      </c>
      <c r="L3125" s="6">
        <v>1.0</v>
      </c>
      <c r="M3125" s="8">
        <f t="shared" si="4"/>
        <v>0.2</v>
      </c>
      <c r="P3125" s="9"/>
    </row>
    <row r="3126">
      <c r="A3126" s="6" t="s">
        <v>7293</v>
      </c>
      <c r="B3126" s="6" t="s">
        <v>365</v>
      </c>
      <c r="C3126" s="6" t="s">
        <v>156</v>
      </c>
      <c r="D3126" s="6" t="s">
        <v>7294</v>
      </c>
      <c r="E3126" s="6" t="s">
        <v>7295</v>
      </c>
      <c r="F3126" s="6" t="s">
        <v>18</v>
      </c>
      <c r="G3126" s="7">
        <v>0.15</v>
      </c>
      <c r="H3126" s="6" t="s">
        <v>130</v>
      </c>
      <c r="I3126" s="6" t="s">
        <v>20</v>
      </c>
      <c r="J3126" s="6">
        <v>2014.0</v>
      </c>
      <c r="K3126" s="10">
        <v>46178.0</v>
      </c>
      <c r="L3126" s="6">
        <v>1.0</v>
      </c>
      <c r="M3126" s="8">
        <f t="shared" si="4"/>
        <v>0.15</v>
      </c>
      <c r="P3126" s="9"/>
    </row>
    <row r="3127">
      <c r="A3127" s="6" t="s">
        <v>7296</v>
      </c>
      <c r="B3127" s="6" t="s">
        <v>361</v>
      </c>
      <c r="C3127" s="6" t="s">
        <v>43</v>
      </c>
      <c r="D3127" s="6" t="s">
        <v>7297</v>
      </c>
      <c r="E3127" s="6" t="s">
        <v>389</v>
      </c>
      <c r="F3127" s="6" t="s">
        <v>87</v>
      </c>
      <c r="G3127" s="7">
        <v>0.03</v>
      </c>
      <c r="H3127" s="6" t="s">
        <v>709</v>
      </c>
      <c r="I3127" s="6" t="s">
        <v>20</v>
      </c>
      <c r="J3127" s="6">
        <v>2017.0</v>
      </c>
      <c r="K3127" s="10">
        <v>46084.0</v>
      </c>
      <c r="L3127" s="6">
        <v>1.0</v>
      </c>
      <c r="M3127" s="8">
        <f t="shared" si="4"/>
        <v>0.03</v>
      </c>
      <c r="P3127" s="9"/>
    </row>
    <row r="3128">
      <c r="A3128" s="6" t="s">
        <v>7298</v>
      </c>
      <c r="B3128" s="6" t="s">
        <v>440</v>
      </c>
      <c r="C3128" s="6" t="s">
        <v>37</v>
      </c>
      <c r="D3128" s="6" t="s">
        <v>7299</v>
      </c>
      <c r="E3128" s="6" t="s">
        <v>579</v>
      </c>
      <c r="F3128" s="6" t="s">
        <v>112</v>
      </c>
      <c r="G3128" s="7">
        <v>0.09</v>
      </c>
      <c r="H3128" s="6" t="s">
        <v>475</v>
      </c>
      <c r="I3128" s="6" t="s">
        <v>20</v>
      </c>
      <c r="J3128" s="6">
        <v>2024.0</v>
      </c>
      <c r="L3128" s="6">
        <v>2.0</v>
      </c>
      <c r="M3128" s="8">
        <f t="shared" si="4"/>
        <v>0.18</v>
      </c>
      <c r="P3128" s="9"/>
    </row>
    <row r="3129">
      <c r="A3129" s="6" t="s">
        <v>7300</v>
      </c>
      <c r="B3129" s="6" t="s">
        <v>7301</v>
      </c>
      <c r="C3129" s="6" t="s">
        <v>43</v>
      </c>
      <c r="D3129" s="6" t="s">
        <v>7302</v>
      </c>
      <c r="E3129" s="6" t="s">
        <v>39</v>
      </c>
      <c r="F3129" s="6" t="s">
        <v>40</v>
      </c>
      <c r="G3129" s="7">
        <v>0.03</v>
      </c>
      <c r="H3129" s="6" t="s">
        <v>506</v>
      </c>
      <c r="I3129" s="6" t="s">
        <v>20</v>
      </c>
      <c r="J3129" s="6">
        <v>2016.0</v>
      </c>
      <c r="K3129" s="10">
        <v>46114.0</v>
      </c>
      <c r="L3129" s="6">
        <v>2.0</v>
      </c>
      <c r="M3129" s="8">
        <f t="shared" si="4"/>
        <v>0.06</v>
      </c>
      <c r="P3129" s="9"/>
    </row>
    <row r="3130">
      <c r="A3130" s="6" t="s">
        <v>7303</v>
      </c>
      <c r="B3130" s="6" t="s">
        <v>7304</v>
      </c>
      <c r="C3130" s="6" t="s">
        <v>43</v>
      </c>
      <c r="D3130" s="6" t="s">
        <v>7305</v>
      </c>
      <c r="E3130" s="6" t="s">
        <v>757</v>
      </c>
      <c r="F3130" s="6" t="s">
        <v>87</v>
      </c>
      <c r="G3130" s="7">
        <v>0.05</v>
      </c>
      <c r="H3130" s="6" t="s">
        <v>363</v>
      </c>
      <c r="I3130" s="6" t="s">
        <v>20</v>
      </c>
      <c r="J3130" s="6">
        <v>2024.0</v>
      </c>
      <c r="K3130" s="10">
        <v>46056.0</v>
      </c>
      <c r="L3130" s="6">
        <v>1.0</v>
      </c>
      <c r="M3130" s="8">
        <f t="shared" si="4"/>
        <v>0.05</v>
      </c>
      <c r="P3130" s="9"/>
    </row>
    <row r="3131">
      <c r="A3131" s="6" t="s">
        <v>7306</v>
      </c>
      <c r="B3131" s="6" t="s">
        <v>219</v>
      </c>
      <c r="C3131" s="6" t="s">
        <v>37</v>
      </c>
      <c r="D3131" s="6" t="s">
        <v>7307</v>
      </c>
      <c r="E3131" s="6" t="s">
        <v>215</v>
      </c>
      <c r="F3131" s="6" t="s">
        <v>26</v>
      </c>
      <c r="G3131" s="7">
        <v>0.43</v>
      </c>
      <c r="H3131" s="6" t="s">
        <v>316</v>
      </c>
      <c r="I3131" s="6" t="s">
        <v>20</v>
      </c>
      <c r="J3131" s="6">
        <v>1995.0</v>
      </c>
      <c r="L3131" s="6">
        <v>3.0</v>
      </c>
      <c r="M3131" s="8">
        <f t="shared" si="4"/>
        <v>1.29</v>
      </c>
      <c r="P3131" s="9"/>
    </row>
    <row r="3132">
      <c r="A3132" s="6" t="s">
        <v>7308</v>
      </c>
      <c r="B3132" s="6" t="s">
        <v>254</v>
      </c>
      <c r="C3132" s="6" t="s">
        <v>37</v>
      </c>
      <c r="D3132" s="6" t="s">
        <v>7309</v>
      </c>
      <c r="E3132" s="6" t="s">
        <v>117</v>
      </c>
      <c r="F3132" s="6" t="s">
        <v>77</v>
      </c>
      <c r="G3132" s="7">
        <v>0.4</v>
      </c>
      <c r="H3132" s="6" t="s">
        <v>194</v>
      </c>
      <c r="I3132" s="6" t="s">
        <v>20</v>
      </c>
      <c r="J3132" s="6">
        <v>1994.0</v>
      </c>
      <c r="L3132" s="6">
        <v>1.0</v>
      </c>
      <c r="M3132" s="8">
        <f t="shared" si="4"/>
        <v>0.4</v>
      </c>
      <c r="P3132" s="9"/>
    </row>
    <row r="3133">
      <c r="A3133" s="6" t="s">
        <v>7310</v>
      </c>
      <c r="B3133" s="6" t="s">
        <v>606</v>
      </c>
      <c r="C3133" s="6" t="s">
        <v>15</v>
      </c>
      <c r="D3133" s="6" t="s">
        <v>7311</v>
      </c>
      <c r="E3133" s="6" t="s">
        <v>1007</v>
      </c>
      <c r="F3133" s="6" t="s">
        <v>87</v>
      </c>
      <c r="G3133" s="7">
        <v>8.5</v>
      </c>
      <c r="H3133" s="6" t="s">
        <v>153</v>
      </c>
      <c r="I3133" s="6" t="s">
        <v>20</v>
      </c>
      <c r="J3133" s="6">
        <v>2025.0</v>
      </c>
      <c r="L3133" s="6">
        <v>1.0</v>
      </c>
      <c r="M3133" s="8">
        <f t="shared" si="4"/>
        <v>8.5</v>
      </c>
      <c r="P3133" s="9"/>
    </row>
    <row r="3134">
      <c r="A3134" s="6" t="s">
        <v>7312</v>
      </c>
      <c r="B3134" s="6" t="s">
        <v>7313</v>
      </c>
      <c r="C3134" s="6" t="s">
        <v>30</v>
      </c>
      <c r="D3134" s="6" t="s">
        <v>7314</v>
      </c>
      <c r="E3134" s="6" t="s">
        <v>1840</v>
      </c>
      <c r="F3134" s="6" t="s">
        <v>18</v>
      </c>
      <c r="G3134" s="7">
        <v>1.13</v>
      </c>
      <c r="H3134" s="6" t="s">
        <v>382</v>
      </c>
      <c r="I3134" s="6" t="s">
        <v>20</v>
      </c>
      <c r="J3134" s="6">
        <v>2020.0</v>
      </c>
      <c r="K3134" s="10">
        <v>46146.0</v>
      </c>
      <c r="L3134" s="6">
        <v>2.0</v>
      </c>
      <c r="M3134" s="8">
        <f t="shared" si="4"/>
        <v>2.26</v>
      </c>
      <c r="P3134" s="9"/>
    </row>
    <row r="3135">
      <c r="A3135" s="6" t="s">
        <v>7315</v>
      </c>
      <c r="B3135" s="6" t="s">
        <v>7316</v>
      </c>
      <c r="C3135" s="6" t="s">
        <v>43</v>
      </c>
      <c r="D3135" s="6" t="s">
        <v>7317</v>
      </c>
      <c r="E3135" s="6" t="s">
        <v>224</v>
      </c>
      <c r="F3135" s="6" t="s">
        <v>18</v>
      </c>
      <c r="G3135" s="7">
        <v>0.02</v>
      </c>
      <c r="H3135" s="6" t="s">
        <v>290</v>
      </c>
      <c r="I3135" s="6" t="s">
        <v>20</v>
      </c>
      <c r="J3135" s="6">
        <v>2019.0</v>
      </c>
      <c r="K3135" s="10">
        <v>46083.0</v>
      </c>
      <c r="L3135" s="6">
        <v>1.0</v>
      </c>
      <c r="M3135" s="8">
        <f t="shared" si="4"/>
        <v>0.02</v>
      </c>
      <c r="P3135" s="9"/>
    </row>
    <row r="3136">
      <c r="A3136" s="6" t="s">
        <v>7318</v>
      </c>
      <c r="B3136" s="6" t="s">
        <v>606</v>
      </c>
      <c r="C3136" s="6" t="s">
        <v>23</v>
      </c>
      <c r="D3136" s="6" t="s">
        <v>7319</v>
      </c>
      <c r="E3136" s="6" t="s">
        <v>1007</v>
      </c>
      <c r="F3136" s="6" t="s">
        <v>87</v>
      </c>
      <c r="G3136" s="7">
        <v>0.15</v>
      </c>
      <c r="H3136" s="6" t="s">
        <v>153</v>
      </c>
      <c r="I3136" s="6" t="s">
        <v>20</v>
      </c>
      <c r="J3136" s="6">
        <v>2025.0</v>
      </c>
      <c r="L3136" s="6">
        <v>3.0</v>
      </c>
      <c r="M3136" s="8">
        <f t="shared" si="4"/>
        <v>0.45</v>
      </c>
      <c r="P3136" s="9"/>
    </row>
    <row r="3137">
      <c r="A3137" s="6" t="s">
        <v>7318</v>
      </c>
      <c r="B3137" s="6" t="s">
        <v>606</v>
      </c>
      <c r="C3137" s="6" t="s">
        <v>23</v>
      </c>
      <c r="D3137" s="6" t="s">
        <v>7319</v>
      </c>
      <c r="E3137" s="6" t="s">
        <v>1007</v>
      </c>
      <c r="F3137" s="6" t="s">
        <v>87</v>
      </c>
      <c r="G3137" s="7">
        <v>0.45</v>
      </c>
      <c r="H3137" s="6" t="s">
        <v>153</v>
      </c>
      <c r="I3137" s="6" t="s">
        <v>45</v>
      </c>
      <c r="J3137" s="6">
        <v>2025.0</v>
      </c>
      <c r="L3137" s="6">
        <v>1.0</v>
      </c>
      <c r="M3137" s="8">
        <f t="shared" si="4"/>
        <v>0.45</v>
      </c>
      <c r="P3137" s="9"/>
    </row>
    <row r="3138">
      <c r="A3138" s="6" t="s">
        <v>7320</v>
      </c>
      <c r="B3138" s="6" t="s">
        <v>1677</v>
      </c>
      <c r="C3138" s="6" t="s">
        <v>37</v>
      </c>
      <c r="D3138" s="6" t="s">
        <v>7321</v>
      </c>
      <c r="E3138" s="6" t="s">
        <v>7322</v>
      </c>
      <c r="F3138" s="6" t="s">
        <v>159</v>
      </c>
      <c r="G3138" s="7">
        <v>0.25</v>
      </c>
      <c r="H3138" s="6" t="s">
        <v>228</v>
      </c>
      <c r="I3138" s="6" t="s">
        <v>45</v>
      </c>
      <c r="J3138" s="6">
        <v>2025.0</v>
      </c>
      <c r="K3138" s="10">
        <v>46148.0</v>
      </c>
      <c r="L3138" s="6">
        <v>1.0</v>
      </c>
      <c r="M3138" s="8">
        <f t="shared" si="4"/>
        <v>0.25</v>
      </c>
      <c r="P3138" s="9"/>
    </row>
    <row r="3139">
      <c r="A3139" s="6" t="s">
        <v>7323</v>
      </c>
      <c r="B3139" s="6" t="s">
        <v>854</v>
      </c>
      <c r="C3139" s="6" t="s">
        <v>30</v>
      </c>
      <c r="D3139" s="6" t="s">
        <v>7324</v>
      </c>
      <c r="E3139" s="6" t="s">
        <v>757</v>
      </c>
      <c r="F3139" s="6" t="s">
        <v>87</v>
      </c>
      <c r="G3139" s="7">
        <v>0.99</v>
      </c>
      <c r="H3139" s="6" t="s">
        <v>297</v>
      </c>
      <c r="I3139" s="6" t="s">
        <v>20</v>
      </c>
      <c r="J3139" s="6">
        <v>2022.0</v>
      </c>
      <c r="K3139" s="10">
        <v>46084.0</v>
      </c>
      <c r="L3139" s="6">
        <v>1.0</v>
      </c>
      <c r="M3139" s="8">
        <f t="shared" si="4"/>
        <v>0.99</v>
      </c>
      <c r="P3139" s="9"/>
    </row>
    <row r="3140">
      <c r="A3140" s="6" t="s">
        <v>7325</v>
      </c>
      <c r="B3140" s="6" t="s">
        <v>162</v>
      </c>
      <c r="C3140" s="6" t="s">
        <v>37</v>
      </c>
      <c r="D3140" s="6" t="s">
        <v>7326</v>
      </c>
      <c r="E3140" s="6" t="s">
        <v>86</v>
      </c>
      <c r="F3140" s="6" t="s">
        <v>87</v>
      </c>
      <c r="G3140" s="7">
        <v>0.1</v>
      </c>
      <c r="H3140" s="6" t="s">
        <v>165</v>
      </c>
      <c r="I3140" s="6" t="s">
        <v>20</v>
      </c>
      <c r="J3140" s="6">
        <v>2020.0</v>
      </c>
      <c r="L3140" s="6">
        <v>1.0</v>
      </c>
      <c r="M3140" s="8">
        <f t="shared" si="4"/>
        <v>0.1</v>
      </c>
      <c r="P3140" s="9"/>
    </row>
    <row r="3141">
      <c r="A3141" s="6" t="s">
        <v>7327</v>
      </c>
      <c r="B3141" s="6" t="s">
        <v>74</v>
      </c>
      <c r="C3141" s="6" t="s">
        <v>43</v>
      </c>
      <c r="D3141" s="6" t="s">
        <v>7328</v>
      </c>
      <c r="E3141" s="6" t="s">
        <v>356</v>
      </c>
      <c r="F3141" s="6" t="s">
        <v>87</v>
      </c>
      <c r="G3141" s="7">
        <v>0.2</v>
      </c>
      <c r="H3141" s="6" t="s">
        <v>3249</v>
      </c>
      <c r="I3141" s="6" t="s">
        <v>20</v>
      </c>
      <c r="J3141" s="6">
        <v>2017.0</v>
      </c>
      <c r="L3141" s="6">
        <v>4.0</v>
      </c>
      <c r="M3141" s="8">
        <f t="shared" si="4"/>
        <v>0.8</v>
      </c>
      <c r="P3141" s="9"/>
    </row>
    <row r="3142">
      <c r="A3142" s="6" t="s">
        <v>7329</v>
      </c>
      <c r="B3142" s="6" t="s">
        <v>7330</v>
      </c>
      <c r="C3142" s="6" t="s">
        <v>43</v>
      </c>
      <c r="D3142" s="6" t="s">
        <v>7331</v>
      </c>
      <c r="E3142" s="6" t="s">
        <v>356</v>
      </c>
      <c r="F3142" s="6" t="s">
        <v>87</v>
      </c>
      <c r="G3142" s="7">
        <v>0.09</v>
      </c>
      <c r="H3142" s="6" t="s">
        <v>651</v>
      </c>
      <c r="I3142" s="6" t="s">
        <v>20</v>
      </c>
      <c r="J3142" s="6">
        <v>2022.0</v>
      </c>
      <c r="K3142" s="10">
        <v>46085.0</v>
      </c>
      <c r="L3142" s="6">
        <v>1.0</v>
      </c>
      <c r="M3142" s="8">
        <f t="shared" si="4"/>
        <v>0.09</v>
      </c>
      <c r="P3142" s="9"/>
    </row>
    <row r="3143">
      <c r="A3143" s="6" t="s">
        <v>7332</v>
      </c>
      <c r="B3143" s="6" t="s">
        <v>115</v>
      </c>
      <c r="C3143" s="6" t="s">
        <v>23</v>
      </c>
      <c r="D3143" s="6" t="s">
        <v>7333</v>
      </c>
      <c r="E3143" s="6" t="s">
        <v>1010</v>
      </c>
      <c r="F3143" s="6" t="s">
        <v>87</v>
      </c>
      <c r="G3143" s="7">
        <v>0.21</v>
      </c>
      <c r="H3143" s="6" t="s">
        <v>1784</v>
      </c>
      <c r="I3143" s="6" t="s">
        <v>20</v>
      </c>
      <c r="J3143" s="6">
        <v>2026.0</v>
      </c>
      <c r="L3143" s="6">
        <v>2.0</v>
      </c>
      <c r="M3143" s="8">
        <f t="shared" si="4"/>
        <v>0.42</v>
      </c>
      <c r="P3143" s="9"/>
    </row>
    <row r="3144">
      <c r="A3144" s="6" t="s">
        <v>7334</v>
      </c>
      <c r="B3144" s="6" t="s">
        <v>2747</v>
      </c>
      <c r="C3144" s="6" t="s">
        <v>15</v>
      </c>
      <c r="D3144" s="6" t="s">
        <v>7335</v>
      </c>
      <c r="E3144" s="6" t="s">
        <v>7336</v>
      </c>
      <c r="F3144" s="6" t="s">
        <v>7337</v>
      </c>
      <c r="G3144" s="7">
        <v>0.13</v>
      </c>
      <c r="H3144" s="6" t="s">
        <v>153</v>
      </c>
      <c r="I3144" s="6" t="s">
        <v>20</v>
      </c>
      <c r="J3144" s="6">
        <v>2025.0</v>
      </c>
      <c r="K3144" s="10">
        <v>46024.0</v>
      </c>
      <c r="L3144" s="6">
        <v>1.0</v>
      </c>
      <c r="M3144" s="8">
        <f t="shared" si="4"/>
        <v>0.13</v>
      </c>
      <c r="P3144" s="9"/>
    </row>
    <row r="3145">
      <c r="A3145" s="6" t="s">
        <v>7338</v>
      </c>
      <c r="B3145" s="6" t="s">
        <v>606</v>
      </c>
      <c r="C3145" s="6" t="s">
        <v>15</v>
      </c>
      <c r="D3145" s="6" t="s">
        <v>7339</v>
      </c>
      <c r="E3145" s="6" t="s">
        <v>179</v>
      </c>
      <c r="F3145" s="6" t="s">
        <v>112</v>
      </c>
      <c r="G3145" s="7">
        <v>0.2</v>
      </c>
      <c r="H3145" s="6" t="s">
        <v>153</v>
      </c>
      <c r="I3145" s="6" t="s">
        <v>20</v>
      </c>
      <c r="J3145" s="6">
        <v>2025.0</v>
      </c>
      <c r="L3145" s="6">
        <v>2.0</v>
      </c>
      <c r="M3145" s="8">
        <f t="shared" si="4"/>
        <v>0.4</v>
      </c>
      <c r="P3145" s="9"/>
    </row>
    <row r="3146">
      <c r="A3146" s="6" t="s">
        <v>7338</v>
      </c>
      <c r="B3146" s="6" t="s">
        <v>606</v>
      </c>
      <c r="C3146" s="6" t="s">
        <v>15</v>
      </c>
      <c r="D3146" s="6" t="s">
        <v>7339</v>
      </c>
      <c r="E3146" s="6" t="s">
        <v>179</v>
      </c>
      <c r="F3146" s="6" t="s">
        <v>112</v>
      </c>
      <c r="G3146" s="7">
        <v>1.28</v>
      </c>
      <c r="H3146" s="6" t="s">
        <v>153</v>
      </c>
      <c r="I3146" s="6" t="s">
        <v>45</v>
      </c>
      <c r="J3146" s="6">
        <v>2025.0</v>
      </c>
      <c r="L3146" s="6">
        <v>1.0</v>
      </c>
      <c r="M3146" s="8">
        <f t="shared" si="4"/>
        <v>1.28</v>
      </c>
      <c r="P3146" s="9"/>
    </row>
    <row r="3147">
      <c r="A3147" s="6" t="s">
        <v>7340</v>
      </c>
      <c r="B3147" s="6" t="s">
        <v>7341</v>
      </c>
      <c r="C3147" s="6" t="s">
        <v>37</v>
      </c>
      <c r="D3147" s="6" t="s">
        <v>7342</v>
      </c>
      <c r="E3147" s="6" t="s">
        <v>86</v>
      </c>
      <c r="F3147" s="6" t="s">
        <v>87</v>
      </c>
      <c r="G3147" s="7">
        <v>0.14</v>
      </c>
      <c r="H3147" s="6" t="s">
        <v>34</v>
      </c>
      <c r="I3147" s="6" t="s">
        <v>20</v>
      </c>
      <c r="J3147" s="6">
        <v>2025.0</v>
      </c>
      <c r="K3147" s="10">
        <v>46085.0</v>
      </c>
      <c r="L3147" s="6">
        <v>1.0</v>
      </c>
      <c r="M3147" s="8">
        <f t="shared" si="4"/>
        <v>0.14</v>
      </c>
      <c r="P3147" s="9"/>
    </row>
    <row r="3148">
      <c r="A3148" s="6" t="s">
        <v>7340</v>
      </c>
      <c r="B3148" s="6" t="s">
        <v>7341</v>
      </c>
      <c r="C3148" s="6" t="s">
        <v>37</v>
      </c>
      <c r="D3148" s="6" t="s">
        <v>7342</v>
      </c>
      <c r="E3148" s="6" t="s">
        <v>86</v>
      </c>
      <c r="F3148" s="6" t="s">
        <v>87</v>
      </c>
      <c r="G3148" s="7">
        <v>0.1</v>
      </c>
      <c r="H3148" s="6" t="s">
        <v>34</v>
      </c>
      <c r="I3148" s="6" t="s">
        <v>45</v>
      </c>
      <c r="J3148" s="6">
        <v>2025.0</v>
      </c>
      <c r="K3148" s="10">
        <v>46085.0</v>
      </c>
      <c r="L3148" s="6">
        <v>1.0</v>
      </c>
      <c r="M3148" s="8">
        <f t="shared" si="4"/>
        <v>0.1</v>
      </c>
      <c r="P3148" s="9"/>
    </row>
    <row r="3149">
      <c r="A3149" s="6" t="s">
        <v>7343</v>
      </c>
      <c r="B3149" s="6" t="s">
        <v>7344</v>
      </c>
      <c r="C3149" s="6" t="s">
        <v>37</v>
      </c>
      <c r="D3149" s="6" t="s">
        <v>7345</v>
      </c>
      <c r="E3149" s="6" t="s">
        <v>1634</v>
      </c>
      <c r="F3149" s="6" t="s">
        <v>87</v>
      </c>
      <c r="G3149" s="7">
        <v>0.04</v>
      </c>
      <c r="H3149" s="6" t="s">
        <v>1287</v>
      </c>
      <c r="I3149" s="6" t="s">
        <v>20</v>
      </c>
      <c r="J3149" s="6">
        <v>2021.0</v>
      </c>
      <c r="K3149" s="10">
        <v>46116.0</v>
      </c>
      <c r="L3149" s="6">
        <v>1.0</v>
      </c>
      <c r="M3149" s="8">
        <f t="shared" si="4"/>
        <v>0.04</v>
      </c>
      <c r="P3149" s="9"/>
    </row>
    <row r="3150">
      <c r="A3150" s="6" t="s">
        <v>7346</v>
      </c>
      <c r="B3150" s="6" t="s">
        <v>3747</v>
      </c>
      <c r="C3150" s="6" t="s">
        <v>43</v>
      </c>
      <c r="D3150" s="6" t="s">
        <v>7347</v>
      </c>
      <c r="E3150" s="6" t="s">
        <v>329</v>
      </c>
      <c r="F3150" s="6" t="s">
        <v>112</v>
      </c>
      <c r="G3150" s="7">
        <v>0.85</v>
      </c>
      <c r="H3150" s="6" t="s">
        <v>2291</v>
      </c>
      <c r="I3150" s="6" t="s">
        <v>20</v>
      </c>
      <c r="J3150" s="6">
        <v>2008.0</v>
      </c>
      <c r="K3150" s="10">
        <v>46082.0</v>
      </c>
      <c r="L3150" s="6">
        <v>2.0</v>
      </c>
      <c r="M3150" s="8">
        <f t="shared" si="4"/>
        <v>1.7</v>
      </c>
      <c r="P3150" s="9"/>
    </row>
    <row r="3151">
      <c r="A3151" s="6" t="s">
        <v>7348</v>
      </c>
      <c r="B3151" s="6" t="s">
        <v>102</v>
      </c>
      <c r="C3151" s="6" t="s">
        <v>43</v>
      </c>
      <c r="D3151" s="6" t="s">
        <v>7349</v>
      </c>
      <c r="E3151" s="6" t="s">
        <v>86</v>
      </c>
      <c r="F3151" s="6" t="s">
        <v>87</v>
      </c>
      <c r="G3151" s="7">
        <v>0.03</v>
      </c>
      <c r="H3151" s="6" t="s">
        <v>709</v>
      </c>
      <c r="I3151" s="6" t="s">
        <v>20</v>
      </c>
      <c r="J3151" s="6">
        <v>2017.0</v>
      </c>
      <c r="K3151" s="10">
        <v>46055.0</v>
      </c>
      <c r="L3151" s="6">
        <v>1.0</v>
      </c>
      <c r="M3151" s="8">
        <f t="shared" si="4"/>
        <v>0.03</v>
      </c>
      <c r="P3151" s="9"/>
    </row>
    <row r="3152">
      <c r="A3152" s="6" t="s">
        <v>7350</v>
      </c>
      <c r="B3152" s="6" t="s">
        <v>3097</v>
      </c>
      <c r="C3152" s="6" t="s">
        <v>43</v>
      </c>
      <c r="D3152" s="6" t="s">
        <v>7351</v>
      </c>
      <c r="E3152" s="6" t="s">
        <v>164</v>
      </c>
      <c r="F3152" s="6" t="s">
        <v>112</v>
      </c>
      <c r="G3152" s="7">
        <v>0.05</v>
      </c>
      <c r="H3152" s="6" t="s">
        <v>1300</v>
      </c>
      <c r="I3152" s="6" t="s">
        <v>20</v>
      </c>
      <c r="J3152" s="6">
        <v>2021.0</v>
      </c>
      <c r="K3152" s="10">
        <v>46023.0</v>
      </c>
      <c r="L3152" s="6">
        <v>5.0</v>
      </c>
      <c r="M3152" s="8">
        <f t="shared" si="4"/>
        <v>0.25</v>
      </c>
      <c r="P3152" s="9"/>
    </row>
    <row r="3153">
      <c r="A3153" s="6" t="s">
        <v>7352</v>
      </c>
      <c r="B3153" s="6" t="s">
        <v>74</v>
      </c>
      <c r="C3153" s="6" t="s">
        <v>30</v>
      </c>
      <c r="D3153" s="6" t="s">
        <v>7353</v>
      </c>
      <c r="E3153" s="6" t="s">
        <v>237</v>
      </c>
      <c r="F3153" s="6" t="s">
        <v>18</v>
      </c>
      <c r="G3153" s="7">
        <v>0.09</v>
      </c>
      <c r="H3153" s="6" t="s">
        <v>1277</v>
      </c>
      <c r="I3153" s="6" t="s">
        <v>20</v>
      </c>
      <c r="J3153" s="6">
        <v>2004.0</v>
      </c>
      <c r="L3153" s="6">
        <v>1.0</v>
      </c>
      <c r="M3153" s="8">
        <f t="shared" si="4"/>
        <v>0.09</v>
      </c>
      <c r="P3153" s="9"/>
    </row>
    <row r="3154">
      <c r="A3154" s="6" t="s">
        <v>7354</v>
      </c>
      <c r="B3154" s="6" t="s">
        <v>331</v>
      </c>
      <c r="C3154" s="6" t="s">
        <v>43</v>
      </c>
      <c r="D3154" s="6" t="s">
        <v>7355</v>
      </c>
      <c r="E3154" s="6" t="s">
        <v>1417</v>
      </c>
      <c r="F3154" s="6" t="s">
        <v>71</v>
      </c>
      <c r="G3154" s="7">
        <v>1.0</v>
      </c>
      <c r="H3154" s="6" t="s">
        <v>4785</v>
      </c>
      <c r="I3154" s="6" t="s">
        <v>45</v>
      </c>
      <c r="J3154" s="6">
        <v>2013.0</v>
      </c>
      <c r="K3154" s="10">
        <v>46024.0</v>
      </c>
      <c r="L3154" s="6">
        <v>1.0</v>
      </c>
      <c r="M3154" s="8">
        <f t="shared" si="4"/>
        <v>1</v>
      </c>
      <c r="P3154" s="9"/>
    </row>
    <row r="3155">
      <c r="A3155" s="6" t="s">
        <v>7354</v>
      </c>
      <c r="B3155" s="6" t="s">
        <v>331</v>
      </c>
      <c r="C3155" s="6" t="s">
        <v>43</v>
      </c>
      <c r="D3155" s="6" t="s">
        <v>7355</v>
      </c>
      <c r="E3155" s="6" t="s">
        <v>1417</v>
      </c>
      <c r="F3155" s="6" t="s">
        <v>71</v>
      </c>
      <c r="G3155" s="7">
        <v>0.17</v>
      </c>
      <c r="H3155" s="6" t="s">
        <v>4785</v>
      </c>
      <c r="I3155" s="6" t="s">
        <v>20</v>
      </c>
      <c r="J3155" s="6">
        <v>2013.0</v>
      </c>
      <c r="K3155" s="10">
        <v>46024.0</v>
      </c>
      <c r="L3155" s="6">
        <v>3.0</v>
      </c>
      <c r="M3155" s="8">
        <f t="shared" si="4"/>
        <v>0.51</v>
      </c>
      <c r="P3155" s="9"/>
    </row>
    <row r="3156">
      <c r="A3156" s="6" t="s">
        <v>7356</v>
      </c>
      <c r="B3156" s="6" t="s">
        <v>7357</v>
      </c>
      <c r="C3156" s="6" t="s">
        <v>43</v>
      </c>
      <c r="D3156" s="6" t="s">
        <v>7358</v>
      </c>
      <c r="E3156" s="6" t="s">
        <v>1917</v>
      </c>
      <c r="F3156" s="6" t="s">
        <v>77</v>
      </c>
      <c r="G3156" s="7">
        <v>0.02</v>
      </c>
      <c r="H3156" s="6" t="s">
        <v>290</v>
      </c>
      <c r="I3156" s="6" t="s">
        <v>20</v>
      </c>
      <c r="J3156" s="6">
        <v>2019.0</v>
      </c>
      <c r="K3156" s="10">
        <v>46146.0</v>
      </c>
      <c r="L3156" s="6">
        <v>1.0</v>
      </c>
      <c r="M3156" s="8">
        <f t="shared" si="4"/>
        <v>0.02</v>
      </c>
      <c r="P3156" s="9"/>
    </row>
    <row r="3157">
      <c r="A3157" s="6" t="s">
        <v>7359</v>
      </c>
      <c r="B3157" s="6" t="s">
        <v>4576</v>
      </c>
      <c r="C3157" s="6" t="s">
        <v>37</v>
      </c>
      <c r="E3157" s="6" t="s">
        <v>4771</v>
      </c>
      <c r="F3157" s="6" t="s">
        <v>519</v>
      </c>
      <c r="G3157" s="7">
        <v>0.21</v>
      </c>
      <c r="H3157" s="6" t="s">
        <v>141</v>
      </c>
      <c r="I3157" s="6" t="s">
        <v>20</v>
      </c>
      <c r="J3157" s="6">
        <v>1995.0</v>
      </c>
      <c r="K3157" s="10">
        <v>46116.0</v>
      </c>
      <c r="L3157" s="6">
        <v>1.0</v>
      </c>
      <c r="M3157" s="8">
        <f t="shared" si="4"/>
        <v>0.21</v>
      </c>
      <c r="P3157" s="9"/>
    </row>
    <row r="3158">
      <c r="A3158" s="6" t="s">
        <v>7360</v>
      </c>
      <c r="B3158" s="6" t="s">
        <v>1577</v>
      </c>
      <c r="C3158" s="6" t="s">
        <v>43</v>
      </c>
      <c r="D3158" s="6" t="s">
        <v>7361</v>
      </c>
      <c r="F3158" s="6" t="s">
        <v>26</v>
      </c>
      <c r="G3158" s="7">
        <v>0.14</v>
      </c>
      <c r="H3158" s="6" t="s">
        <v>1004</v>
      </c>
      <c r="I3158" s="6" t="s">
        <v>20</v>
      </c>
      <c r="J3158" s="6">
        <v>2022.0</v>
      </c>
      <c r="L3158" s="6">
        <v>1.0</v>
      </c>
      <c r="M3158" s="8">
        <f t="shared" si="4"/>
        <v>0.14</v>
      </c>
      <c r="P3158" s="9"/>
    </row>
    <row r="3159">
      <c r="A3159" s="6" t="s">
        <v>7362</v>
      </c>
      <c r="B3159" s="6" t="s">
        <v>208</v>
      </c>
      <c r="C3159" s="6" t="s">
        <v>43</v>
      </c>
      <c r="E3159" s="6" t="s">
        <v>98</v>
      </c>
      <c r="F3159" s="6" t="s">
        <v>18</v>
      </c>
      <c r="G3159" s="7">
        <v>0.03</v>
      </c>
      <c r="H3159" s="6" t="s">
        <v>78</v>
      </c>
      <c r="I3159" s="6" t="s">
        <v>20</v>
      </c>
      <c r="J3159" s="6">
        <v>2018.0</v>
      </c>
      <c r="K3159" s="10">
        <v>46083.0</v>
      </c>
      <c r="L3159" s="6">
        <v>3.0</v>
      </c>
      <c r="M3159" s="8">
        <f t="shared" si="4"/>
        <v>0.09</v>
      </c>
      <c r="P3159" s="9"/>
    </row>
    <row r="3160">
      <c r="A3160" s="6" t="s">
        <v>7363</v>
      </c>
      <c r="B3160" s="6" t="s">
        <v>7364</v>
      </c>
      <c r="C3160" s="6" t="s">
        <v>43</v>
      </c>
      <c r="D3160" s="6" t="s">
        <v>7365</v>
      </c>
      <c r="E3160" s="6" t="s">
        <v>224</v>
      </c>
      <c r="F3160" s="6" t="s">
        <v>18</v>
      </c>
      <c r="G3160" s="7">
        <v>0.1</v>
      </c>
      <c r="H3160" s="6" t="s">
        <v>410</v>
      </c>
      <c r="I3160" s="6" t="s">
        <v>20</v>
      </c>
      <c r="J3160" s="6">
        <v>2021.0</v>
      </c>
      <c r="K3160" s="10">
        <v>46082.0</v>
      </c>
      <c r="L3160" s="6">
        <v>1.0</v>
      </c>
      <c r="M3160" s="8">
        <f t="shared" si="4"/>
        <v>0.1</v>
      </c>
      <c r="N3160" s="6" t="s">
        <v>374</v>
      </c>
      <c r="P3160" s="9"/>
    </row>
    <row r="3161">
      <c r="A3161" s="6" t="s">
        <v>7366</v>
      </c>
      <c r="B3161" s="6" t="s">
        <v>2070</v>
      </c>
      <c r="C3161" s="6" t="s">
        <v>43</v>
      </c>
      <c r="D3161" s="6" t="s">
        <v>7367</v>
      </c>
      <c r="E3161" s="6" t="s">
        <v>7368</v>
      </c>
      <c r="F3161" s="6" t="s">
        <v>18</v>
      </c>
      <c r="G3161" s="7">
        <v>0.1</v>
      </c>
      <c r="H3161" s="6" t="s">
        <v>88</v>
      </c>
      <c r="I3161" s="6" t="s">
        <v>20</v>
      </c>
      <c r="J3161" s="6">
        <v>2024.0</v>
      </c>
      <c r="K3161" s="10">
        <v>46147.0</v>
      </c>
      <c r="L3161" s="6">
        <v>1.0</v>
      </c>
      <c r="M3161" s="8">
        <f t="shared" si="4"/>
        <v>0.1</v>
      </c>
      <c r="P3161" s="9"/>
    </row>
    <row r="3162">
      <c r="A3162" s="6" t="s">
        <v>7369</v>
      </c>
      <c r="B3162" s="6" t="s">
        <v>854</v>
      </c>
      <c r="C3162" s="6" t="s">
        <v>43</v>
      </c>
      <c r="D3162" s="6" t="s">
        <v>7370</v>
      </c>
      <c r="E3162" s="6" t="s">
        <v>224</v>
      </c>
      <c r="F3162" s="6" t="s">
        <v>18</v>
      </c>
      <c r="G3162" s="7">
        <v>0.05</v>
      </c>
      <c r="H3162" s="6" t="s">
        <v>1396</v>
      </c>
      <c r="I3162" s="6" t="s">
        <v>45</v>
      </c>
      <c r="J3162" s="6">
        <v>2020.0</v>
      </c>
      <c r="K3162" s="10">
        <v>46084.0</v>
      </c>
      <c r="L3162" s="6">
        <v>1.0</v>
      </c>
      <c r="M3162" s="8">
        <f t="shared" si="4"/>
        <v>0.05</v>
      </c>
      <c r="P3162" s="9"/>
    </row>
    <row r="3163">
      <c r="A3163" s="6" t="s">
        <v>7371</v>
      </c>
      <c r="B3163" s="6" t="s">
        <v>162</v>
      </c>
      <c r="C3163" s="6" t="s">
        <v>43</v>
      </c>
      <c r="D3163" s="6" t="s">
        <v>7372</v>
      </c>
      <c r="E3163" s="6" t="s">
        <v>86</v>
      </c>
      <c r="F3163" s="6" t="s">
        <v>87</v>
      </c>
      <c r="G3163" s="7">
        <v>0.31</v>
      </c>
      <c r="H3163" s="6" t="s">
        <v>148</v>
      </c>
      <c r="I3163" s="6" t="s">
        <v>45</v>
      </c>
      <c r="J3163" s="6">
        <v>2026.0</v>
      </c>
      <c r="L3163" s="6">
        <v>1.0</v>
      </c>
      <c r="M3163" s="8">
        <f t="shared" si="4"/>
        <v>0.31</v>
      </c>
      <c r="P3163" s="9"/>
    </row>
    <row r="3164">
      <c r="A3164" s="6" t="s">
        <v>7373</v>
      </c>
      <c r="B3164" s="6" t="s">
        <v>5111</v>
      </c>
      <c r="C3164" s="6" t="s">
        <v>43</v>
      </c>
      <c r="D3164" s="6" t="s">
        <v>7374</v>
      </c>
      <c r="E3164" s="6" t="s">
        <v>98</v>
      </c>
      <c r="F3164" s="6" t="s">
        <v>18</v>
      </c>
      <c r="G3164" s="7">
        <v>0.06</v>
      </c>
      <c r="H3164" s="6" t="s">
        <v>104</v>
      </c>
      <c r="I3164" s="6" t="s">
        <v>20</v>
      </c>
      <c r="J3164" s="6">
        <v>2019.0</v>
      </c>
      <c r="K3164" s="10">
        <v>46023.0</v>
      </c>
      <c r="L3164" s="6">
        <v>1.0</v>
      </c>
      <c r="M3164" s="8">
        <f t="shared" si="4"/>
        <v>0.06</v>
      </c>
      <c r="P3164" s="9"/>
    </row>
    <row r="3165">
      <c r="A3165" s="6" t="s">
        <v>7375</v>
      </c>
      <c r="B3165" s="6" t="s">
        <v>7376</v>
      </c>
      <c r="C3165" s="6" t="s">
        <v>15</v>
      </c>
      <c r="D3165" s="6" t="s">
        <v>7377</v>
      </c>
      <c r="E3165" s="6" t="s">
        <v>117</v>
      </c>
      <c r="F3165" s="6" t="s">
        <v>77</v>
      </c>
      <c r="G3165" s="7">
        <v>0.2</v>
      </c>
      <c r="H3165" s="6" t="s">
        <v>153</v>
      </c>
      <c r="I3165" s="6" t="s">
        <v>20</v>
      </c>
      <c r="J3165" s="6">
        <v>2025.0</v>
      </c>
      <c r="K3165" s="10">
        <v>46024.0</v>
      </c>
      <c r="L3165" s="6">
        <v>1.0</v>
      </c>
      <c r="M3165" s="8">
        <f t="shared" si="4"/>
        <v>0.2</v>
      </c>
      <c r="P3165" s="9"/>
    </row>
    <row r="3166">
      <c r="A3166" s="6" t="s">
        <v>7378</v>
      </c>
      <c r="B3166" s="6" t="s">
        <v>60</v>
      </c>
      <c r="C3166" s="6" t="s">
        <v>61</v>
      </c>
      <c r="D3166" s="6" t="s">
        <v>7379</v>
      </c>
      <c r="E3166" s="6" t="s">
        <v>93</v>
      </c>
      <c r="F3166" s="6" t="s">
        <v>77</v>
      </c>
      <c r="G3166" s="7">
        <v>0.8</v>
      </c>
      <c r="H3166" s="6" t="s">
        <v>6779</v>
      </c>
      <c r="I3166" s="6" t="s">
        <v>20</v>
      </c>
      <c r="J3166" s="6">
        <v>2011.0</v>
      </c>
      <c r="K3166" s="10">
        <v>46146.0</v>
      </c>
      <c r="L3166" s="6">
        <v>1.0</v>
      </c>
      <c r="M3166" s="8">
        <f t="shared" si="4"/>
        <v>0.8</v>
      </c>
      <c r="P3166" s="9"/>
    </row>
    <row r="3167">
      <c r="A3167" s="6" t="s">
        <v>7380</v>
      </c>
      <c r="B3167" s="6" t="s">
        <v>4249</v>
      </c>
      <c r="C3167" s="6" t="s">
        <v>30</v>
      </c>
      <c r="D3167" s="6" t="s">
        <v>7381</v>
      </c>
      <c r="E3167" s="6" t="s">
        <v>635</v>
      </c>
      <c r="F3167" s="6" t="s">
        <v>636</v>
      </c>
      <c r="G3167" s="7">
        <v>0.99</v>
      </c>
      <c r="H3167" s="6" t="s">
        <v>34</v>
      </c>
      <c r="I3167" s="6" t="s">
        <v>20</v>
      </c>
      <c r="J3167" s="6">
        <v>2025.0</v>
      </c>
      <c r="K3167" s="10">
        <v>46115.0</v>
      </c>
      <c r="L3167" s="6">
        <v>1.0</v>
      </c>
      <c r="M3167" s="8">
        <f t="shared" si="4"/>
        <v>0.99</v>
      </c>
      <c r="P3167" s="9"/>
    </row>
    <row r="3168">
      <c r="A3168" s="6" t="s">
        <v>7382</v>
      </c>
      <c r="B3168" s="6" t="s">
        <v>4249</v>
      </c>
      <c r="C3168" s="6" t="s">
        <v>37</v>
      </c>
      <c r="D3168" s="6" t="s">
        <v>7383</v>
      </c>
      <c r="E3168" s="6" t="s">
        <v>329</v>
      </c>
      <c r="F3168" s="6" t="s">
        <v>112</v>
      </c>
      <c r="G3168" s="7">
        <v>0.2</v>
      </c>
      <c r="H3168" s="6" t="s">
        <v>34</v>
      </c>
      <c r="I3168" s="6" t="s">
        <v>20</v>
      </c>
      <c r="J3168" s="6">
        <v>2025.0</v>
      </c>
      <c r="K3168" s="6" t="s">
        <v>2310</v>
      </c>
      <c r="L3168" s="6">
        <v>2.0</v>
      </c>
      <c r="M3168" s="8">
        <f t="shared" si="4"/>
        <v>0.4</v>
      </c>
      <c r="P3168" s="9"/>
    </row>
    <row r="3169">
      <c r="A3169" s="6" t="s">
        <v>7384</v>
      </c>
      <c r="B3169" s="6" t="s">
        <v>1095</v>
      </c>
      <c r="C3169" s="6" t="s">
        <v>37</v>
      </c>
      <c r="D3169" s="6" t="s">
        <v>7385</v>
      </c>
      <c r="E3169" s="6" t="s">
        <v>329</v>
      </c>
      <c r="F3169" s="6" t="s">
        <v>112</v>
      </c>
      <c r="G3169" s="7">
        <v>0.3</v>
      </c>
      <c r="H3169" s="6" t="s">
        <v>148</v>
      </c>
      <c r="I3169" s="6" t="s">
        <v>20</v>
      </c>
      <c r="J3169" s="6">
        <v>2026.0</v>
      </c>
      <c r="K3169" s="10">
        <v>46054.0</v>
      </c>
      <c r="L3169" s="6">
        <v>2.0</v>
      </c>
      <c r="M3169" s="8">
        <f t="shared" si="4"/>
        <v>0.6</v>
      </c>
      <c r="P3169" s="9"/>
    </row>
    <row r="3170">
      <c r="A3170" s="6" t="s">
        <v>7386</v>
      </c>
      <c r="B3170" s="6" t="s">
        <v>7387</v>
      </c>
      <c r="C3170" s="6" t="s">
        <v>3325</v>
      </c>
      <c r="D3170" s="6" t="s">
        <v>7388</v>
      </c>
      <c r="E3170" s="6" t="s">
        <v>2647</v>
      </c>
      <c r="F3170" s="6" t="s">
        <v>112</v>
      </c>
      <c r="G3170" s="7">
        <v>4.9</v>
      </c>
      <c r="H3170" s="6" t="s">
        <v>734</v>
      </c>
      <c r="I3170" s="6" t="s">
        <v>20</v>
      </c>
      <c r="J3170" s="6">
        <v>2022.0</v>
      </c>
      <c r="K3170" s="10">
        <v>46116.0</v>
      </c>
      <c r="L3170" s="6">
        <v>1.0</v>
      </c>
      <c r="M3170" s="8">
        <f t="shared" si="4"/>
        <v>4.9</v>
      </c>
      <c r="P3170" s="9"/>
    </row>
    <row r="3171">
      <c r="A3171" s="6" t="s">
        <v>7389</v>
      </c>
      <c r="B3171" s="6" t="s">
        <v>74</v>
      </c>
      <c r="C3171" s="6" t="s">
        <v>43</v>
      </c>
      <c r="D3171" s="6" t="s">
        <v>7390</v>
      </c>
      <c r="E3171" s="6" t="s">
        <v>57</v>
      </c>
      <c r="F3171" s="6" t="s">
        <v>40</v>
      </c>
      <c r="G3171" s="7">
        <v>0.02</v>
      </c>
      <c r="H3171" s="6" t="s">
        <v>290</v>
      </c>
      <c r="I3171" s="6" t="s">
        <v>20</v>
      </c>
      <c r="J3171" s="6">
        <v>2019.0</v>
      </c>
      <c r="L3171" s="6">
        <v>2.0</v>
      </c>
      <c r="M3171" s="8">
        <f t="shared" si="4"/>
        <v>0.04</v>
      </c>
      <c r="P3171" s="9"/>
    </row>
    <row r="3172">
      <c r="A3172" s="6" t="s">
        <v>7391</v>
      </c>
      <c r="B3172" s="6" t="s">
        <v>292</v>
      </c>
      <c r="C3172" s="6" t="s">
        <v>204</v>
      </c>
      <c r="D3172" s="6" t="s">
        <v>7392</v>
      </c>
      <c r="E3172" s="6" t="s">
        <v>117</v>
      </c>
      <c r="F3172" s="6" t="s">
        <v>77</v>
      </c>
      <c r="G3172" s="7">
        <v>0.08</v>
      </c>
      <c r="H3172" s="6" t="s">
        <v>373</v>
      </c>
      <c r="I3172" s="6" t="s">
        <v>20</v>
      </c>
      <c r="J3172" s="6">
        <v>2015.0</v>
      </c>
      <c r="L3172" s="6">
        <v>3.0</v>
      </c>
      <c r="M3172" s="8">
        <f t="shared" si="4"/>
        <v>0.24</v>
      </c>
      <c r="P3172" s="9"/>
    </row>
    <row r="3173">
      <c r="A3173" s="6" t="s">
        <v>7393</v>
      </c>
      <c r="B3173" s="6" t="s">
        <v>4243</v>
      </c>
      <c r="C3173" s="6" t="s">
        <v>43</v>
      </c>
      <c r="E3173" s="6" t="s">
        <v>389</v>
      </c>
      <c r="F3173" s="6" t="s">
        <v>87</v>
      </c>
      <c r="G3173" s="7">
        <v>0.04</v>
      </c>
      <c r="H3173" s="6" t="s">
        <v>187</v>
      </c>
      <c r="I3173" s="6" t="s">
        <v>20</v>
      </c>
      <c r="J3173" s="6">
        <v>1995.0</v>
      </c>
      <c r="K3173" s="10">
        <v>46084.0</v>
      </c>
      <c r="L3173" s="6">
        <v>2.0</v>
      </c>
      <c r="M3173" s="8">
        <f t="shared" si="4"/>
        <v>0.08</v>
      </c>
      <c r="P3173" s="9"/>
    </row>
    <row r="3174">
      <c r="A3174" s="6" t="s">
        <v>7394</v>
      </c>
      <c r="B3174" s="6" t="s">
        <v>5839</v>
      </c>
      <c r="C3174" s="6" t="s">
        <v>37</v>
      </c>
      <c r="D3174" s="6" t="s">
        <v>7395</v>
      </c>
      <c r="E3174" s="6" t="s">
        <v>7396</v>
      </c>
      <c r="F3174" s="6" t="s">
        <v>1118</v>
      </c>
      <c r="G3174" s="7">
        <v>0.21</v>
      </c>
      <c r="H3174" s="6" t="s">
        <v>141</v>
      </c>
      <c r="I3174" s="6" t="s">
        <v>20</v>
      </c>
      <c r="J3174" s="6">
        <v>1995.0</v>
      </c>
      <c r="K3174" s="10">
        <v>46084.0</v>
      </c>
      <c r="L3174" s="6">
        <v>1.0</v>
      </c>
      <c r="M3174" s="8">
        <f t="shared" si="4"/>
        <v>0.21</v>
      </c>
      <c r="P3174" s="9"/>
    </row>
    <row r="3175">
      <c r="A3175" s="6" t="s">
        <v>7397</v>
      </c>
      <c r="B3175" s="6" t="s">
        <v>7398</v>
      </c>
      <c r="C3175" s="6" t="s">
        <v>61</v>
      </c>
      <c r="D3175" s="6" t="s">
        <v>7399</v>
      </c>
      <c r="E3175" s="6" t="s">
        <v>570</v>
      </c>
      <c r="F3175" s="6" t="s">
        <v>77</v>
      </c>
      <c r="G3175" s="7">
        <v>0.39</v>
      </c>
      <c r="H3175" s="6" t="s">
        <v>144</v>
      </c>
      <c r="I3175" s="6" t="s">
        <v>20</v>
      </c>
      <c r="J3175" s="6">
        <v>2018.0</v>
      </c>
      <c r="K3175" s="10">
        <v>46180.0</v>
      </c>
      <c r="L3175" s="6">
        <v>1.0</v>
      </c>
      <c r="M3175" s="8">
        <f t="shared" si="4"/>
        <v>0.39</v>
      </c>
      <c r="P3175" s="9"/>
    </row>
    <row r="3176">
      <c r="A3176" s="6" t="s">
        <v>7400</v>
      </c>
      <c r="B3176" s="6" t="s">
        <v>7401</v>
      </c>
      <c r="C3176" s="6" t="s">
        <v>15</v>
      </c>
      <c r="D3176" s="6" t="s">
        <v>7402</v>
      </c>
      <c r="E3176" s="6" t="s">
        <v>980</v>
      </c>
      <c r="F3176" s="6" t="s">
        <v>112</v>
      </c>
      <c r="G3176" s="7">
        <v>0.24</v>
      </c>
      <c r="H3176" s="6" t="s">
        <v>153</v>
      </c>
      <c r="I3176" s="6" t="s">
        <v>20</v>
      </c>
      <c r="J3176" s="6">
        <v>2025.0</v>
      </c>
      <c r="K3176" s="10">
        <v>46055.0</v>
      </c>
      <c r="L3176" s="6">
        <v>1.0</v>
      </c>
      <c r="M3176" s="8">
        <f t="shared" si="4"/>
        <v>0.24</v>
      </c>
      <c r="P3176" s="9"/>
    </row>
    <row r="3177">
      <c r="A3177" s="6" t="s">
        <v>7403</v>
      </c>
      <c r="B3177" s="6" t="s">
        <v>610</v>
      </c>
      <c r="C3177" s="6" t="s">
        <v>37</v>
      </c>
      <c r="D3177" s="6" t="s">
        <v>7404</v>
      </c>
      <c r="E3177" s="6" t="s">
        <v>7405</v>
      </c>
      <c r="F3177" s="6" t="s">
        <v>1000</v>
      </c>
      <c r="G3177" s="7">
        <v>0.15</v>
      </c>
      <c r="H3177" s="6" t="s">
        <v>99</v>
      </c>
      <c r="I3177" s="6" t="s">
        <v>20</v>
      </c>
      <c r="J3177" s="6">
        <v>2022.0</v>
      </c>
      <c r="K3177" s="10">
        <v>46084.0</v>
      </c>
      <c r="L3177" s="6">
        <v>2.0</v>
      </c>
      <c r="M3177" s="8">
        <f t="shared" si="4"/>
        <v>0.3</v>
      </c>
      <c r="P3177" s="9"/>
    </row>
    <row r="3178">
      <c r="A3178" s="6" t="s">
        <v>7406</v>
      </c>
      <c r="B3178" s="6" t="s">
        <v>162</v>
      </c>
      <c r="C3178" s="6" t="s">
        <v>37</v>
      </c>
      <c r="D3178" s="6" t="s">
        <v>7407</v>
      </c>
      <c r="E3178" s="6" t="s">
        <v>176</v>
      </c>
      <c r="F3178" s="6" t="s">
        <v>77</v>
      </c>
      <c r="G3178" s="7">
        <v>0.09</v>
      </c>
      <c r="H3178" s="6" t="s">
        <v>249</v>
      </c>
      <c r="I3178" s="6" t="s">
        <v>20</v>
      </c>
      <c r="J3178" s="6">
        <v>2014.0</v>
      </c>
      <c r="L3178" s="6">
        <v>1.0</v>
      </c>
      <c r="M3178" s="8">
        <f t="shared" si="4"/>
        <v>0.09</v>
      </c>
      <c r="P3178" s="9"/>
    </row>
    <row r="3179">
      <c r="A3179" s="6" t="s">
        <v>7408</v>
      </c>
      <c r="B3179" s="6" t="s">
        <v>162</v>
      </c>
      <c r="C3179" s="6" t="s">
        <v>43</v>
      </c>
      <c r="D3179" s="6" t="s">
        <v>7409</v>
      </c>
      <c r="E3179" s="6" t="s">
        <v>86</v>
      </c>
      <c r="F3179" s="6" t="s">
        <v>87</v>
      </c>
      <c r="G3179" s="7">
        <v>0.03</v>
      </c>
      <c r="H3179" s="6" t="s">
        <v>78</v>
      </c>
      <c r="I3179" s="6" t="s">
        <v>20</v>
      </c>
      <c r="J3179" s="6">
        <v>2018.0</v>
      </c>
      <c r="L3179" s="6">
        <v>3.0</v>
      </c>
      <c r="M3179" s="8">
        <f t="shared" si="4"/>
        <v>0.09</v>
      </c>
      <c r="P3179" s="9"/>
    </row>
    <row r="3180">
      <c r="A3180" s="6" t="s">
        <v>7408</v>
      </c>
      <c r="B3180" s="6" t="s">
        <v>162</v>
      </c>
      <c r="C3180" s="6" t="s">
        <v>43</v>
      </c>
      <c r="D3180" s="6" t="s">
        <v>7409</v>
      </c>
      <c r="E3180" s="6" t="s">
        <v>86</v>
      </c>
      <c r="F3180" s="6" t="s">
        <v>87</v>
      </c>
      <c r="G3180" s="7">
        <v>0.33</v>
      </c>
      <c r="H3180" s="6" t="s">
        <v>78</v>
      </c>
      <c r="I3180" s="6" t="s">
        <v>45</v>
      </c>
      <c r="J3180" s="6">
        <v>2018.0</v>
      </c>
      <c r="L3180" s="6">
        <v>1.0</v>
      </c>
      <c r="M3180" s="8">
        <f t="shared" si="4"/>
        <v>0.33</v>
      </c>
      <c r="P3180" s="9"/>
    </row>
    <row r="3181">
      <c r="A3181" s="6" t="s">
        <v>7408</v>
      </c>
      <c r="B3181" s="6" t="s">
        <v>162</v>
      </c>
      <c r="C3181" s="6" t="s">
        <v>43</v>
      </c>
      <c r="D3181" s="6" t="s">
        <v>7409</v>
      </c>
      <c r="E3181" s="6" t="s">
        <v>86</v>
      </c>
      <c r="F3181" s="6" t="s">
        <v>87</v>
      </c>
      <c r="G3181" s="7">
        <v>0.05</v>
      </c>
      <c r="H3181" s="6" t="s">
        <v>7410</v>
      </c>
      <c r="I3181" s="6" t="s">
        <v>20</v>
      </c>
      <c r="J3181" s="6">
        <v>2020.0</v>
      </c>
      <c r="L3181" s="6">
        <v>1.0</v>
      </c>
      <c r="M3181" s="8">
        <f t="shared" si="4"/>
        <v>0.05</v>
      </c>
      <c r="P3181" s="9"/>
    </row>
    <row r="3182">
      <c r="A3182" s="6" t="s">
        <v>7411</v>
      </c>
      <c r="B3182" s="6" t="s">
        <v>7412</v>
      </c>
      <c r="C3182" s="6" t="s">
        <v>43</v>
      </c>
      <c r="D3182" s="6" t="s">
        <v>7413</v>
      </c>
      <c r="E3182" s="6" t="s">
        <v>140</v>
      </c>
      <c r="F3182" s="6" t="s">
        <v>87</v>
      </c>
      <c r="G3182" s="7">
        <v>0.05</v>
      </c>
      <c r="H3182" s="6" t="s">
        <v>1161</v>
      </c>
      <c r="I3182" s="6" t="s">
        <v>20</v>
      </c>
      <c r="J3182" s="6">
        <v>2005.0</v>
      </c>
      <c r="K3182" s="10">
        <v>46056.0</v>
      </c>
      <c r="L3182" s="6">
        <v>1.0</v>
      </c>
      <c r="M3182" s="8">
        <f t="shared" si="4"/>
        <v>0.05</v>
      </c>
      <c r="P3182" s="9"/>
    </row>
    <row r="3183">
      <c r="A3183" s="6" t="s">
        <v>7414</v>
      </c>
      <c r="B3183" s="6" t="s">
        <v>494</v>
      </c>
      <c r="C3183" s="6" t="s">
        <v>43</v>
      </c>
      <c r="D3183" s="6" t="s">
        <v>7415</v>
      </c>
      <c r="E3183" s="6" t="s">
        <v>117</v>
      </c>
      <c r="F3183" s="6" t="s">
        <v>77</v>
      </c>
      <c r="G3183" s="7">
        <v>0.06</v>
      </c>
      <c r="H3183" s="6" t="s">
        <v>58</v>
      </c>
      <c r="I3183" s="6" t="s">
        <v>20</v>
      </c>
      <c r="J3183" s="6">
        <v>1995.0</v>
      </c>
      <c r="L3183" s="6">
        <v>2.0</v>
      </c>
      <c r="M3183" s="8">
        <f t="shared" si="4"/>
        <v>0.12</v>
      </c>
      <c r="P3183" s="9"/>
    </row>
    <row r="3184">
      <c r="A3184" s="6" t="s">
        <v>7414</v>
      </c>
      <c r="B3184" s="6" t="s">
        <v>494</v>
      </c>
      <c r="C3184" s="6" t="s">
        <v>43</v>
      </c>
      <c r="D3184" s="6" t="s">
        <v>7415</v>
      </c>
      <c r="E3184" s="6" t="s">
        <v>117</v>
      </c>
      <c r="F3184" s="6" t="s">
        <v>77</v>
      </c>
      <c r="G3184" s="7">
        <v>0.09</v>
      </c>
      <c r="H3184" s="6" t="s">
        <v>58</v>
      </c>
      <c r="I3184" s="6" t="s">
        <v>20</v>
      </c>
      <c r="J3184" s="6">
        <v>1995.0</v>
      </c>
      <c r="L3184" s="6">
        <v>1.0</v>
      </c>
      <c r="M3184" s="8">
        <f t="shared" si="4"/>
        <v>0.09</v>
      </c>
      <c r="P3184" s="9"/>
    </row>
    <row r="3185">
      <c r="A3185" s="6" t="s">
        <v>7416</v>
      </c>
      <c r="B3185" s="6" t="s">
        <v>462</v>
      </c>
      <c r="C3185" s="6" t="s">
        <v>43</v>
      </c>
      <c r="D3185" s="6" t="s">
        <v>7417</v>
      </c>
      <c r="E3185" s="6" t="s">
        <v>176</v>
      </c>
      <c r="F3185" s="6" t="s">
        <v>77</v>
      </c>
      <c r="G3185" s="7">
        <v>0.05</v>
      </c>
      <c r="H3185" s="6" t="s">
        <v>187</v>
      </c>
      <c r="I3185" s="6" t="s">
        <v>20</v>
      </c>
      <c r="J3185" s="6">
        <v>1995.0</v>
      </c>
      <c r="L3185" s="6">
        <v>1.0</v>
      </c>
      <c r="M3185" s="8">
        <f t="shared" si="4"/>
        <v>0.05</v>
      </c>
      <c r="P3185" s="9"/>
    </row>
    <row r="3186">
      <c r="A3186" s="6" t="s">
        <v>7418</v>
      </c>
      <c r="B3186" s="6" t="s">
        <v>7419</v>
      </c>
      <c r="C3186" s="6" t="s">
        <v>37</v>
      </c>
      <c r="D3186" s="6" t="s">
        <v>7420</v>
      </c>
      <c r="E3186" s="6" t="s">
        <v>164</v>
      </c>
      <c r="F3186" s="6" t="s">
        <v>112</v>
      </c>
      <c r="G3186" s="7">
        <v>0.2</v>
      </c>
      <c r="H3186" s="6" t="s">
        <v>918</v>
      </c>
      <c r="I3186" s="6" t="s">
        <v>20</v>
      </c>
      <c r="J3186" s="6">
        <v>2023.0</v>
      </c>
      <c r="K3186" s="10">
        <v>46055.0</v>
      </c>
      <c r="L3186" s="6">
        <v>1.0</v>
      </c>
      <c r="M3186" s="8">
        <f t="shared" si="4"/>
        <v>0.2</v>
      </c>
      <c r="P3186" s="9"/>
    </row>
    <row r="3187">
      <c r="A3187" s="6" t="s">
        <v>7421</v>
      </c>
      <c r="B3187" s="6" t="s">
        <v>440</v>
      </c>
      <c r="C3187" s="6" t="s">
        <v>37</v>
      </c>
      <c r="D3187" s="6" t="s">
        <v>7422</v>
      </c>
      <c r="E3187" s="6" t="s">
        <v>1027</v>
      </c>
      <c r="F3187" s="6" t="s">
        <v>77</v>
      </c>
      <c r="G3187" s="7">
        <v>0.3</v>
      </c>
      <c r="H3187" s="6" t="s">
        <v>194</v>
      </c>
      <c r="I3187" s="6" t="s">
        <v>20</v>
      </c>
      <c r="J3187" s="6">
        <v>1994.0</v>
      </c>
      <c r="L3187" s="6">
        <v>1.0</v>
      </c>
      <c r="M3187" s="8">
        <f t="shared" si="4"/>
        <v>0.3</v>
      </c>
      <c r="P3187" s="9"/>
    </row>
    <row r="3188">
      <c r="A3188" s="6" t="s">
        <v>7423</v>
      </c>
      <c r="B3188" s="6" t="s">
        <v>1904</v>
      </c>
      <c r="C3188" s="6" t="s">
        <v>23</v>
      </c>
      <c r="D3188" s="6" t="s">
        <v>7424</v>
      </c>
      <c r="E3188" s="6" t="s">
        <v>980</v>
      </c>
      <c r="F3188" s="6" t="s">
        <v>112</v>
      </c>
      <c r="G3188" s="7">
        <v>0.18</v>
      </c>
      <c r="H3188" s="6" t="s">
        <v>153</v>
      </c>
      <c r="I3188" s="6" t="s">
        <v>20</v>
      </c>
      <c r="J3188" s="6">
        <v>2025.0</v>
      </c>
      <c r="K3188" s="10">
        <v>46023.0</v>
      </c>
      <c r="L3188" s="6">
        <v>8.0</v>
      </c>
      <c r="M3188" s="8">
        <f t="shared" si="4"/>
        <v>1.44</v>
      </c>
      <c r="P3188" s="9"/>
    </row>
    <row r="3189">
      <c r="A3189" s="6" t="s">
        <v>7425</v>
      </c>
      <c r="B3189" s="6" t="s">
        <v>6293</v>
      </c>
      <c r="C3189" s="6" t="s">
        <v>43</v>
      </c>
      <c r="D3189" s="6" t="s">
        <v>7426</v>
      </c>
      <c r="E3189" s="6" t="s">
        <v>164</v>
      </c>
      <c r="F3189" s="6" t="s">
        <v>112</v>
      </c>
      <c r="G3189" s="7">
        <v>0.1</v>
      </c>
      <c r="H3189" s="6" t="s">
        <v>89</v>
      </c>
      <c r="I3189" s="6" t="s">
        <v>20</v>
      </c>
      <c r="J3189" s="6">
        <v>2021.0</v>
      </c>
      <c r="K3189" s="10">
        <v>46023.0</v>
      </c>
      <c r="L3189" s="6">
        <v>1.0</v>
      </c>
      <c r="M3189" s="8">
        <f t="shared" si="4"/>
        <v>0.1</v>
      </c>
      <c r="P3189" s="9"/>
    </row>
    <row r="3190">
      <c r="A3190" s="6" t="s">
        <v>7427</v>
      </c>
      <c r="B3190" s="6" t="s">
        <v>138</v>
      </c>
      <c r="C3190" s="6" t="s">
        <v>43</v>
      </c>
      <c r="D3190" s="6" t="s">
        <v>7428</v>
      </c>
      <c r="E3190" s="6" t="s">
        <v>117</v>
      </c>
      <c r="F3190" s="6" t="s">
        <v>77</v>
      </c>
      <c r="G3190" s="7">
        <v>0.39</v>
      </c>
      <c r="H3190" s="6" t="s">
        <v>238</v>
      </c>
      <c r="I3190" s="6" t="s">
        <v>20</v>
      </c>
      <c r="J3190" s="6">
        <v>2024.0</v>
      </c>
      <c r="L3190" s="6">
        <v>1.0</v>
      </c>
      <c r="M3190" s="8">
        <f t="shared" si="4"/>
        <v>0.39</v>
      </c>
      <c r="P3190" s="9"/>
    </row>
    <row r="3191">
      <c r="A3191" s="6" t="s">
        <v>7429</v>
      </c>
      <c r="B3191" s="6" t="s">
        <v>4639</v>
      </c>
      <c r="C3191" s="6" t="s">
        <v>37</v>
      </c>
      <c r="D3191" s="6" t="s">
        <v>7430</v>
      </c>
      <c r="E3191" s="6" t="s">
        <v>179</v>
      </c>
      <c r="F3191" s="6" t="s">
        <v>112</v>
      </c>
      <c r="G3191" s="7">
        <v>0.05</v>
      </c>
      <c r="H3191" s="6" t="s">
        <v>1396</v>
      </c>
      <c r="I3191" s="6" t="s">
        <v>20</v>
      </c>
      <c r="J3191" s="6">
        <v>2020.0</v>
      </c>
      <c r="K3191" s="10">
        <v>46054.0</v>
      </c>
      <c r="L3191" s="6">
        <v>4.0</v>
      </c>
      <c r="M3191" s="8">
        <f t="shared" si="4"/>
        <v>0.2</v>
      </c>
      <c r="P3191" s="9"/>
    </row>
    <row r="3192">
      <c r="A3192" s="6" t="s">
        <v>7431</v>
      </c>
      <c r="B3192" s="6" t="s">
        <v>1548</v>
      </c>
      <c r="C3192" s="6" t="s">
        <v>15</v>
      </c>
      <c r="D3192" s="6" t="s">
        <v>7432</v>
      </c>
      <c r="E3192" s="6" t="s">
        <v>5911</v>
      </c>
      <c r="F3192" s="6" t="s">
        <v>18</v>
      </c>
      <c r="G3192" s="7">
        <v>0.15</v>
      </c>
      <c r="H3192" s="6" t="s">
        <v>780</v>
      </c>
      <c r="I3192" s="6" t="s">
        <v>20</v>
      </c>
      <c r="J3192" s="6">
        <v>2025.0</v>
      </c>
      <c r="L3192" s="6">
        <v>2.0</v>
      </c>
      <c r="M3192" s="8">
        <f t="shared" si="4"/>
        <v>0.3</v>
      </c>
      <c r="P3192" s="9"/>
    </row>
    <row r="3193">
      <c r="A3193" s="6" t="s">
        <v>7433</v>
      </c>
      <c r="B3193" s="6" t="s">
        <v>5811</v>
      </c>
      <c r="C3193" s="6" t="s">
        <v>43</v>
      </c>
      <c r="E3193" s="6" t="s">
        <v>2647</v>
      </c>
      <c r="F3193" s="6" t="s">
        <v>112</v>
      </c>
      <c r="G3193" s="7">
        <v>0.05</v>
      </c>
      <c r="H3193" s="6" t="s">
        <v>7434</v>
      </c>
      <c r="I3193" s="6" t="s">
        <v>20</v>
      </c>
      <c r="J3193" s="6">
        <v>2010.0</v>
      </c>
      <c r="K3193" s="10">
        <v>46084.0</v>
      </c>
      <c r="L3193" s="6">
        <v>1.0</v>
      </c>
      <c r="M3193" s="8">
        <f t="shared" si="4"/>
        <v>0.05</v>
      </c>
      <c r="P3193" s="9"/>
    </row>
    <row r="3194">
      <c r="A3194" s="6" t="s">
        <v>7435</v>
      </c>
      <c r="B3194" s="6" t="s">
        <v>1517</v>
      </c>
      <c r="C3194" s="6" t="s">
        <v>43</v>
      </c>
      <c r="D3194" s="6" t="s">
        <v>7436</v>
      </c>
      <c r="E3194" s="6" t="s">
        <v>125</v>
      </c>
      <c r="F3194" s="6" t="s">
        <v>40</v>
      </c>
      <c r="G3194" s="7">
        <v>0.06</v>
      </c>
      <c r="H3194" s="6" t="s">
        <v>586</v>
      </c>
      <c r="I3194" s="6" t="s">
        <v>20</v>
      </c>
      <c r="J3194" s="6">
        <v>2012.0</v>
      </c>
      <c r="K3194" s="10">
        <v>46023.0</v>
      </c>
      <c r="L3194" s="6">
        <v>4.0</v>
      </c>
      <c r="M3194" s="8">
        <f t="shared" si="4"/>
        <v>0.24</v>
      </c>
      <c r="P3194" s="9"/>
    </row>
    <row r="3195">
      <c r="A3195" s="6" t="s">
        <v>7437</v>
      </c>
      <c r="B3195" s="6" t="s">
        <v>167</v>
      </c>
      <c r="C3195" s="6" t="s">
        <v>23</v>
      </c>
      <c r="D3195" s="6" t="s">
        <v>7438</v>
      </c>
      <c r="E3195" s="6" t="s">
        <v>185</v>
      </c>
      <c r="F3195" s="6" t="s">
        <v>26</v>
      </c>
      <c r="G3195" s="7">
        <v>0.05</v>
      </c>
      <c r="H3195" s="6" t="s">
        <v>297</v>
      </c>
      <c r="I3195" s="6" t="s">
        <v>20</v>
      </c>
      <c r="J3195" s="6">
        <v>2022.0</v>
      </c>
      <c r="K3195" s="10">
        <v>46085.0</v>
      </c>
      <c r="L3195" s="6">
        <v>2.0</v>
      </c>
      <c r="M3195" s="8">
        <f t="shared" si="4"/>
        <v>0.1</v>
      </c>
      <c r="P3195" s="9"/>
    </row>
    <row r="3196">
      <c r="A3196" s="6" t="s">
        <v>7439</v>
      </c>
      <c r="B3196" s="6" t="s">
        <v>1577</v>
      </c>
      <c r="C3196" s="6" t="s">
        <v>43</v>
      </c>
      <c r="D3196" s="6" t="s">
        <v>7440</v>
      </c>
      <c r="F3196" s="6" t="s">
        <v>519</v>
      </c>
      <c r="G3196" s="7">
        <v>0.1</v>
      </c>
      <c r="H3196" s="6" t="s">
        <v>297</v>
      </c>
      <c r="I3196" s="6" t="s">
        <v>20</v>
      </c>
      <c r="J3196" s="6">
        <v>2022.0</v>
      </c>
      <c r="L3196" s="6">
        <v>4.0</v>
      </c>
      <c r="M3196" s="8">
        <f t="shared" si="4"/>
        <v>0.4</v>
      </c>
      <c r="P3196" s="9"/>
    </row>
    <row r="3197">
      <c r="A3197" s="6" t="s">
        <v>7441</v>
      </c>
      <c r="B3197" s="6" t="s">
        <v>1794</v>
      </c>
      <c r="C3197" s="6" t="s">
        <v>204</v>
      </c>
      <c r="D3197" s="6" t="s">
        <v>7442</v>
      </c>
      <c r="E3197" s="6" t="s">
        <v>282</v>
      </c>
      <c r="F3197" s="6" t="s">
        <v>40</v>
      </c>
      <c r="G3197" s="7">
        <v>0.14</v>
      </c>
      <c r="H3197" s="6" t="s">
        <v>324</v>
      </c>
      <c r="I3197" s="6" t="s">
        <v>20</v>
      </c>
      <c r="J3197" s="6">
        <v>1995.0</v>
      </c>
      <c r="L3197" s="6">
        <v>2.0</v>
      </c>
      <c r="M3197" s="8">
        <f t="shared" si="4"/>
        <v>0.28</v>
      </c>
      <c r="P3197" s="9"/>
    </row>
    <row r="3198">
      <c r="A3198" s="6" t="s">
        <v>7441</v>
      </c>
      <c r="B3198" s="6" t="s">
        <v>1794</v>
      </c>
      <c r="C3198" s="6" t="s">
        <v>204</v>
      </c>
      <c r="D3198" s="6" t="s">
        <v>7442</v>
      </c>
      <c r="E3198" s="6" t="s">
        <v>282</v>
      </c>
      <c r="F3198" s="6" t="s">
        <v>40</v>
      </c>
      <c r="G3198" s="7">
        <v>0.4</v>
      </c>
      <c r="H3198" s="6" t="s">
        <v>316</v>
      </c>
      <c r="I3198" s="6" t="s">
        <v>20</v>
      </c>
      <c r="J3198" s="6">
        <v>1995.0</v>
      </c>
      <c r="L3198" s="6">
        <v>2.0</v>
      </c>
      <c r="M3198" s="8">
        <f t="shared" si="4"/>
        <v>0.8</v>
      </c>
      <c r="P3198" s="9"/>
    </row>
    <row r="3199">
      <c r="A3199" s="6" t="s">
        <v>7443</v>
      </c>
      <c r="B3199" s="6" t="s">
        <v>7444</v>
      </c>
      <c r="C3199" s="6" t="s">
        <v>43</v>
      </c>
      <c r="D3199" s="6" t="s">
        <v>7445</v>
      </c>
      <c r="E3199" s="6" t="s">
        <v>164</v>
      </c>
      <c r="F3199" s="6" t="s">
        <v>112</v>
      </c>
      <c r="G3199" s="7">
        <v>0.09</v>
      </c>
      <c r="H3199" s="6" t="s">
        <v>1161</v>
      </c>
      <c r="I3199" s="6" t="s">
        <v>20</v>
      </c>
      <c r="J3199" s="6">
        <v>2005.0</v>
      </c>
      <c r="K3199" s="10">
        <v>46055.0</v>
      </c>
      <c r="L3199" s="6">
        <v>1.0</v>
      </c>
      <c r="M3199" s="8">
        <f t="shared" si="4"/>
        <v>0.09</v>
      </c>
      <c r="P3199" s="9"/>
    </row>
    <row r="3200">
      <c r="A3200" s="6" t="s">
        <v>7446</v>
      </c>
      <c r="B3200" s="6" t="s">
        <v>138</v>
      </c>
      <c r="C3200" s="6" t="s">
        <v>43</v>
      </c>
      <c r="D3200" s="6" t="s">
        <v>7447</v>
      </c>
      <c r="E3200" s="6" t="s">
        <v>76</v>
      </c>
      <c r="F3200" s="6" t="s">
        <v>77</v>
      </c>
      <c r="G3200" s="7">
        <v>0.13</v>
      </c>
      <c r="H3200" s="6" t="s">
        <v>631</v>
      </c>
      <c r="I3200" s="6" t="s">
        <v>20</v>
      </c>
      <c r="J3200" s="6">
        <v>1995.0</v>
      </c>
      <c r="L3200" s="6">
        <v>2.0</v>
      </c>
      <c r="M3200" s="8">
        <f t="shared" si="4"/>
        <v>0.26</v>
      </c>
      <c r="P3200" s="9"/>
    </row>
    <row r="3201">
      <c r="A3201" s="6" t="s">
        <v>7448</v>
      </c>
      <c r="B3201" s="6" t="s">
        <v>606</v>
      </c>
      <c r="C3201" s="6" t="s">
        <v>23</v>
      </c>
      <c r="D3201" s="6" t="s">
        <v>7449</v>
      </c>
      <c r="E3201" s="6" t="s">
        <v>7450</v>
      </c>
      <c r="F3201" s="6" t="s">
        <v>18</v>
      </c>
      <c r="G3201" s="7">
        <v>0.06</v>
      </c>
      <c r="H3201" s="6" t="s">
        <v>130</v>
      </c>
      <c r="I3201" s="6" t="s">
        <v>20</v>
      </c>
      <c r="J3201" s="6">
        <v>2014.0</v>
      </c>
      <c r="L3201" s="6">
        <v>2.0</v>
      </c>
      <c r="M3201" s="8">
        <f t="shared" si="4"/>
        <v>0.12</v>
      </c>
      <c r="P3201" s="9"/>
    </row>
    <row r="3202">
      <c r="A3202" s="6" t="s">
        <v>7451</v>
      </c>
      <c r="B3202" s="6" t="s">
        <v>115</v>
      </c>
      <c r="C3202" s="6" t="s">
        <v>15</v>
      </c>
      <c r="D3202" s="6" t="s">
        <v>7452</v>
      </c>
      <c r="E3202" s="6" t="s">
        <v>668</v>
      </c>
      <c r="F3202" s="6" t="s">
        <v>18</v>
      </c>
      <c r="G3202" s="7">
        <v>0.19</v>
      </c>
      <c r="H3202" s="6" t="s">
        <v>153</v>
      </c>
      <c r="I3202" s="6" t="s">
        <v>20</v>
      </c>
      <c r="J3202" s="6">
        <v>2025.0</v>
      </c>
      <c r="L3202" s="6">
        <v>3.0</v>
      </c>
      <c r="M3202" s="8">
        <f t="shared" si="4"/>
        <v>0.57</v>
      </c>
      <c r="P3202" s="9"/>
    </row>
    <row r="3203">
      <c r="A3203" s="6" t="s">
        <v>7451</v>
      </c>
      <c r="B3203" s="6" t="s">
        <v>115</v>
      </c>
      <c r="C3203" s="6" t="s">
        <v>15</v>
      </c>
      <c r="D3203" s="6" t="s">
        <v>7452</v>
      </c>
      <c r="E3203" s="6" t="s">
        <v>668</v>
      </c>
      <c r="F3203" s="6" t="s">
        <v>18</v>
      </c>
      <c r="G3203" s="7">
        <v>0.4</v>
      </c>
      <c r="H3203" s="6" t="s">
        <v>153</v>
      </c>
      <c r="I3203" s="6" t="s">
        <v>45</v>
      </c>
      <c r="J3203" s="6">
        <v>2025.0</v>
      </c>
      <c r="L3203" s="6">
        <v>1.0</v>
      </c>
      <c r="M3203" s="8">
        <f t="shared" si="4"/>
        <v>0.4</v>
      </c>
      <c r="P3203" s="9"/>
    </row>
    <row r="3204">
      <c r="A3204" s="6" t="s">
        <v>7453</v>
      </c>
      <c r="B3204" s="6" t="s">
        <v>685</v>
      </c>
      <c r="C3204" s="6" t="s">
        <v>43</v>
      </c>
      <c r="D3204" s="6" t="s">
        <v>7454</v>
      </c>
      <c r="E3204" s="6" t="s">
        <v>125</v>
      </c>
      <c r="F3204" s="6" t="s">
        <v>40</v>
      </c>
      <c r="G3204" s="7">
        <v>0.09</v>
      </c>
      <c r="H3204" s="6" t="s">
        <v>89</v>
      </c>
      <c r="I3204" s="6" t="s">
        <v>20</v>
      </c>
      <c r="J3204" s="6">
        <v>2021.0</v>
      </c>
      <c r="K3204" s="10">
        <v>46023.0</v>
      </c>
      <c r="L3204" s="6">
        <v>2.0</v>
      </c>
      <c r="M3204" s="8">
        <f t="shared" si="4"/>
        <v>0.18</v>
      </c>
      <c r="P3204" s="9"/>
    </row>
    <row r="3205">
      <c r="A3205" s="6" t="s">
        <v>7455</v>
      </c>
      <c r="B3205" s="6" t="s">
        <v>1816</v>
      </c>
      <c r="C3205" s="6" t="s">
        <v>43</v>
      </c>
      <c r="E3205" s="6" t="s">
        <v>135</v>
      </c>
      <c r="F3205" s="6" t="s">
        <v>40</v>
      </c>
      <c r="G3205" s="7">
        <v>0.05</v>
      </c>
      <c r="H3205" s="6" t="s">
        <v>496</v>
      </c>
      <c r="I3205" s="6" t="s">
        <v>20</v>
      </c>
      <c r="J3205" s="6">
        <v>2013.0</v>
      </c>
      <c r="K3205" s="10">
        <v>46055.0</v>
      </c>
      <c r="L3205" s="6">
        <v>3.0</v>
      </c>
      <c r="M3205" s="8">
        <f t="shared" si="4"/>
        <v>0.15</v>
      </c>
      <c r="P3205" s="9"/>
    </row>
    <row r="3206">
      <c r="A3206" s="6" t="s">
        <v>7456</v>
      </c>
      <c r="B3206" s="6" t="s">
        <v>2132</v>
      </c>
      <c r="C3206" s="6" t="s">
        <v>43</v>
      </c>
      <c r="D3206" s="6" t="s">
        <v>7457</v>
      </c>
      <c r="E3206" s="6" t="s">
        <v>256</v>
      </c>
      <c r="F3206" s="6" t="s">
        <v>87</v>
      </c>
      <c r="G3206" s="7">
        <v>0.05</v>
      </c>
      <c r="H3206" s="6" t="s">
        <v>34</v>
      </c>
      <c r="I3206" s="6" t="s">
        <v>20</v>
      </c>
      <c r="J3206" s="6">
        <v>2025.0</v>
      </c>
      <c r="K3206" s="10">
        <v>46024.0</v>
      </c>
      <c r="L3206" s="6">
        <v>2.0</v>
      </c>
      <c r="M3206" s="8">
        <f t="shared" si="4"/>
        <v>0.1</v>
      </c>
      <c r="P3206" s="9"/>
    </row>
    <row r="3207">
      <c r="A3207" s="6" t="s">
        <v>7458</v>
      </c>
      <c r="B3207" s="6" t="s">
        <v>762</v>
      </c>
      <c r="C3207" s="6" t="s">
        <v>43</v>
      </c>
      <c r="D3207" s="6" t="s">
        <v>7459</v>
      </c>
      <c r="E3207" s="6" t="s">
        <v>39</v>
      </c>
      <c r="F3207" s="6" t="s">
        <v>40</v>
      </c>
      <c r="G3207" s="7">
        <v>0.09</v>
      </c>
      <c r="H3207" s="6" t="s">
        <v>2087</v>
      </c>
      <c r="I3207" s="6" t="s">
        <v>20</v>
      </c>
      <c r="J3207" s="6">
        <v>2000.0</v>
      </c>
      <c r="K3207" s="10">
        <v>46083.0</v>
      </c>
      <c r="L3207" s="6">
        <v>3.0</v>
      </c>
      <c r="M3207" s="8">
        <f t="shared" si="4"/>
        <v>0.27</v>
      </c>
      <c r="P3207" s="9"/>
    </row>
    <row r="3208">
      <c r="A3208" s="6" t="s">
        <v>7460</v>
      </c>
      <c r="B3208" s="6" t="s">
        <v>170</v>
      </c>
      <c r="C3208" s="6" t="s">
        <v>156</v>
      </c>
      <c r="D3208" s="6" t="s">
        <v>7461</v>
      </c>
      <c r="E3208" s="6" t="s">
        <v>172</v>
      </c>
      <c r="F3208" s="6" t="s">
        <v>26</v>
      </c>
      <c r="G3208" s="7">
        <v>0.15</v>
      </c>
      <c r="H3208" s="6" t="s">
        <v>153</v>
      </c>
      <c r="I3208" s="6" t="s">
        <v>20</v>
      </c>
      <c r="J3208" s="6">
        <v>2025.0</v>
      </c>
      <c r="L3208" s="6">
        <v>2.0</v>
      </c>
      <c r="M3208" s="8">
        <f t="shared" si="4"/>
        <v>0.3</v>
      </c>
      <c r="P3208" s="9"/>
    </row>
    <row r="3209">
      <c r="A3209" s="6" t="s">
        <v>7462</v>
      </c>
      <c r="B3209" s="6" t="s">
        <v>462</v>
      </c>
      <c r="C3209" s="6" t="s">
        <v>37</v>
      </c>
      <c r="D3209" s="6" t="s">
        <v>7463</v>
      </c>
      <c r="E3209" s="6" t="s">
        <v>140</v>
      </c>
      <c r="F3209" s="6" t="s">
        <v>87</v>
      </c>
      <c r="G3209" s="7">
        <v>0.23</v>
      </c>
      <c r="H3209" s="6" t="s">
        <v>475</v>
      </c>
      <c r="I3209" s="6" t="s">
        <v>45</v>
      </c>
      <c r="J3209" s="6">
        <v>2024.0</v>
      </c>
      <c r="L3209" s="6">
        <v>1.0</v>
      </c>
      <c r="M3209" s="8">
        <f t="shared" si="4"/>
        <v>0.23</v>
      </c>
      <c r="P3209" s="9"/>
    </row>
    <row r="3210">
      <c r="A3210" s="6" t="s">
        <v>7464</v>
      </c>
      <c r="B3210" s="6" t="s">
        <v>146</v>
      </c>
      <c r="C3210" s="6" t="s">
        <v>37</v>
      </c>
      <c r="D3210" s="6" t="s">
        <v>7465</v>
      </c>
      <c r="E3210" s="6" t="s">
        <v>256</v>
      </c>
      <c r="F3210" s="6" t="s">
        <v>87</v>
      </c>
      <c r="G3210" s="7">
        <v>0.06</v>
      </c>
      <c r="H3210" s="6" t="s">
        <v>531</v>
      </c>
      <c r="I3210" s="6" t="s">
        <v>20</v>
      </c>
      <c r="J3210" s="6">
        <v>2017.0</v>
      </c>
      <c r="L3210" s="6">
        <v>1.0</v>
      </c>
      <c r="M3210" s="8">
        <f t="shared" si="4"/>
        <v>0.06</v>
      </c>
      <c r="P3210" s="9"/>
    </row>
    <row r="3211">
      <c r="A3211" s="6" t="s">
        <v>7466</v>
      </c>
      <c r="B3211" s="6" t="s">
        <v>6157</v>
      </c>
      <c r="C3211" s="6" t="s">
        <v>377</v>
      </c>
      <c r="D3211" s="6" t="s">
        <v>7467</v>
      </c>
      <c r="E3211" s="6" t="s">
        <v>57</v>
      </c>
      <c r="F3211" s="6" t="s">
        <v>697</v>
      </c>
      <c r="G3211" s="7">
        <v>0.2</v>
      </c>
      <c r="H3211" s="6" t="s">
        <v>471</v>
      </c>
      <c r="I3211" s="6" t="s">
        <v>45</v>
      </c>
      <c r="J3211" s="6">
        <v>2026.0</v>
      </c>
      <c r="K3211" s="10">
        <v>46082.0</v>
      </c>
      <c r="L3211" s="6">
        <v>1.0</v>
      </c>
      <c r="M3211" s="8">
        <f t="shared" si="4"/>
        <v>0.2</v>
      </c>
      <c r="P3211" s="9"/>
    </row>
    <row r="3212">
      <c r="A3212" s="6" t="s">
        <v>7468</v>
      </c>
      <c r="B3212" s="6" t="s">
        <v>7469</v>
      </c>
      <c r="C3212" s="6" t="s">
        <v>23</v>
      </c>
      <c r="D3212" s="6" t="s">
        <v>7470</v>
      </c>
      <c r="E3212" s="6" t="s">
        <v>252</v>
      </c>
      <c r="F3212" s="6" t="s">
        <v>40</v>
      </c>
      <c r="G3212" s="7">
        <v>0.2</v>
      </c>
      <c r="H3212" s="6" t="s">
        <v>1784</v>
      </c>
      <c r="I3212" s="6" t="s">
        <v>20</v>
      </c>
      <c r="J3212" s="6">
        <v>2026.0</v>
      </c>
      <c r="K3212" s="10">
        <v>46083.0</v>
      </c>
      <c r="L3212" s="6">
        <v>3.0</v>
      </c>
      <c r="M3212" s="8">
        <f t="shared" si="4"/>
        <v>0.6</v>
      </c>
      <c r="P3212" s="9"/>
    </row>
    <row r="3213">
      <c r="A3213" s="6" t="s">
        <v>7471</v>
      </c>
      <c r="B3213" s="6" t="s">
        <v>6025</v>
      </c>
      <c r="C3213" s="6" t="s">
        <v>23</v>
      </c>
      <c r="D3213" s="6" t="s">
        <v>7472</v>
      </c>
      <c r="E3213" s="6" t="s">
        <v>980</v>
      </c>
      <c r="F3213" s="6" t="s">
        <v>112</v>
      </c>
      <c r="G3213" s="7">
        <v>0.08</v>
      </c>
      <c r="H3213" s="6" t="s">
        <v>19</v>
      </c>
      <c r="I3213" s="6" t="s">
        <v>20</v>
      </c>
      <c r="J3213" s="6">
        <v>2023.0</v>
      </c>
      <c r="K3213" s="10">
        <v>46023.0</v>
      </c>
      <c r="L3213" s="6">
        <v>1.0</v>
      </c>
      <c r="M3213" s="8">
        <f t="shared" si="4"/>
        <v>0.08</v>
      </c>
      <c r="P3213" s="9"/>
    </row>
    <row r="3214">
      <c r="A3214" s="6" t="s">
        <v>7473</v>
      </c>
      <c r="B3214" s="6" t="s">
        <v>219</v>
      </c>
      <c r="C3214" s="6" t="s">
        <v>43</v>
      </c>
      <c r="D3214" s="6" t="s">
        <v>7474</v>
      </c>
      <c r="E3214" s="6" t="s">
        <v>25</v>
      </c>
      <c r="F3214" s="6" t="s">
        <v>26</v>
      </c>
      <c r="G3214" s="7">
        <v>0.06</v>
      </c>
      <c r="H3214" s="6" t="s">
        <v>1048</v>
      </c>
      <c r="I3214" s="6" t="s">
        <v>20</v>
      </c>
      <c r="J3214" s="6">
        <v>2008.0</v>
      </c>
      <c r="L3214" s="6">
        <v>1.0</v>
      </c>
      <c r="M3214" s="8">
        <f t="shared" si="4"/>
        <v>0.06</v>
      </c>
      <c r="P3214" s="9"/>
    </row>
    <row r="3215">
      <c r="A3215" s="6" t="s">
        <v>7475</v>
      </c>
      <c r="B3215" s="6" t="s">
        <v>138</v>
      </c>
      <c r="C3215" s="6" t="s">
        <v>43</v>
      </c>
      <c r="D3215" s="6" t="s">
        <v>7476</v>
      </c>
      <c r="E3215" s="6" t="s">
        <v>224</v>
      </c>
      <c r="F3215" s="6" t="s">
        <v>18</v>
      </c>
      <c r="G3215" s="7">
        <v>0.05</v>
      </c>
      <c r="H3215" s="6" t="s">
        <v>228</v>
      </c>
      <c r="I3215" s="6" t="s">
        <v>20</v>
      </c>
      <c r="J3215" s="6">
        <v>2025.0</v>
      </c>
      <c r="L3215" s="6">
        <v>1.0</v>
      </c>
      <c r="M3215" s="8">
        <f t="shared" si="4"/>
        <v>0.05</v>
      </c>
      <c r="P3215" s="9"/>
    </row>
    <row r="3216">
      <c r="A3216" s="6" t="s">
        <v>7477</v>
      </c>
      <c r="B3216" s="6" t="s">
        <v>778</v>
      </c>
      <c r="C3216" s="6" t="s">
        <v>156</v>
      </c>
      <c r="D3216" s="6" t="s">
        <v>7478</v>
      </c>
      <c r="E3216" s="6" t="s">
        <v>7479</v>
      </c>
      <c r="F3216" s="6" t="s">
        <v>87</v>
      </c>
      <c r="G3216" s="7">
        <v>2.66</v>
      </c>
      <c r="H3216" s="6" t="s">
        <v>153</v>
      </c>
      <c r="I3216" s="6" t="s">
        <v>20</v>
      </c>
      <c r="J3216" s="6">
        <v>2025.0</v>
      </c>
      <c r="L3216" s="6">
        <v>1.0</v>
      </c>
      <c r="M3216" s="8">
        <f t="shared" si="4"/>
        <v>2.66</v>
      </c>
      <c r="P3216" s="9"/>
    </row>
    <row r="3217">
      <c r="A3217" s="6" t="s">
        <v>7480</v>
      </c>
      <c r="B3217" s="6" t="s">
        <v>146</v>
      </c>
      <c r="C3217" s="6" t="s">
        <v>30</v>
      </c>
      <c r="D3217" s="6" t="s">
        <v>7481</v>
      </c>
      <c r="E3217" s="6" t="s">
        <v>248</v>
      </c>
      <c r="F3217" s="6" t="s">
        <v>77</v>
      </c>
      <c r="G3217" s="7">
        <v>0.15</v>
      </c>
      <c r="H3217" s="6" t="s">
        <v>1833</v>
      </c>
      <c r="I3217" s="6" t="s">
        <v>20</v>
      </c>
      <c r="J3217" s="6">
        <v>2018.0</v>
      </c>
      <c r="L3217" s="6">
        <v>1.0</v>
      </c>
      <c r="M3217" s="8">
        <f t="shared" si="4"/>
        <v>0.15</v>
      </c>
      <c r="P3217" s="9"/>
    </row>
    <row r="3218">
      <c r="A3218" s="6" t="s">
        <v>7482</v>
      </c>
      <c r="B3218" s="6" t="s">
        <v>7483</v>
      </c>
      <c r="C3218" s="6" t="s">
        <v>15</v>
      </c>
      <c r="D3218" s="6" t="s">
        <v>7484</v>
      </c>
      <c r="E3218" s="6" t="s">
        <v>1649</v>
      </c>
      <c r="F3218" s="6" t="s">
        <v>18</v>
      </c>
      <c r="G3218" s="7">
        <v>0.05</v>
      </c>
      <c r="H3218" s="6" t="s">
        <v>342</v>
      </c>
      <c r="I3218" s="6" t="s">
        <v>20</v>
      </c>
      <c r="J3218" s="6">
        <v>2014.0</v>
      </c>
      <c r="K3218" s="10">
        <v>46114.0</v>
      </c>
      <c r="L3218" s="6">
        <v>1.0</v>
      </c>
      <c r="M3218" s="8">
        <f t="shared" si="4"/>
        <v>0.05</v>
      </c>
      <c r="P3218" s="9"/>
    </row>
    <row r="3219">
      <c r="A3219" s="6" t="s">
        <v>7485</v>
      </c>
      <c r="B3219" s="6" t="s">
        <v>213</v>
      </c>
      <c r="C3219" s="6" t="s">
        <v>15</v>
      </c>
      <c r="D3219" s="6" t="s">
        <v>7486</v>
      </c>
      <c r="E3219" s="6" t="s">
        <v>215</v>
      </c>
      <c r="F3219" s="6" t="s">
        <v>26</v>
      </c>
      <c r="G3219" s="7">
        <v>0.25</v>
      </c>
      <c r="H3219" s="6" t="s">
        <v>586</v>
      </c>
      <c r="I3219" s="6" t="s">
        <v>20</v>
      </c>
      <c r="J3219" s="6">
        <v>2012.0</v>
      </c>
      <c r="L3219" s="6">
        <v>3.0</v>
      </c>
      <c r="M3219" s="8">
        <f t="shared" si="4"/>
        <v>0.75</v>
      </c>
      <c r="P3219" s="9"/>
    </row>
    <row r="3220">
      <c r="A3220" s="6" t="s">
        <v>7487</v>
      </c>
      <c r="B3220" s="6" t="s">
        <v>1252</v>
      </c>
      <c r="C3220" s="6" t="s">
        <v>37</v>
      </c>
      <c r="D3220" s="6" t="s">
        <v>7488</v>
      </c>
      <c r="E3220" s="6" t="s">
        <v>3201</v>
      </c>
      <c r="F3220" s="6" t="s">
        <v>18</v>
      </c>
      <c r="G3220" s="7">
        <v>0.29</v>
      </c>
      <c r="H3220" s="6" t="s">
        <v>113</v>
      </c>
      <c r="I3220" s="6" t="s">
        <v>20</v>
      </c>
      <c r="J3220" s="6">
        <v>2023.0</v>
      </c>
      <c r="K3220" s="10">
        <v>46242.0</v>
      </c>
      <c r="L3220" s="6">
        <v>1.0</v>
      </c>
      <c r="M3220" s="8">
        <f t="shared" si="4"/>
        <v>0.29</v>
      </c>
      <c r="P3220" s="9"/>
    </row>
    <row r="3221">
      <c r="A3221" s="6" t="s">
        <v>7489</v>
      </c>
      <c r="B3221" s="6" t="s">
        <v>7490</v>
      </c>
      <c r="C3221" s="6" t="s">
        <v>15</v>
      </c>
      <c r="D3221" s="6" t="s">
        <v>7491</v>
      </c>
      <c r="E3221" s="6" t="s">
        <v>750</v>
      </c>
      <c r="F3221" s="6" t="s">
        <v>112</v>
      </c>
      <c r="G3221" s="7">
        <v>0.25</v>
      </c>
      <c r="H3221" s="6" t="s">
        <v>19</v>
      </c>
      <c r="I3221" s="6" t="s">
        <v>20</v>
      </c>
      <c r="J3221" s="6">
        <v>2023.0</v>
      </c>
      <c r="K3221" s="10">
        <v>46178.0</v>
      </c>
      <c r="L3221" s="6">
        <v>2.0</v>
      </c>
      <c r="M3221" s="8">
        <f t="shared" si="4"/>
        <v>0.5</v>
      </c>
      <c r="P3221" s="9"/>
    </row>
    <row r="3222">
      <c r="A3222" s="6" t="s">
        <v>7492</v>
      </c>
      <c r="B3222" s="6" t="s">
        <v>74</v>
      </c>
      <c r="C3222" s="6" t="s">
        <v>43</v>
      </c>
      <c r="D3222" s="6" t="s">
        <v>7493</v>
      </c>
      <c r="E3222" s="6" t="s">
        <v>540</v>
      </c>
      <c r="F3222" s="6" t="s">
        <v>40</v>
      </c>
      <c r="G3222" s="7">
        <v>0.05</v>
      </c>
      <c r="H3222" s="6" t="s">
        <v>586</v>
      </c>
      <c r="I3222" s="6" t="s">
        <v>20</v>
      </c>
      <c r="J3222" s="6">
        <v>2012.0</v>
      </c>
      <c r="L3222" s="6">
        <v>1.0</v>
      </c>
      <c r="M3222" s="8">
        <f t="shared" si="4"/>
        <v>0.05</v>
      </c>
      <c r="P3222" s="9"/>
    </row>
    <row r="3223">
      <c r="A3223" s="6" t="s">
        <v>7494</v>
      </c>
      <c r="B3223" s="6" t="s">
        <v>606</v>
      </c>
      <c r="C3223" s="6" t="s">
        <v>15</v>
      </c>
      <c r="D3223" s="6" t="s">
        <v>7495</v>
      </c>
      <c r="E3223" s="6" t="s">
        <v>368</v>
      </c>
      <c r="F3223" s="6" t="s">
        <v>87</v>
      </c>
      <c r="G3223" s="7">
        <v>0.44</v>
      </c>
      <c r="H3223" s="6" t="s">
        <v>27</v>
      </c>
      <c r="I3223" s="6" t="s">
        <v>20</v>
      </c>
      <c r="J3223" s="6">
        <v>2026.0</v>
      </c>
      <c r="L3223" s="6">
        <v>1.0</v>
      </c>
      <c r="M3223" s="8">
        <f t="shared" si="4"/>
        <v>0.44</v>
      </c>
      <c r="P3223" s="9"/>
    </row>
    <row r="3224">
      <c r="A3224" s="6" t="s">
        <v>7496</v>
      </c>
      <c r="B3224" s="6" t="s">
        <v>102</v>
      </c>
      <c r="C3224" s="6" t="s">
        <v>37</v>
      </c>
      <c r="D3224" s="6" t="s">
        <v>7497</v>
      </c>
      <c r="E3224" s="6" t="s">
        <v>7498</v>
      </c>
      <c r="F3224" s="6" t="s">
        <v>1000</v>
      </c>
      <c r="G3224" s="7">
        <v>0.17</v>
      </c>
      <c r="H3224" s="6" t="s">
        <v>597</v>
      </c>
      <c r="I3224" s="6" t="s">
        <v>20</v>
      </c>
      <c r="J3224" s="6">
        <v>2024.0</v>
      </c>
      <c r="K3224" s="10">
        <v>46085.0</v>
      </c>
      <c r="L3224" s="6">
        <v>1.0</v>
      </c>
      <c r="M3224" s="8">
        <f t="shared" si="4"/>
        <v>0.17</v>
      </c>
      <c r="P3224" s="9"/>
    </row>
    <row r="3225">
      <c r="A3225" s="6" t="s">
        <v>7499</v>
      </c>
      <c r="B3225" s="6" t="s">
        <v>74</v>
      </c>
      <c r="C3225" s="6" t="s">
        <v>43</v>
      </c>
      <c r="D3225" s="6" t="s">
        <v>7500</v>
      </c>
      <c r="E3225" s="6" t="s">
        <v>256</v>
      </c>
      <c r="F3225" s="6" t="s">
        <v>87</v>
      </c>
      <c r="G3225" s="7">
        <v>0.03</v>
      </c>
      <c r="H3225" s="6" t="s">
        <v>4519</v>
      </c>
      <c r="I3225" s="6" t="s">
        <v>20</v>
      </c>
      <c r="J3225" s="6">
        <v>2009.0</v>
      </c>
      <c r="L3225" s="6">
        <v>1.0</v>
      </c>
      <c r="M3225" s="8">
        <f t="shared" si="4"/>
        <v>0.03</v>
      </c>
      <c r="P3225" s="9"/>
    </row>
    <row r="3226">
      <c r="A3226" s="6" t="s">
        <v>7501</v>
      </c>
      <c r="B3226" s="6" t="s">
        <v>4849</v>
      </c>
      <c r="C3226" s="6" t="s">
        <v>43</v>
      </c>
      <c r="D3226" s="6" t="s">
        <v>7502</v>
      </c>
      <c r="E3226" s="6" t="s">
        <v>57</v>
      </c>
      <c r="F3226" s="6" t="s">
        <v>40</v>
      </c>
      <c r="G3226" s="7">
        <v>0.03</v>
      </c>
      <c r="H3226" s="6" t="s">
        <v>290</v>
      </c>
      <c r="I3226" s="6" t="s">
        <v>20</v>
      </c>
      <c r="J3226" s="6">
        <v>2019.0</v>
      </c>
      <c r="K3226" s="10">
        <v>46055.0</v>
      </c>
      <c r="L3226" s="6">
        <v>1.0</v>
      </c>
      <c r="M3226" s="8">
        <f t="shared" si="4"/>
        <v>0.03</v>
      </c>
      <c r="P3226" s="9"/>
    </row>
    <row r="3227">
      <c r="A3227" s="6" t="s">
        <v>7503</v>
      </c>
      <c r="B3227" s="6" t="s">
        <v>789</v>
      </c>
      <c r="C3227" s="6" t="s">
        <v>37</v>
      </c>
      <c r="D3227" s="6" t="s">
        <v>7504</v>
      </c>
      <c r="E3227" s="6" t="s">
        <v>215</v>
      </c>
      <c r="F3227" s="6" t="s">
        <v>26</v>
      </c>
      <c r="G3227" s="7">
        <v>0.1</v>
      </c>
      <c r="H3227" s="6" t="s">
        <v>34</v>
      </c>
      <c r="I3227" s="6" t="s">
        <v>20</v>
      </c>
      <c r="J3227" s="6">
        <v>2025.0</v>
      </c>
      <c r="L3227" s="6">
        <v>1.0</v>
      </c>
      <c r="M3227" s="8">
        <f t="shared" si="4"/>
        <v>0.1</v>
      </c>
      <c r="P3227" s="9"/>
    </row>
    <row r="3228">
      <c r="A3228" s="6" t="s">
        <v>7505</v>
      </c>
      <c r="B3228" s="6" t="s">
        <v>96</v>
      </c>
      <c r="C3228" s="6" t="s">
        <v>43</v>
      </c>
      <c r="D3228" s="6" t="s">
        <v>7506</v>
      </c>
      <c r="E3228" s="6" t="s">
        <v>256</v>
      </c>
      <c r="F3228" s="6" t="s">
        <v>87</v>
      </c>
      <c r="G3228" s="7">
        <v>0.25</v>
      </c>
      <c r="H3228" s="6" t="s">
        <v>165</v>
      </c>
      <c r="I3228" s="6" t="s">
        <v>20</v>
      </c>
      <c r="J3228" s="6">
        <v>2020.0</v>
      </c>
      <c r="K3228" s="6" t="s">
        <v>1924</v>
      </c>
      <c r="L3228" s="6">
        <v>2.0</v>
      </c>
      <c r="M3228" s="8">
        <f t="shared" si="4"/>
        <v>0.5</v>
      </c>
      <c r="P3228" s="9"/>
    </row>
    <row r="3229">
      <c r="A3229" s="6" t="s">
        <v>7507</v>
      </c>
      <c r="B3229" s="6" t="s">
        <v>7508</v>
      </c>
      <c r="C3229" s="6" t="s">
        <v>37</v>
      </c>
      <c r="D3229" s="6" t="s">
        <v>7509</v>
      </c>
      <c r="E3229" s="6" t="s">
        <v>389</v>
      </c>
      <c r="F3229" s="6" t="s">
        <v>87</v>
      </c>
      <c r="G3229" s="7">
        <v>0.2</v>
      </c>
      <c r="H3229" s="6" t="s">
        <v>232</v>
      </c>
      <c r="I3229" s="6" t="s">
        <v>20</v>
      </c>
      <c r="J3229" s="6">
        <v>2010.0</v>
      </c>
      <c r="K3229" s="10">
        <v>46055.0</v>
      </c>
      <c r="L3229" s="6">
        <v>1.0</v>
      </c>
      <c r="M3229" s="8">
        <f t="shared" si="4"/>
        <v>0.2</v>
      </c>
      <c r="P3229" s="9"/>
    </row>
    <row r="3230">
      <c r="A3230" s="6" t="s">
        <v>7510</v>
      </c>
      <c r="B3230" s="6" t="s">
        <v>219</v>
      </c>
      <c r="C3230" s="6" t="s">
        <v>37</v>
      </c>
      <c r="D3230" s="6" t="s">
        <v>7511</v>
      </c>
      <c r="E3230" s="6" t="s">
        <v>185</v>
      </c>
      <c r="F3230" s="6" t="s">
        <v>26</v>
      </c>
      <c r="G3230" s="7">
        <v>0.03</v>
      </c>
      <c r="H3230" s="6" t="s">
        <v>1038</v>
      </c>
      <c r="I3230" s="6" t="s">
        <v>20</v>
      </c>
      <c r="J3230" s="6">
        <v>2015.0</v>
      </c>
      <c r="L3230" s="6">
        <v>1.0</v>
      </c>
      <c r="M3230" s="8">
        <f t="shared" si="4"/>
        <v>0.03</v>
      </c>
      <c r="P3230" s="9"/>
    </row>
    <row r="3231">
      <c r="A3231" s="6" t="s">
        <v>7512</v>
      </c>
      <c r="B3231" s="6" t="s">
        <v>1677</v>
      </c>
      <c r="C3231" s="6" t="s">
        <v>37</v>
      </c>
      <c r="D3231" s="6" t="s">
        <v>7513</v>
      </c>
      <c r="E3231" s="6" t="s">
        <v>176</v>
      </c>
      <c r="F3231" s="6" t="s">
        <v>77</v>
      </c>
      <c r="G3231" s="7">
        <v>0.15</v>
      </c>
      <c r="H3231" s="6" t="s">
        <v>34</v>
      </c>
      <c r="I3231" s="6" t="s">
        <v>20</v>
      </c>
      <c r="J3231" s="6">
        <v>2025.0</v>
      </c>
      <c r="K3231" s="10">
        <v>46116.0</v>
      </c>
      <c r="L3231" s="6">
        <v>1.0</v>
      </c>
      <c r="M3231" s="8">
        <f t="shared" si="4"/>
        <v>0.15</v>
      </c>
      <c r="P3231" s="9"/>
    </row>
    <row r="3232">
      <c r="A3232" s="6" t="s">
        <v>7514</v>
      </c>
      <c r="B3232" s="6" t="s">
        <v>358</v>
      </c>
      <c r="C3232" s="6" t="s">
        <v>377</v>
      </c>
      <c r="D3232" s="6" t="s">
        <v>7515</v>
      </c>
      <c r="E3232" s="6" t="s">
        <v>125</v>
      </c>
      <c r="F3232" s="6" t="s">
        <v>697</v>
      </c>
      <c r="G3232" s="7">
        <v>0.1</v>
      </c>
      <c r="H3232" s="6" t="s">
        <v>324</v>
      </c>
      <c r="I3232" s="6" t="s">
        <v>20</v>
      </c>
      <c r="J3232" s="6">
        <v>1999.0</v>
      </c>
      <c r="K3232" s="10">
        <v>46023.0</v>
      </c>
      <c r="L3232" s="6">
        <v>1.0</v>
      </c>
      <c r="M3232" s="8">
        <f t="shared" si="4"/>
        <v>0.1</v>
      </c>
      <c r="P3232" s="9"/>
    </row>
    <row r="3233">
      <c r="A3233" s="6" t="s">
        <v>7514</v>
      </c>
      <c r="B3233" s="6" t="s">
        <v>358</v>
      </c>
      <c r="C3233" s="6" t="s">
        <v>377</v>
      </c>
      <c r="D3233" s="6" t="s">
        <v>7515</v>
      </c>
      <c r="E3233" s="6" t="s">
        <v>125</v>
      </c>
      <c r="F3233" s="6" t="s">
        <v>697</v>
      </c>
      <c r="G3233" s="7">
        <v>0.28</v>
      </c>
      <c r="H3233" s="6" t="s">
        <v>316</v>
      </c>
      <c r="I3233" s="6" t="s">
        <v>20</v>
      </c>
      <c r="J3233" s="6">
        <v>1995.0</v>
      </c>
      <c r="K3233" s="10">
        <v>46023.0</v>
      </c>
      <c r="L3233" s="6">
        <v>6.0</v>
      </c>
      <c r="M3233" s="8">
        <f t="shared" si="4"/>
        <v>1.68</v>
      </c>
      <c r="P3233" s="9"/>
    </row>
    <row r="3234">
      <c r="A3234" s="6" t="s">
        <v>7516</v>
      </c>
      <c r="B3234" s="6" t="s">
        <v>74</v>
      </c>
      <c r="C3234" s="6" t="s">
        <v>37</v>
      </c>
      <c r="D3234" s="6" t="s">
        <v>7517</v>
      </c>
      <c r="E3234" s="6" t="s">
        <v>140</v>
      </c>
      <c r="F3234" s="6" t="s">
        <v>87</v>
      </c>
      <c r="G3234" s="7">
        <v>0.14</v>
      </c>
      <c r="H3234" s="6" t="s">
        <v>324</v>
      </c>
      <c r="I3234" s="6" t="s">
        <v>20</v>
      </c>
      <c r="J3234" s="6">
        <v>1995.0</v>
      </c>
      <c r="L3234" s="6">
        <v>1.0</v>
      </c>
      <c r="M3234" s="8">
        <f t="shared" si="4"/>
        <v>0.14</v>
      </c>
      <c r="P3234" s="9"/>
    </row>
    <row r="3235">
      <c r="A3235" s="6" t="s">
        <v>7516</v>
      </c>
      <c r="B3235" s="6" t="s">
        <v>74</v>
      </c>
      <c r="C3235" s="6" t="s">
        <v>37</v>
      </c>
      <c r="D3235" s="6" t="s">
        <v>7517</v>
      </c>
      <c r="E3235" s="6" t="s">
        <v>140</v>
      </c>
      <c r="F3235" s="6" t="s">
        <v>87</v>
      </c>
      <c r="G3235" s="7">
        <v>0.44</v>
      </c>
      <c r="H3235" s="6" t="s">
        <v>316</v>
      </c>
      <c r="I3235" s="6" t="s">
        <v>20</v>
      </c>
      <c r="J3235" s="6">
        <v>1995.0</v>
      </c>
      <c r="L3235" s="6">
        <v>1.0</v>
      </c>
      <c r="M3235" s="8">
        <f t="shared" si="4"/>
        <v>0.44</v>
      </c>
      <c r="P3235" s="9"/>
    </row>
    <row r="3236">
      <c r="A3236" s="6" t="s">
        <v>7518</v>
      </c>
      <c r="B3236" s="6" t="s">
        <v>1106</v>
      </c>
      <c r="C3236" s="6" t="s">
        <v>43</v>
      </c>
      <c r="D3236" s="6" t="s">
        <v>7519</v>
      </c>
      <c r="E3236" s="6" t="s">
        <v>76</v>
      </c>
      <c r="F3236" s="6" t="s">
        <v>77</v>
      </c>
      <c r="G3236" s="7">
        <v>0.1</v>
      </c>
      <c r="H3236" s="6" t="s">
        <v>136</v>
      </c>
      <c r="I3236" s="6" t="s">
        <v>20</v>
      </c>
      <c r="J3236" s="6">
        <v>2026.0</v>
      </c>
      <c r="K3236" s="10">
        <v>46055.0</v>
      </c>
      <c r="L3236" s="6">
        <v>1.0</v>
      </c>
      <c r="M3236" s="8">
        <f t="shared" si="4"/>
        <v>0.1</v>
      </c>
      <c r="P3236" s="9"/>
    </row>
    <row r="3237">
      <c r="A3237" s="6" t="s">
        <v>7520</v>
      </c>
      <c r="B3237" s="6" t="s">
        <v>7521</v>
      </c>
      <c r="C3237" s="6" t="s">
        <v>43</v>
      </c>
      <c r="D3237" s="6" t="s">
        <v>7522</v>
      </c>
      <c r="E3237" s="6" t="s">
        <v>98</v>
      </c>
      <c r="F3237" s="6" t="s">
        <v>18</v>
      </c>
      <c r="G3237" s="7">
        <v>0.05</v>
      </c>
      <c r="H3237" s="6" t="s">
        <v>475</v>
      </c>
      <c r="I3237" s="6" t="s">
        <v>20</v>
      </c>
      <c r="J3237" s="6">
        <v>2024.0</v>
      </c>
      <c r="K3237" s="10">
        <v>46055.0</v>
      </c>
      <c r="L3237" s="6">
        <v>1.0</v>
      </c>
      <c r="M3237" s="8">
        <f t="shared" si="4"/>
        <v>0.05</v>
      </c>
      <c r="P3237" s="9"/>
    </row>
    <row r="3238">
      <c r="A3238" s="6" t="s">
        <v>7523</v>
      </c>
      <c r="B3238" s="6" t="s">
        <v>7524</v>
      </c>
      <c r="C3238" s="6" t="s">
        <v>43</v>
      </c>
      <c r="D3238" s="6" t="s">
        <v>7525</v>
      </c>
      <c r="E3238" s="6" t="s">
        <v>164</v>
      </c>
      <c r="F3238" s="6" t="s">
        <v>112</v>
      </c>
      <c r="G3238" s="7">
        <v>0.06</v>
      </c>
      <c r="H3238" s="6" t="s">
        <v>238</v>
      </c>
      <c r="I3238" s="6" t="s">
        <v>20</v>
      </c>
      <c r="J3238" s="6">
        <v>2024.0</v>
      </c>
      <c r="K3238" s="10">
        <v>46023.0</v>
      </c>
      <c r="L3238" s="6">
        <v>1.0</v>
      </c>
      <c r="M3238" s="8">
        <f t="shared" si="4"/>
        <v>0.06</v>
      </c>
      <c r="P3238" s="9"/>
    </row>
    <row r="3239">
      <c r="A3239" s="6" t="s">
        <v>7523</v>
      </c>
      <c r="B3239" s="6" t="s">
        <v>7524</v>
      </c>
      <c r="C3239" s="6" t="s">
        <v>43</v>
      </c>
      <c r="D3239" s="6" t="s">
        <v>7526</v>
      </c>
      <c r="E3239" s="6" t="s">
        <v>164</v>
      </c>
      <c r="F3239" s="6" t="s">
        <v>112</v>
      </c>
      <c r="G3239" s="7">
        <v>0.09</v>
      </c>
      <c r="H3239" s="6" t="s">
        <v>238</v>
      </c>
      <c r="I3239" s="6" t="s">
        <v>20</v>
      </c>
      <c r="J3239" s="6">
        <v>2024.0</v>
      </c>
      <c r="K3239" s="10">
        <v>46023.0</v>
      </c>
      <c r="L3239" s="6">
        <v>1.0</v>
      </c>
      <c r="M3239" s="8">
        <f t="shared" si="4"/>
        <v>0.09</v>
      </c>
      <c r="P3239" s="9"/>
    </row>
    <row r="3240">
      <c r="A3240" s="6" t="s">
        <v>7527</v>
      </c>
      <c r="B3240" s="6" t="s">
        <v>74</v>
      </c>
      <c r="C3240" s="6" t="s">
        <v>43</v>
      </c>
      <c r="D3240" s="6" t="s">
        <v>7528</v>
      </c>
      <c r="E3240" s="6" t="s">
        <v>190</v>
      </c>
      <c r="F3240" s="6" t="s">
        <v>18</v>
      </c>
      <c r="G3240" s="7">
        <v>0.25</v>
      </c>
      <c r="H3240" s="6" t="s">
        <v>3124</v>
      </c>
      <c r="I3240" s="6" t="s">
        <v>20</v>
      </c>
      <c r="J3240" s="6">
        <v>2010.0</v>
      </c>
      <c r="L3240" s="6">
        <v>4.0</v>
      </c>
      <c r="M3240" s="8">
        <f t="shared" si="4"/>
        <v>1</v>
      </c>
      <c r="P3240" s="9"/>
    </row>
    <row r="3241">
      <c r="A3241" s="6" t="s">
        <v>7529</v>
      </c>
      <c r="B3241" s="6" t="s">
        <v>138</v>
      </c>
      <c r="C3241" s="6" t="s">
        <v>43</v>
      </c>
      <c r="D3241" s="6" t="s">
        <v>7530</v>
      </c>
      <c r="E3241" s="6" t="s">
        <v>140</v>
      </c>
      <c r="F3241" s="6" t="s">
        <v>87</v>
      </c>
      <c r="G3241" s="7">
        <v>0.1</v>
      </c>
      <c r="H3241" s="6" t="s">
        <v>475</v>
      </c>
      <c r="I3241" s="6" t="s">
        <v>20</v>
      </c>
      <c r="J3241" s="6">
        <v>2024.0</v>
      </c>
      <c r="L3241" s="6">
        <v>1.0</v>
      </c>
      <c r="M3241" s="8">
        <f t="shared" si="4"/>
        <v>0.1</v>
      </c>
      <c r="P3241" s="9"/>
    </row>
    <row r="3242">
      <c r="A3242" s="6" t="s">
        <v>7531</v>
      </c>
      <c r="B3242" s="6" t="s">
        <v>7532</v>
      </c>
      <c r="C3242" s="6" t="s">
        <v>30</v>
      </c>
      <c r="D3242" s="6" t="s">
        <v>7533</v>
      </c>
      <c r="E3242" s="6" t="s">
        <v>111</v>
      </c>
      <c r="F3242" s="6" t="s">
        <v>112</v>
      </c>
      <c r="G3242" s="7">
        <v>1.99</v>
      </c>
      <c r="H3242" s="6" t="s">
        <v>4265</v>
      </c>
      <c r="I3242" s="6" t="s">
        <v>20</v>
      </c>
      <c r="J3242" s="6">
        <v>2009.0</v>
      </c>
      <c r="K3242" s="10">
        <v>46055.0</v>
      </c>
      <c r="L3242" s="6">
        <v>3.0</v>
      </c>
      <c r="M3242" s="8">
        <f t="shared" si="4"/>
        <v>5.97</v>
      </c>
      <c r="P3242" s="9"/>
    </row>
    <row r="3243">
      <c r="A3243" s="6" t="s">
        <v>7534</v>
      </c>
      <c r="B3243" s="6" t="s">
        <v>1677</v>
      </c>
      <c r="C3243" s="6" t="s">
        <v>37</v>
      </c>
      <c r="D3243" s="6" t="s">
        <v>7535</v>
      </c>
      <c r="E3243" s="6" t="s">
        <v>681</v>
      </c>
      <c r="F3243" s="6" t="s">
        <v>26</v>
      </c>
      <c r="G3243" s="7">
        <v>0.13</v>
      </c>
      <c r="H3243" s="6" t="s">
        <v>136</v>
      </c>
      <c r="I3243" s="6" t="s">
        <v>20</v>
      </c>
      <c r="J3243" s="6">
        <v>2026.0</v>
      </c>
      <c r="K3243" s="10">
        <v>46115.0</v>
      </c>
      <c r="L3243" s="6">
        <v>1.0</v>
      </c>
      <c r="M3243" s="8">
        <f t="shared" si="4"/>
        <v>0.13</v>
      </c>
      <c r="P3243" s="9"/>
    </row>
    <row r="3244">
      <c r="A3244" s="6" t="s">
        <v>7536</v>
      </c>
      <c r="B3244" s="6" t="s">
        <v>52</v>
      </c>
      <c r="C3244" s="6" t="s">
        <v>37</v>
      </c>
      <c r="D3244" s="6" t="s">
        <v>7537</v>
      </c>
      <c r="F3244" s="6" t="s">
        <v>26</v>
      </c>
      <c r="G3244" s="7">
        <v>0.1</v>
      </c>
      <c r="H3244" s="6" t="s">
        <v>136</v>
      </c>
      <c r="I3244" s="6" t="s">
        <v>20</v>
      </c>
      <c r="J3244" s="6">
        <v>2026.0</v>
      </c>
      <c r="L3244" s="6">
        <v>1.0</v>
      </c>
      <c r="M3244" s="8">
        <f t="shared" si="4"/>
        <v>0.1</v>
      </c>
      <c r="P3244" s="9"/>
    </row>
    <row r="3245">
      <c r="A3245" s="6" t="s">
        <v>7538</v>
      </c>
      <c r="B3245" s="6" t="s">
        <v>440</v>
      </c>
      <c r="C3245" s="6" t="s">
        <v>30</v>
      </c>
      <c r="D3245" s="6" t="s">
        <v>7539</v>
      </c>
      <c r="E3245" s="6" t="s">
        <v>329</v>
      </c>
      <c r="F3245" s="6" t="s">
        <v>112</v>
      </c>
      <c r="G3245" s="7">
        <v>1.0</v>
      </c>
      <c r="H3245" s="6" t="s">
        <v>136</v>
      </c>
      <c r="I3245" s="6" t="s">
        <v>20</v>
      </c>
      <c r="J3245" s="6">
        <v>2026.0</v>
      </c>
      <c r="L3245" s="6">
        <v>1.0</v>
      </c>
      <c r="M3245" s="8">
        <f t="shared" si="4"/>
        <v>1</v>
      </c>
      <c r="P3245" s="9"/>
    </row>
    <row r="3246">
      <c r="A3246" s="6" t="s">
        <v>7540</v>
      </c>
      <c r="B3246" s="6" t="s">
        <v>115</v>
      </c>
      <c r="C3246" s="6" t="s">
        <v>15</v>
      </c>
      <c r="D3246" s="6" t="s">
        <v>7541</v>
      </c>
      <c r="E3246" s="6" t="s">
        <v>457</v>
      </c>
      <c r="F3246" s="6" t="s">
        <v>112</v>
      </c>
      <c r="G3246" s="7">
        <v>0.69</v>
      </c>
      <c r="H3246" s="6" t="s">
        <v>1784</v>
      </c>
      <c r="I3246" s="6" t="s">
        <v>20</v>
      </c>
      <c r="J3246" s="6">
        <v>2026.0</v>
      </c>
      <c r="L3246" s="6">
        <v>3.0</v>
      </c>
      <c r="M3246" s="8">
        <f t="shared" si="4"/>
        <v>2.07</v>
      </c>
      <c r="P3246" s="9"/>
    </row>
    <row r="3247">
      <c r="A3247" s="6" t="s">
        <v>7542</v>
      </c>
      <c r="B3247" s="6" t="s">
        <v>1677</v>
      </c>
      <c r="C3247" s="6" t="s">
        <v>30</v>
      </c>
      <c r="D3247" s="6" t="s">
        <v>7543</v>
      </c>
      <c r="E3247" s="6" t="s">
        <v>185</v>
      </c>
      <c r="F3247" s="6" t="s">
        <v>26</v>
      </c>
      <c r="G3247" s="7">
        <v>5.75</v>
      </c>
      <c r="H3247" s="6" t="s">
        <v>136</v>
      </c>
      <c r="I3247" s="6" t="s">
        <v>45</v>
      </c>
      <c r="J3247" s="6">
        <v>2026.0</v>
      </c>
      <c r="K3247" s="10">
        <v>46116.0</v>
      </c>
      <c r="L3247" s="6">
        <v>1.0</v>
      </c>
      <c r="M3247" s="8">
        <f t="shared" si="4"/>
        <v>5.75</v>
      </c>
      <c r="P3247" s="9"/>
    </row>
    <row r="3248">
      <c r="A3248" s="6" t="s">
        <v>7544</v>
      </c>
      <c r="B3248" s="6" t="s">
        <v>7545</v>
      </c>
      <c r="C3248" s="6" t="s">
        <v>43</v>
      </c>
      <c r="D3248" s="6" t="s">
        <v>7546</v>
      </c>
      <c r="E3248" s="6" t="s">
        <v>179</v>
      </c>
      <c r="F3248" s="6" t="s">
        <v>112</v>
      </c>
      <c r="G3248" s="7">
        <v>0.04</v>
      </c>
      <c r="H3248" s="6" t="s">
        <v>34</v>
      </c>
      <c r="I3248" s="6" t="s">
        <v>20</v>
      </c>
      <c r="J3248" s="6">
        <v>2025.0</v>
      </c>
      <c r="K3248" s="6" t="s">
        <v>445</v>
      </c>
      <c r="L3248" s="6">
        <v>1.0</v>
      </c>
      <c r="M3248" s="8">
        <f t="shared" si="4"/>
        <v>0.04</v>
      </c>
      <c r="P3248" s="9"/>
    </row>
    <row r="3249">
      <c r="A3249" s="6" t="s">
        <v>7547</v>
      </c>
      <c r="B3249" s="6" t="s">
        <v>1986</v>
      </c>
      <c r="C3249" s="6" t="s">
        <v>37</v>
      </c>
      <c r="D3249" s="6" t="s">
        <v>7548</v>
      </c>
      <c r="E3249" s="6" t="s">
        <v>3602</v>
      </c>
      <c r="F3249" s="6" t="s">
        <v>636</v>
      </c>
      <c r="G3249" s="7">
        <v>0.25</v>
      </c>
      <c r="H3249" s="6" t="s">
        <v>113</v>
      </c>
      <c r="I3249" s="6" t="s">
        <v>20</v>
      </c>
      <c r="J3249" s="6">
        <v>2023.0</v>
      </c>
      <c r="K3249" s="10">
        <v>46055.0</v>
      </c>
      <c r="L3249" s="6">
        <v>1.0</v>
      </c>
      <c r="M3249" s="8">
        <f t="shared" si="4"/>
        <v>0.25</v>
      </c>
      <c r="P3249" s="9"/>
    </row>
    <row r="3250">
      <c r="A3250" s="6" t="s">
        <v>7549</v>
      </c>
      <c r="B3250" s="6" t="s">
        <v>138</v>
      </c>
      <c r="C3250" s="6" t="s">
        <v>377</v>
      </c>
      <c r="D3250" s="6" t="s">
        <v>7550</v>
      </c>
      <c r="E3250" s="6" t="s">
        <v>256</v>
      </c>
      <c r="F3250" s="6" t="s">
        <v>87</v>
      </c>
      <c r="G3250" s="7">
        <v>0.05</v>
      </c>
      <c r="H3250" s="6" t="s">
        <v>471</v>
      </c>
      <c r="I3250" s="6" t="s">
        <v>20</v>
      </c>
      <c r="J3250" s="6">
        <v>2026.0</v>
      </c>
      <c r="L3250" s="6">
        <v>4.0</v>
      </c>
      <c r="M3250" s="8">
        <f t="shared" si="4"/>
        <v>0.2</v>
      </c>
      <c r="P3250" s="9"/>
    </row>
    <row r="3251">
      <c r="A3251" s="6" t="s">
        <v>7551</v>
      </c>
      <c r="B3251" s="6" t="s">
        <v>138</v>
      </c>
      <c r="C3251" s="6" t="s">
        <v>43</v>
      </c>
      <c r="D3251" s="6" t="s">
        <v>7552</v>
      </c>
      <c r="E3251" s="6" t="s">
        <v>210</v>
      </c>
      <c r="F3251" s="6" t="s">
        <v>18</v>
      </c>
      <c r="G3251" s="7">
        <v>0.05</v>
      </c>
      <c r="H3251" s="6" t="s">
        <v>475</v>
      </c>
      <c r="I3251" s="6" t="s">
        <v>20</v>
      </c>
      <c r="J3251" s="6">
        <v>2024.0</v>
      </c>
      <c r="L3251" s="6">
        <v>2.0</v>
      </c>
      <c r="M3251" s="8">
        <f t="shared" si="4"/>
        <v>0.1</v>
      </c>
      <c r="P3251" s="9"/>
    </row>
    <row r="3252">
      <c r="A3252" s="6" t="s">
        <v>7553</v>
      </c>
      <c r="B3252" s="6" t="s">
        <v>7554</v>
      </c>
      <c r="C3252" s="6" t="s">
        <v>43</v>
      </c>
      <c r="D3252" s="6" t="s">
        <v>7555</v>
      </c>
      <c r="E3252" s="6" t="s">
        <v>1917</v>
      </c>
      <c r="F3252" s="6" t="s">
        <v>77</v>
      </c>
      <c r="G3252" s="7">
        <v>0.23</v>
      </c>
      <c r="H3252" s="6" t="s">
        <v>7556</v>
      </c>
      <c r="I3252" s="6" t="s">
        <v>45</v>
      </c>
      <c r="J3252" s="6">
        <v>2014.0</v>
      </c>
      <c r="K3252" s="10">
        <v>46086.0</v>
      </c>
      <c r="L3252" s="6">
        <v>2.0</v>
      </c>
      <c r="M3252" s="8">
        <f t="shared" si="4"/>
        <v>0.46</v>
      </c>
      <c r="P3252" s="9"/>
    </row>
    <row r="3253">
      <c r="A3253" s="6" t="s">
        <v>7557</v>
      </c>
      <c r="B3253" s="6" t="s">
        <v>7558</v>
      </c>
      <c r="C3253" s="6" t="s">
        <v>37</v>
      </c>
      <c r="D3253" s="6" t="s">
        <v>7559</v>
      </c>
      <c r="E3253" s="6" t="s">
        <v>256</v>
      </c>
      <c r="F3253" s="6" t="s">
        <v>87</v>
      </c>
      <c r="G3253" s="7">
        <v>0.15</v>
      </c>
      <c r="H3253" s="6" t="s">
        <v>34</v>
      </c>
      <c r="I3253" s="6" t="s">
        <v>20</v>
      </c>
      <c r="J3253" s="6">
        <v>2025.0</v>
      </c>
      <c r="K3253" s="10">
        <v>46056.0</v>
      </c>
      <c r="L3253" s="6">
        <v>1.0</v>
      </c>
      <c r="M3253" s="8">
        <f t="shared" si="4"/>
        <v>0.15</v>
      </c>
      <c r="P3253" s="9"/>
    </row>
    <row r="3254">
      <c r="A3254" s="6" t="s">
        <v>7560</v>
      </c>
      <c r="B3254" s="6" t="s">
        <v>7561</v>
      </c>
      <c r="C3254" s="6" t="s">
        <v>30</v>
      </c>
      <c r="D3254" s="6" t="s">
        <v>7562</v>
      </c>
      <c r="E3254" s="6" t="s">
        <v>98</v>
      </c>
      <c r="F3254" s="6" t="s">
        <v>18</v>
      </c>
      <c r="G3254" s="7">
        <v>1.2</v>
      </c>
      <c r="H3254" s="6" t="s">
        <v>34</v>
      </c>
      <c r="I3254" s="6" t="s">
        <v>20</v>
      </c>
      <c r="J3254" s="6">
        <v>2025.0</v>
      </c>
      <c r="K3254" s="10">
        <v>46024.0</v>
      </c>
      <c r="L3254" s="6">
        <v>1.0</v>
      </c>
      <c r="M3254" s="8">
        <f t="shared" si="4"/>
        <v>1.2</v>
      </c>
      <c r="P3254" s="9"/>
    </row>
    <row r="3255">
      <c r="A3255" s="6" t="s">
        <v>7563</v>
      </c>
      <c r="B3255" s="6" t="s">
        <v>7564</v>
      </c>
      <c r="C3255" s="6" t="s">
        <v>37</v>
      </c>
      <c r="E3255" s="6" t="s">
        <v>86</v>
      </c>
      <c r="F3255" s="6" t="s">
        <v>87</v>
      </c>
      <c r="G3255" s="7">
        <v>0.4</v>
      </c>
      <c r="H3255" s="6" t="s">
        <v>228</v>
      </c>
      <c r="I3255" s="6" t="s">
        <v>45</v>
      </c>
      <c r="J3255" s="6">
        <v>2025.0</v>
      </c>
      <c r="K3255" s="10">
        <v>46026.0</v>
      </c>
      <c r="L3255" s="6">
        <v>1.0</v>
      </c>
      <c r="M3255" s="8">
        <f t="shared" si="4"/>
        <v>0.4</v>
      </c>
      <c r="P3255" s="9"/>
    </row>
    <row r="3256">
      <c r="A3256" s="6" t="s">
        <v>7565</v>
      </c>
      <c r="B3256" s="6" t="s">
        <v>7566</v>
      </c>
      <c r="C3256" s="6" t="s">
        <v>15</v>
      </c>
      <c r="D3256" s="6" t="s">
        <v>7567</v>
      </c>
      <c r="E3256" s="6" t="s">
        <v>7568</v>
      </c>
      <c r="F3256" s="6" t="s">
        <v>665</v>
      </c>
      <c r="G3256" s="7">
        <v>0.89</v>
      </c>
      <c r="H3256" s="6" t="s">
        <v>27</v>
      </c>
      <c r="I3256" s="6" t="s">
        <v>45</v>
      </c>
      <c r="J3256" s="6">
        <v>2026.0</v>
      </c>
      <c r="K3256" s="10">
        <v>46056.0</v>
      </c>
      <c r="L3256" s="6">
        <v>1.0</v>
      </c>
      <c r="M3256" s="8">
        <f t="shared" si="4"/>
        <v>0.89</v>
      </c>
      <c r="P3256" s="9"/>
    </row>
    <row r="3257">
      <c r="A3257" s="6" t="s">
        <v>7569</v>
      </c>
      <c r="B3257" s="6" t="s">
        <v>3480</v>
      </c>
      <c r="C3257" s="6" t="s">
        <v>15</v>
      </c>
      <c r="D3257" s="6" t="s">
        <v>7570</v>
      </c>
      <c r="E3257" s="6" t="s">
        <v>4032</v>
      </c>
      <c r="F3257" s="6" t="s">
        <v>2640</v>
      </c>
      <c r="G3257" s="7">
        <v>0.2</v>
      </c>
      <c r="H3257" s="6" t="s">
        <v>19</v>
      </c>
      <c r="I3257" s="6" t="s">
        <v>20</v>
      </c>
      <c r="J3257" s="6">
        <v>2023.0</v>
      </c>
      <c r="K3257" s="10">
        <v>46084.0</v>
      </c>
      <c r="L3257" s="6">
        <v>4.0</v>
      </c>
      <c r="M3257" s="8">
        <f t="shared" si="4"/>
        <v>0.8</v>
      </c>
      <c r="P3257" s="9"/>
    </row>
    <row r="3258">
      <c r="A3258" s="6" t="s">
        <v>7571</v>
      </c>
      <c r="B3258" s="6" t="s">
        <v>2364</v>
      </c>
      <c r="C3258" s="6" t="s">
        <v>43</v>
      </c>
      <c r="D3258" s="6" t="s">
        <v>7572</v>
      </c>
      <c r="E3258" s="6" t="s">
        <v>319</v>
      </c>
      <c r="F3258" s="6" t="s">
        <v>26</v>
      </c>
      <c r="G3258" s="7">
        <v>0.9</v>
      </c>
      <c r="H3258" s="6" t="s">
        <v>895</v>
      </c>
      <c r="I3258" s="6" t="s">
        <v>20</v>
      </c>
      <c r="J3258" s="6">
        <v>2018.0</v>
      </c>
      <c r="K3258" s="10">
        <v>46242.0</v>
      </c>
      <c r="L3258" s="6">
        <v>1.0</v>
      </c>
      <c r="M3258" s="8">
        <f t="shared" si="4"/>
        <v>0.9</v>
      </c>
      <c r="P3258" s="9"/>
    </row>
    <row r="3259">
      <c r="A3259" s="6" t="s">
        <v>7573</v>
      </c>
      <c r="B3259" s="6" t="s">
        <v>7574</v>
      </c>
      <c r="C3259" s="6" t="s">
        <v>156</v>
      </c>
      <c r="D3259" s="6" t="s">
        <v>7575</v>
      </c>
      <c r="E3259" s="6">
        <v>5.0</v>
      </c>
      <c r="F3259" s="6" t="s">
        <v>26</v>
      </c>
      <c r="G3259" s="7">
        <v>4.34</v>
      </c>
      <c r="H3259" s="6" t="s">
        <v>153</v>
      </c>
      <c r="I3259" s="6" t="s">
        <v>20</v>
      </c>
      <c r="J3259" s="6">
        <v>2025.0</v>
      </c>
      <c r="K3259" s="10">
        <v>46116.0</v>
      </c>
      <c r="L3259" s="6">
        <v>1.0</v>
      </c>
      <c r="M3259" s="8">
        <f t="shared" si="4"/>
        <v>4.34</v>
      </c>
      <c r="P3259" s="9"/>
    </row>
    <row r="3260">
      <c r="A3260" s="6" t="s">
        <v>7576</v>
      </c>
      <c r="B3260" s="6" t="s">
        <v>7577</v>
      </c>
      <c r="C3260" s="6" t="s">
        <v>15</v>
      </c>
      <c r="D3260" s="6" t="s">
        <v>7578</v>
      </c>
      <c r="E3260" s="6" t="s">
        <v>7579</v>
      </c>
      <c r="F3260" s="6" t="s">
        <v>7580</v>
      </c>
      <c r="G3260" s="7">
        <v>0.26</v>
      </c>
      <c r="H3260" s="6" t="s">
        <v>153</v>
      </c>
      <c r="I3260" s="6" t="s">
        <v>20</v>
      </c>
      <c r="J3260" s="6">
        <v>2025.0</v>
      </c>
      <c r="K3260" s="10">
        <v>46146.0</v>
      </c>
      <c r="L3260" s="6">
        <v>2.0</v>
      </c>
      <c r="M3260" s="8">
        <f t="shared" si="4"/>
        <v>0.52</v>
      </c>
      <c r="P3260" s="9"/>
    </row>
    <row r="3261">
      <c r="A3261" s="6" t="s">
        <v>7581</v>
      </c>
      <c r="B3261" s="6" t="s">
        <v>7582</v>
      </c>
      <c r="C3261" s="6" t="s">
        <v>15</v>
      </c>
      <c r="D3261" s="6" t="s">
        <v>7583</v>
      </c>
      <c r="E3261" s="6" t="s">
        <v>659</v>
      </c>
      <c r="F3261" s="6" t="s">
        <v>18</v>
      </c>
      <c r="G3261" s="7">
        <v>0.05</v>
      </c>
      <c r="H3261" s="6" t="s">
        <v>153</v>
      </c>
      <c r="I3261" s="6" t="s">
        <v>20</v>
      </c>
      <c r="J3261" s="6">
        <v>2025.0</v>
      </c>
      <c r="K3261" s="10">
        <v>46024.0</v>
      </c>
      <c r="L3261" s="6">
        <v>2.0</v>
      </c>
      <c r="M3261" s="8">
        <f t="shared" si="4"/>
        <v>0.1</v>
      </c>
      <c r="P3261" s="9"/>
    </row>
    <row r="3262">
      <c r="A3262" s="6" t="s">
        <v>7584</v>
      </c>
      <c r="B3262" s="6" t="s">
        <v>254</v>
      </c>
      <c r="C3262" s="6" t="s">
        <v>43</v>
      </c>
      <c r="D3262" s="6" t="s">
        <v>7585</v>
      </c>
      <c r="E3262" s="6" t="s">
        <v>190</v>
      </c>
      <c r="F3262" s="6" t="s">
        <v>18</v>
      </c>
      <c r="G3262" s="7">
        <v>0.49</v>
      </c>
      <c r="H3262" s="6" t="s">
        <v>475</v>
      </c>
      <c r="I3262" s="6" t="s">
        <v>20</v>
      </c>
      <c r="J3262" s="6">
        <v>2024.0</v>
      </c>
      <c r="L3262" s="6">
        <v>3.0</v>
      </c>
      <c r="M3262" s="8">
        <f t="shared" si="4"/>
        <v>1.47</v>
      </c>
      <c r="P3262" s="9"/>
    </row>
    <row r="3263">
      <c r="A3263" s="6" t="s">
        <v>7586</v>
      </c>
      <c r="B3263" s="6" t="s">
        <v>138</v>
      </c>
      <c r="C3263" s="6" t="s">
        <v>418</v>
      </c>
      <c r="D3263" s="6" t="s">
        <v>7587</v>
      </c>
      <c r="E3263" s="6" t="s">
        <v>76</v>
      </c>
      <c r="F3263" s="6" t="s">
        <v>77</v>
      </c>
      <c r="G3263" s="7">
        <v>0.05</v>
      </c>
      <c r="H3263" s="6" t="s">
        <v>471</v>
      </c>
      <c r="I3263" s="6" t="s">
        <v>20</v>
      </c>
      <c r="J3263" s="6">
        <v>2026.0</v>
      </c>
      <c r="L3263" s="6">
        <v>1.0</v>
      </c>
      <c r="M3263" s="8">
        <f t="shared" si="4"/>
        <v>0.05</v>
      </c>
      <c r="P3263" s="9"/>
    </row>
    <row r="3264">
      <c r="A3264" s="6" t="s">
        <v>7588</v>
      </c>
      <c r="B3264" s="6" t="s">
        <v>138</v>
      </c>
      <c r="C3264" s="6" t="s">
        <v>43</v>
      </c>
      <c r="D3264" s="6" t="s">
        <v>7589</v>
      </c>
      <c r="E3264" s="6" t="s">
        <v>224</v>
      </c>
      <c r="F3264" s="6" t="s">
        <v>18</v>
      </c>
      <c r="G3264" s="7">
        <v>0.05</v>
      </c>
      <c r="H3264" s="6" t="s">
        <v>88</v>
      </c>
      <c r="I3264" s="6" t="s">
        <v>20</v>
      </c>
      <c r="J3264" s="6">
        <v>2024.0</v>
      </c>
      <c r="L3264" s="6">
        <v>3.0</v>
      </c>
      <c r="M3264" s="8">
        <f t="shared" si="4"/>
        <v>0.15</v>
      </c>
      <c r="P3264" s="9"/>
    </row>
    <row r="3265">
      <c r="A3265" s="6" t="s">
        <v>7590</v>
      </c>
      <c r="B3265" s="6" t="s">
        <v>7591</v>
      </c>
      <c r="C3265" s="6" t="s">
        <v>37</v>
      </c>
      <c r="D3265" s="6" t="s">
        <v>7592</v>
      </c>
      <c r="E3265" s="6" t="s">
        <v>7195</v>
      </c>
      <c r="F3265" s="6" t="s">
        <v>77</v>
      </c>
      <c r="G3265" s="7">
        <v>0.3</v>
      </c>
      <c r="H3265" s="6" t="s">
        <v>83</v>
      </c>
      <c r="I3265" s="6" t="s">
        <v>20</v>
      </c>
      <c r="J3265" s="6">
        <v>1995.0</v>
      </c>
      <c r="K3265" s="10">
        <v>46082.0</v>
      </c>
      <c r="L3265" s="6">
        <v>1.0</v>
      </c>
      <c r="M3265" s="8">
        <f t="shared" si="4"/>
        <v>0.3</v>
      </c>
      <c r="P3265" s="9"/>
    </row>
    <row r="3266">
      <c r="A3266" s="6" t="s">
        <v>7593</v>
      </c>
      <c r="B3266" s="6" t="s">
        <v>7594</v>
      </c>
      <c r="C3266" s="6" t="s">
        <v>23</v>
      </c>
      <c r="D3266" s="6" t="s">
        <v>7595</v>
      </c>
      <c r="E3266" s="6" t="s">
        <v>1998</v>
      </c>
      <c r="F3266" s="6" t="s">
        <v>77</v>
      </c>
      <c r="G3266" s="7">
        <v>0.05</v>
      </c>
      <c r="H3266" s="6" t="s">
        <v>153</v>
      </c>
      <c r="I3266" s="6" t="s">
        <v>20</v>
      </c>
      <c r="J3266" s="6">
        <v>2025.0</v>
      </c>
      <c r="K3266" s="10">
        <v>46055.0</v>
      </c>
      <c r="L3266" s="6">
        <v>16.0</v>
      </c>
      <c r="M3266" s="8">
        <f t="shared" si="4"/>
        <v>0.8</v>
      </c>
      <c r="P3266" s="9"/>
    </row>
    <row r="3267">
      <c r="A3267" s="6" t="s">
        <v>7596</v>
      </c>
      <c r="B3267" s="6" t="s">
        <v>916</v>
      </c>
      <c r="C3267" s="6" t="s">
        <v>43</v>
      </c>
      <c r="D3267" s="6" t="s">
        <v>7597</v>
      </c>
      <c r="E3267" s="6" t="s">
        <v>248</v>
      </c>
      <c r="F3267" s="6" t="s">
        <v>77</v>
      </c>
      <c r="G3267" s="7">
        <v>0.03</v>
      </c>
      <c r="H3267" s="6" t="s">
        <v>431</v>
      </c>
      <c r="I3267" s="6" t="s">
        <v>20</v>
      </c>
      <c r="J3267" s="6">
        <v>2019.0</v>
      </c>
      <c r="K3267" s="10">
        <v>46084.0</v>
      </c>
      <c r="L3267" s="6">
        <v>1.0</v>
      </c>
      <c r="M3267" s="8">
        <f t="shared" si="4"/>
        <v>0.03</v>
      </c>
      <c r="P3267" s="9"/>
    </row>
    <row r="3268">
      <c r="A3268" s="6" t="s">
        <v>7598</v>
      </c>
      <c r="B3268" s="6" t="s">
        <v>7599</v>
      </c>
      <c r="C3268" s="6" t="s">
        <v>37</v>
      </c>
      <c r="D3268" s="6" t="s">
        <v>7600</v>
      </c>
      <c r="E3268" s="6" t="s">
        <v>1417</v>
      </c>
      <c r="F3268" s="6" t="s">
        <v>71</v>
      </c>
      <c r="G3268" s="7">
        <v>0.05</v>
      </c>
      <c r="H3268" s="6" t="s">
        <v>249</v>
      </c>
      <c r="I3268" s="6" t="s">
        <v>20</v>
      </c>
      <c r="J3268" s="6">
        <v>2014.0</v>
      </c>
      <c r="K3268" s="10">
        <v>46055.0</v>
      </c>
      <c r="L3268" s="6">
        <v>1.0</v>
      </c>
      <c r="M3268" s="8">
        <f t="shared" si="4"/>
        <v>0.05</v>
      </c>
      <c r="P3268" s="9"/>
    </row>
    <row r="3269">
      <c r="A3269" s="6" t="s">
        <v>7601</v>
      </c>
      <c r="B3269" s="6" t="s">
        <v>254</v>
      </c>
      <c r="C3269" s="6" t="s">
        <v>43</v>
      </c>
      <c r="D3269" s="6" t="s">
        <v>7602</v>
      </c>
      <c r="E3269" s="6" t="s">
        <v>135</v>
      </c>
      <c r="F3269" s="6" t="s">
        <v>40</v>
      </c>
      <c r="G3269" s="7">
        <v>0.1</v>
      </c>
      <c r="H3269" s="6" t="s">
        <v>136</v>
      </c>
      <c r="I3269" s="6" t="s">
        <v>20</v>
      </c>
      <c r="J3269" s="6">
        <v>2026.0</v>
      </c>
      <c r="L3269" s="6">
        <v>1.0</v>
      </c>
      <c r="M3269" s="8">
        <f t="shared" si="4"/>
        <v>0.1</v>
      </c>
      <c r="P3269" s="9"/>
    </row>
    <row r="3270">
      <c r="A3270" s="6" t="s">
        <v>7601</v>
      </c>
      <c r="B3270" s="6" t="s">
        <v>254</v>
      </c>
      <c r="C3270" s="6" t="s">
        <v>43</v>
      </c>
      <c r="D3270" s="6" t="s">
        <v>7602</v>
      </c>
      <c r="E3270" s="6" t="s">
        <v>135</v>
      </c>
      <c r="F3270" s="6" t="s">
        <v>40</v>
      </c>
      <c r="G3270" s="7">
        <v>0.23</v>
      </c>
      <c r="H3270" s="6" t="s">
        <v>136</v>
      </c>
      <c r="I3270" s="6" t="s">
        <v>45</v>
      </c>
      <c r="J3270" s="6">
        <v>2026.0</v>
      </c>
      <c r="L3270" s="6">
        <v>1.0</v>
      </c>
      <c r="M3270" s="8">
        <f t="shared" si="4"/>
        <v>0.23</v>
      </c>
      <c r="P3270" s="9"/>
    </row>
    <row r="3271">
      <c r="A3271" s="6" t="s">
        <v>7601</v>
      </c>
      <c r="B3271" s="6" t="s">
        <v>254</v>
      </c>
      <c r="C3271" s="6" t="s">
        <v>43</v>
      </c>
      <c r="D3271" s="6" t="s">
        <v>7602</v>
      </c>
      <c r="E3271" s="6" t="s">
        <v>135</v>
      </c>
      <c r="F3271" s="6" t="s">
        <v>40</v>
      </c>
      <c r="G3271" s="7">
        <v>0.1</v>
      </c>
      <c r="H3271" s="6" t="s">
        <v>136</v>
      </c>
      <c r="I3271" s="6" t="s">
        <v>20</v>
      </c>
      <c r="J3271" s="6">
        <v>2026.0</v>
      </c>
      <c r="L3271" s="6">
        <v>2.0</v>
      </c>
      <c r="M3271" s="8">
        <f t="shared" si="4"/>
        <v>0.2</v>
      </c>
      <c r="P3271" s="9"/>
    </row>
    <row r="3272">
      <c r="A3272" s="6" t="s">
        <v>7603</v>
      </c>
      <c r="B3272" s="6" t="s">
        <v>7604</v>
      </c>
      <c r="C3272" s="6" t="s">
        <v>1488</v>
      </c>
      <c r="D3272" s="6" t="s">
        <v>7605</v>
      </c>
      <c r="E3272" s="6" t="s">
        <v>237</v>
      </c>
      <c r="F3272" s="6" t="s">
        <v>18</v>
      </c>
      <c r="G3272" s="7">
        <v>0.5</v>
      </c>
      <c r="H3272" s="6" t="s">
        <v>1856</v>
      </c>
      <c r="I3272" s="6" t="s">
        <v>20</v>
      </c>
      <c r="J3272" s="6">
        <v>2017.0</v>
      </c>
      <c r="K3272" s="10">
        <v>46116.0</v>
      </c>
      <c r="L3272" s="6">
        <v>1.0</v>
      </c>
      <c r="M3272" s="8">
        <f t="shared" si="4"/>
        <v>0.5</v>
      </c>
      <c r="N3272" s="6" t="s">
        <v>122</v>
      </c>
      <c r="P3272" s="9"/>
    </row>
    <row r="3273">
      <c r="A3273" s="6" t="s">
        <v>7606</v>
      </c>
      <c r="B3273" s="6" t="s">
        <v>115</v>
      </c>
      <c r="C3273" s="6" t="s">
        <v>15</v>
      </c>
      <c r="D3273" s="6" t="s">
        <v>7607</v>
      </c>
      <c r="E3273" s="6" t="s">
        <v>129</v>
      </c>
      <c r="F3273" s="6" t="s">
        <v>87</v>
      </c>
      <c r="G3273" s="7">
        <v>0.15</v>
      </c>
      <c r="H3273" s="6" t="s">
        <v>153</v>
      </c>
      <c r="I3273" s="6" t="s">
        <v>20</v>
      </c>
      <c r="J3273" s="6">
        <v>2025.0</v>
      </c>
      <c r="L3273" s="6">
        <v>2.0</v>
      </c>
      <c r="M3273" s="8">
        <f t="shared" si="4"/>
        <v>0.3</v>
      </c>
      <c r="P3273" s="9"/>
    </row>
    <row r="3274">
      <c r="A3274" s="6" t="s">
        <v>7606</v>
      </c>
      <c r="B3274" s="6" t="s">
        <v>115</v>
      </c>
      <c r="C3274" s="6" t="s">
        <v>15</v>
      </c>
      <c r="D3274" s="6" t="s">
        <v>7607</v>
      </c>
      <c r="E3274" s="6" t="s">
        <v>129</v>
      </c>
      <c r="F3274" s="6" t="s">
        <v>87</v>
      </c>
      <c r="G3274" s="7">
        <v>0.25</v>
      </c>
      <c r="H3274" s="6" t="s">
        <v>153</v>
      </c>
      <c r="I3274" s="6" t="s">
        <v>45</v>
      </c>
      <c r="J3274" s="6">
        <v>2025.0</v>
      </c>
      <c r="L3274" s="6">
        <v>1.0</v>
      </c>
      <c r="M3274" s="8">
        <f t="shared" si="4"/>
        <v>0.25</v>
      </c>
      <c r="P3274" s="9"/>
    </row>
    <row r="3275">
      <c r="A3275" s="6" t="s">
        <v>7608</v>
      </c>
      <c r="B3275" s="6" t="s">
        <v>138</v>
      </c>
      <c r="C3275" s="6" t="s">
        <v>43</v>
      </c>
      <c r="D3275" s="6" t="s">
        <v>7609</v>
      </c>
      <c r="E3275" s="6" t="s">
        <v>329</v>
      </c>
      <c r="F3275" s="6" t="s">
        <v>112</v>
      </c>
      <c r="G3275" s="7">
        <v>0.1</v>
      </c>
      <c r="H3275" s="6" t="s">
        <v>471</v>
      </c>
      <c r="I3275" s="6" t="s">
        <v>20</v>
      </c>
      <c r="J3275" s="6">
        <v>2026.0</v>
      </c>
      <c r="L3275" s="6">
        <v>1.0</v>
      </c>
      <c r="M3275" s="8">
        <f t="shared" si="4"/>
        <v>0.1</v>
      </c>
      <c r="P3275" s="9"/>
    </row>
    <row r="3276">
      <c r="A3276" s="6" t="s">
        <v>7610</v>
      </c>
      <c r="B3276" s="6" t="s">
        <v>74</v>
      </c>
      <c r="C3276" s="6" t="s">
        <v>30</v>
      </c>
      <c r="D3276" s="6" t="s">
        <v>7611</v>
      </c>
      <c r="E3276" s="6" t="s">
        <v>140</v>
      </c>
      <c r="F3276" s="6" t="s">
        <v>87</v>
      </c>
      <c r="G3276" s="7">
        <v>1.24</v>
      </c>
      <c r="H3276" s="6" t="s">
        <v>7612</v>
      </c>
      <c r="I3276" s="6" t="s">
        <v>20</v>
      </c>
      <c r="J3276" s="6">
        <v>2023.0</v>
      </c>
      <c r="L3276" s="6">
        <v>4.0</v>
      </c>
      <c r="M3276" s="8">
        <f t="shared" si="4"/>
        <v>4.96</v>
      </c>
      <c r="P3276" s="9"/>
    </row>
    <row r="3277">
      <c r="A3277" s="6" t="s">
        <v>7613</v>
      </c>
      <c r="B3277" s="6" t="s">
        <v>5539</v>
      </c>
      <c r="C3277" s="6" t="s">
        <v>43</v>
      </c>
      <c r="D3277" s="6" t="s">
        <v>7614</v>
      </c>
      <c r="E3277" s="6" t="s">
        <v>125</v>
      </c>
      <c r="F3277" s="6" t="s">
        <v>40</v>
      </c>
      <c r="G3277" s="7">
        <v>0.05</v>
      </c>
      <c r="H3277" s="6" t="s">
        <v>89</v>
      </c>
      <c r="I3277" s="6" t="s">
        <v>20</v>
      </c>
      <c r="J3277" s="6">
        <v>2021.0</v>
      </c>
      <c r="K3277" s="10">
        <v>46054.0</v>
      </c>
      <c r="L3277" s="6">
        <v>2.0</v>
      </c>
      <c r="M3277" s="8">
        <f t="shared" si="4"/>
        <v>0.1</v>
      </c>
      <c r="P3277" s="9"/>
    </row>
    <row r="3278">
      <c r="A3278" s="6" t="s">
        <v>7615</v>
      </c>
      <c r="B3278" s="6" t="s">
        <v>2759</v>
      </c>
      <c r="C3278" s="6" t="s">
        <v>23</v>
      </c>
      <c r="D3278" s="6" t="s">
        <v>7616</v>
      </c>
      <c r="E3278" s="6" t="s">
        <v>117</v>
      </c>
      <c r="F3278" s="6" t="s">
        <v>77</v>
      </c>
      <c r="G3278" s="7">
        <v>0.09</v>
      </c>
      <c r="H3278" s="6" t="s">
        <v>2394</v>
      </c>
      <c r="I3278" s="6" t="s">
        <v>20</v>
      </c>
      <c r="J3278" s="6">
        <v>1997.0</v>
      </c>
      <c r="L3278" s="6">
        <v>1.0</v>
      </c>
      <c r="M3278" s="8">
        <f t="shared" si="4"/>
        <v>0.09</v>
      </c>
      <c r="P3278" s="9"/>
    </row>
    <row r="3279">
      <c r="A3279" s="6" t="s">
        <v>7615</v>
      </c>
      <c r="B3279" s="6" t="s">
        <v>494</v>
      </c>
      <c r="C3279" s="6" t="s">
        <v>43</v>
      </c>
      <c r="D3279" s="6" t="s">
        <v>7617</v>
      </c>
      <c r="E3279" s="6" t="s">
        <v>117</v>
      </c>
      <c r="F3279" s="6" t="s">
        <v>77</v>
      </c>
      <c r="G3279" s="7">
        <v>0.09</v>
      </c>
      <c r="H3279" s="6" t="s">
        <v>83</v>
      </c>
      <c r="I3279" s="6" t="s">
        <v>20</v>
      </c>
      <c r="J3279" s="6">
        <v>1995.0</v>
      </c>
      <c r="L3279" s="6">
        <v>5.0</v>
      </c>
      <c r="M3279" s="8">
        <f t="shared" si="4"/>
        <v>0.45</v>
      </c>
      <c r="P3279" s="9"/>
    </row>
    <row r="3280">
      <c r="A3280" s="6" t="s">
        <v>7615</v>
      </c>
      <c r="B3280" s="6" t="s">
        <v>494</v>
      </c>
      <c r="C3280" s="6" t="s">
        <v>43</v>
      </c>
      <c r="D3280" s="6" t="s">
        <v>7617</v>
      </c>
      <c r="E3280" s="6" t="s">
        <v>117</v>
      </c>
      <c r="F3280" s="6" t="s">
        <v>77</v>
      </c>
      <c r="G3280" s="7">
        <v>0.2</v>
      </c>
      <c r="H3280" s="6" t="s">
        <v>1064</v>
      </c>
      <c r="I3280" s="6" t="s">
        <v>20</v>
      </c>
      <c r="J3280" s="6">
        <v>1995.0</v>
      </c>
      <c r="L3280" s="6">
        <v>4.0</v>
      </c>
      <c r="M3280" s="8">
        <f t="shared" si="4"/>
        <v>0.8</v>
      </c>
      <c r="P3280" s="9"/>
    </row>
    <row r="3281">
      <c r="A3281" s="6" t="s">
        <v>7615</v>
      </c>
      <c r="B3281" s="6" t="s">
        <v>494</v>
      </c>
      <c r="C3281" s="6" t="s">
        <v>43</v>
      </c>
      <c r="D3281" s="6" t="s">
        <v>7617</v>
      </c>
      <c r="E3281" s="6" t="s">
        <v>117</v>
      </c>
      <c r="F3281" s="6" t="s">
        <v>77</v>
      </c>
      <c r="G3281" s="7">
        <v>0.68</v>
      </c>
      <c r="H3281" s="6" t="s">
        <v>453</v>
      </c>
      <c r="I3281" s="6" t="s">
        <v>20</v>
      </c>
      <c r="J3281" s="6">
        <v>1994.0</v>
      </c>
      <c r="L3281" s="6">
        <v>1.0</v>
      </c>
      <c r="M3281" s="8">
        <f t="shared" si="4"/>
        <v>0.68</v>
      </c>
      <c r="P3281" s="9"/>
    </row>
    <row r="3282">
      <c r="A3282" s="6" t="s">
        <v>7618</v>
      </c>
      <c r="B3282" s="6" t="s">
        <v>219</v>
      </c>
      <c r="C3282" s="6" t="s">
        <v>43</v>
      </c>
      <c r="D3282" s="6" t="s">
        <v>7619</v>
      </c>
      <c r="E3282" s="6" t="s">
        <v>215</v>
      </c>
      <c r="F3282" s="6" t="s">
        <v>26</v>
      </c>
      <c r="G3282" s="7">
        <v>0.03</v>
      </c>
      <c r="H3282" s="6" t="s">
        <v>1776</v>
      </c>
      <c r="I3282" s="6" t="s">
        <v>20</v>
      </c>
      <c r="J3282" s="6">
        <v>2017.0</v>
      </c>
      <c r="L3282" s="6">
        <v>1.0</v>
      </c>
      <c r="M3282" s="8">
        <f t="shared" si="4"/>
        <v>0.03</v>
      </c>
      <c r="N3282" s="6" t="s">
        <v>374</v>
      </c>
      <c r="P3282" s="9"/>
    </row>
    <row r="3283">
      <c r="A3283" s="6" t="s">
        <v>7618</v>
      </c>
      <c r="B3283" s="6" t="s">
        <v>219</v>
      </c>
      <c r="C3283" s="6" t="s">
        <v>43</v>
      </c>
      <c r="D3283" s="6" t="s">
        <v>7620</v>
      </c>
      <c r="E3283" s="6" t="s">
        <v>215</v>
      </c>
      <c r="F3283" s="6" t="s">
        <v>26</v>
      </c>
      <c r="G3283" s="7">
        <v>0.05</v>
      </c>
      <c r="H3283" s="6" t="s">
        <v>651</v>
      </c>
      <c r="I3283" s="6" t="s">
        <v>20</v>
      </c>
      <c r="J3283" s="6">
        <v>2022.0</v>
      </c>
      <c r="L3283" s="6">
        <v>1.0</v>
      </c>
      <c r="M3283" s="8">
        <f t="shared" si="4"/>
        <v>0.05</v>
      </c>
      <c r="P3283" s="9"/>
    </row>
    <row r="3284">
      <c r="A3284" s="6" t="s">
        <v>7621</v>
      </c>
      <c r="B3284" s="6" t="s">
        <v>133</v>
      </c>
      <c r="C3284" s="6" t="s">
        <v>37</v>
      </c>
      <c r="D3284" s="6" t="s">
        <v>7622</v>
      </c>
      <c r="E3284" s="6" t="s">
        <v>164</v>
      </c>
      <c r="F3284" s="6" t="s">
        <v>112</v>
      </c>
      <c r="G3284" s="7">
        <v>0.24</v>
      </c>
      <c r="H3284" s="6" t="s">
        <v>34</v>
      </c>
      <c r="I3284" s="6" t="s">
        <v>20</v>
      </c>
      <c r="J3284" s="6">
        <v>2025.0</v>
      </c>
      <c r="K3284" s="10">
        <v>46055.0</v>
      </c>
      <c r="L3284" s="6">
        <v>1.0</v>
      </c>
      <c r="M3284" s="8">
        <f t="shared" si="4"/>
        <v>0.24</v>
      </c>
      <c r="P3284" s="9"/>
    </row>
    <row r="3285">
      <c r="A3285" s="6" t="s">
        <v>7623</v>
      </c>
      <c r="B3285" s="6" t="s">
        <v>74</v>
      </c>
      <c r="C3285" s="6" t="s">
        <v>43</v>
      </c>
      <c r="D3285" s="6" t="s">
        <v>7624</v>
      </c>
      <c r="E3285" s="6" t="s">
        <v>5948</v>
      </c>
      <c r="F3285" s="6" t="s">
        <v>71</v>
      </c>
      <c r="G3285" s="7">
        <v>1.0</v>
      </c>
      <c r="H3285" s="6" t="s">
        <v>2291</v>
      </c>
      <c r="I3285" s="6" t="s">
        <v>20</v>
      </c>
      <c r="J3285" s="6">
        <v>2008.0</v>
      </c>
      <c r="L3285" s="6">
        <v>3.0</v>
      </c>
      <c r="M3285" s="8">
        <f t="shared" si="4"/>
        <v>3</v>
      </c>
      <c r="P3285" s="9"/>
    </row>
    <row r="3286">
      <c r="A3286" s="6" t="s">
        <v>7625</v>
      </c>
      <c r="B3286" s="6" t="s">
        <v>162</v>
      </c>
      <c r="C3286" s="6" t="s">
        <v>37</v>
      </c>
      <c r="D3286" s="6" t="s">
        <v>7626</v>
      </c>
      <c r="E3286" s="6" t="s">
        <v>880</v>
      </c>
      <c r="F3286" s="6" t="s">
        <v>636</v>
      </c>
      <c r="G3286" s="7">
        <v>0.18</v>
      </c>
      <c r="H3286" s="6" t="s">
        <v>1300</v>
      </c>
      <c r="I3286" s="6" t="s">
        <v>20</v>
      </c>
      <c r="J3286" s="6">
        <v>2021.0</v>
      </c>
      <c r="L3286" s="6">
        <v>1.0</v>
      </c>
      <c r="M3286" s="8">
        <f t="shared" si="4"/>
        <v>0.18</v>
      </c>
      <c r="P3286" s="9"/>
    </row>
    <row r="3287">
      <c r="A3287" s="6" t="s">
        <v>7627</v>
      </c>
      <c r="B3287" s="6" t="s">
        <v>2192</v>
      </c>
      <c r="C3287" s="6" t="s">
        <v>37</v>
      </c>
      <c r="D3287" s="6" t="s">
        <v>7628</v>
      </c>
      <c r="E3287" s="6" t="s">
        <v>3679</v>
      </c>
      <c r="F3287" s="6" t="s">
        <v>71</v>
      </c>
      <c r="G3287" s="7">
        <v>0.09</v>
      </c>
      <c r="H3287" s="6" t="s">
        <v>1856</v>
      </c>
      <c r="I3287" s="6" t="s">
        <v>20</v>
      </c>
      <c r="J3287" s="6">
        <v>2017.0</v>
      </c>
      <c r="K3287" s="10">
        <v>46083.0</v>
      </c>
      <c r="L3287" s="6">
        <v>1.0</v>
      </c>
      <c r="M3287" s="8">
        <f t="shared" si="4"/>
        <v>0.09</v>
      </c>
      <c r="P3287" s="9"/>
    </row>
    <row r="3288">
      <c r="A3288" s="6" t="s">
        <v>7629</v>
      </c>
      <c r="B3288" s="6" t="s">
        <v>1919</v>
      </c>
      <c r="C3288" s="6" t="s">
        <v>37</v>
      </c>
      <c r="D3288" s="6" t="s">
        <v>7630</v>
      </c>
      <c r="E3288" s="6" t="s">
        <v>176</v>
      </c>
      <c r="F3288" s="6" t="s">
        <v>77</v>
      </c>
      <c r="G3288" s="7">
        <v>0.1</v>
      </c>
      <c r="H3288" s="6" t="s">
        <v>160</v>
      </c>
      <c r="I3288" s="6" t="s">
        <v>20</v>
      </c>
      <c r="J3288" s="6">
        <v>2024.0</v>
      </c>
      <c r="K3288" s="10">
        <v>46056.0</v>
      </c>
      <c r="L3288" s="6">
        <v>1.0</v>
      </c>
      <c r="M3288" s="8">
        <f t="shared" si="4"/>
        <v>0.1</v>
      </c>
      <c r="P3288" s="9"/>
    </row>
    <row r="3289">
      <c r="A3289" s="6" t="s">
        <v>7631</v>
      </c>
      <c r="B3289" s="6" t="s">
        <v>1438</v>
      </c>
      <c r="C3289" s="6" t="s">
        <v>43</v>
      </c>
      <c r="D3289" s="6" t="s">
        <v>7632</v>
      </c>
      <c r="E3289" s="6" t="s">
        <v>39</v>
      </c>
      <c r="F3289" s="6" t="s">
        <v>40</v>
      </c>
      <c r="G3289" s="7">
        <v>0.04</v>
      </c>
      <c r="H3289" s="6" t="s">
        <v>475</v>
      </c>
      <c r="I3289" s="6" t="s">
        <v>20</v>
      </c>
      <c r="J3289" s="6">
        <v>2024.0</v>
      </c>
      <c r="K3289" s="10">
        <v>46055.0</v>
      </c>
      <c r="L3289" s="6">
        <v>1.0</v>
      </c>
      <c r="M3289" s="8">
        <f t="shared" si="4"/>
        <v>0.04</v>
      </c>
      <c r="P3289" s="9"/>
    </row>
    <row r="3290">
      <c r="A3290" s="6" t="s">
        <v>7633</v>
      </c>
      <c r="B3290" s="6" t="s">
        <v>219</v>
      </c>
      <c r="C3290" s="6" t="s">
        <v>37</v>
      </c>
      <c r="D3290" s="6" t="s">
        <v>7634</v>
      </c>
      <c r="E3290" s="6" t="s">
        <v>86</v>
      </c>
      <c r="F3290" s="6" t="s">
        <v>87</v>
      </c>
      <c r="G3290" s="7">
        <v>0.17</v>
      </c>
      <c r="H3290" s="6" t="s">
        <v>363</v>
      </c>
      <c r="I3290" s="6" t="s">
        <v>20</v>
      </c>
      <c r="J3290" s="6">
        <v>2024.0</v>
      </c>
      <c r="L3290" s="6">
        <v>1.0</v>
      </c>
      <c r="M3290" s="8">
        <f t="shared" si="4"/>
        <v>0.17</v>
      </c>
      <c r="P3290" s="9"/>
    </row>
    <row r="3291">
      <c r="A3291" s="6" t="s">
        <v>7635</v>
      </c>
      <c r="B3291" s="6" t="s">
        <v>219</v>
      </c>
      <c r="C3291" s="6" t="s">
        <v>43</v>
      </c>
      <c r="D3291" s="6" t="s">
        <v>7636</v>
      </c>
      <c r="E3291" s="6" t="s">
        <v>185</v>
      </c>
      <c r="F3291" s="6" t="s">
        <v>26</v>
      </c>
      <c r="G3291" s="7">
        <v>0.19</v>
      </c>
      <c r="H3291" s="6" t="s">
        <v>113</v>
      </c>
      <c r="I3291" s="6" t="s">
        <v>20</v>
      </c>
      <c r="J3291" s="6">
        <v>2023.0</v>
      </c>
      <c r="L3291" s="6">
        <v>1.0</v>
      </c>
      <c r="M3291" s="8">
        <f t="shared" si="4"/>
        <v>0.19</v>
      </c>
      <c r="P3291" s="9"/>
    </row>
    <row r="3292">
      <c r="A3292" s="6" t="s">
        <v>7637</v>
      </c>
      <c r="B3292" s="6" t="s">
        <v>7638</v>
      </c>
      <c r="C3292" s="6" t="s">
        <v>43</v>
      </c>
      <c r="D3292" s="6" t="s">
        <v>7639</v>
      </c>
      <c r="E3292" s="6" t="s">
        <v>256</v>
      </c>
      <c r="F3292" s="6" t="s">
        <v>87</v>
      </c>
      <c r="G3292" s="7">
        <v>0.05</v>
      </c>
      <c r="H3292" s="6" t="s">
        <v>297</v>
      </c>
      <c r="I3292" s="6" t="s">
        <v>20</v>
      </c>
      <c r="J3292" s="6">
        <v>2022.0</v>
      </c>
      <c r="K3292" s="10">
        <v>46026.0</v>
      </c>
      <c r="L3292" s="6">
        <v>1.0</v>
      </c>
      <c r="M3292" s="8">
        <f t="shared" si="4"/>
        <v>0.05</v>
      </c>
      <c r="P3292" s="9"/>
    </row>
    <row r="3293">
      <c r="A3293" s="6" t="s">
        <v>7640</v>
      </c>
      <c r="B3293" s="6" t="s">
        <v>1520</v>
      </c>
      <c r="C3293" s="6" t="s">
        <v>43</v>
      </c>
      <c r="D3293" s="6" t="s">
        <v>7641</v>
      </c>
      <c r="E3293" s="6" t="s">
        <v>256</v>
      </c>
      <c r="F3293" s="6" t="s">
        <v>87</v>
      </c>
      <c r="G3293" s="7">
        <v>0.06</v>
      </c>
      <c r="H3293" s="6" t="s">
        <v>148</v>
      </c>
      <c r="I3293" s="6" t="s">
        <v>20</v>
      </c>
      <c r="J3293" s="6">
        <v>2026.0</v>
      </c>
      <c r="L3293" s="6">
        <v>1.0</v>
      </c>
      <c r="M3293" s="8">
        <f t="shared" si="4"/>
        <v>0.06</v>
      </c>
      <c r="P3293" s="9"/>
    </row>
    <row r="3294">
      <c r="A3294" s="6" t="s">
        <v>7642</v>
      </c>
      <c r="B3294" s="6" t="s">
        <v>74</v>
      </c>
      <c r="C3294" s="6" t="s">
        <v>43</v>
      </c>
      <c r="D3294" s="6" t="s">
        <v>7643</v>
      </c>
      <c r="E3294" s="6" t="s">
        <v>190</v>
      </c>
      <c r="F3294" s="6" t="s">
        <v>18</v>
      </c>
      <c r="G3294" s="7">
        <v>0.05</v>
      </c>
      <c r="H3294" s="6" t="s">
        <v>1856</v>
      </c>
      <c r="I3294" s="6" t="s">
        <v>20</v>
      </c>
      <c r="J3294" s="6">
        <v>2017.0</v>
      </c>
      <c r="L3294" s="6">
        <v>2.0</v>
      </c>
      <c r="M3294" s="8">
        <f t="shared" si="4"/>
        <v>0.1</v>
      </c>
      <c r="P3294" s="9"/>
    </row>
    <row r="3295">
      <c r="A3295" s="6" t="s">
        <v>7644</v>
      </c>
      <c r="B3295" s="6" t="s">
        <v>2339</v>
      </c>
      <c r="C3295" s="6" t="s">
        <v>418</v>
      </c>
      <c r="D3295" s="6" t="s">
        <v>7645</v>
      </c>
      <c r="E3295" s="6" t="s">
        <v>107</v>
      </c>
      <c r="F3295" s="6" t="s">
        <v>18</v>
      </c>
      <c r="G3295" s="7">
        <v>0.09</v>
      </c>
      <c r="H3295" s="6" t="s">
        <v>471</v>
      </c>
      <c r="I3295" s="6" t="s">
        <v>20</v>
      </c>
      <c r="J3295" s="6">
        <v>2026.0</v>
      </c>
      <c r="K3295" s="10">
        <v>46024.0</v>
      </c>
      <c r="L3295" s="6">
        <v>2.0</v>
      </c>
      <c r="M3295" s="8">
        <f t="shared" si="4"/>
        <v>0.18</v>
      </c>
      <c r="P3295" s="9"/>
    </row>
    <row r="3296">
      <c r="A3296" s="6" t="s">
        <v>7646</v>
      </c>
      <c r="B3296" s="6" t="s">
        <v>920</v>
      </c>
      <c r="C3296" s="6" t="s">
        <v>43</v>
      </c>
      <c r="D3296" s="6" t="s">
        <v>7647</v>
      </c>
      <c r="E3296" s="6" t="s">
        <v>248</v>
      </c>
      <c r="F3296" s="6" t="s">
        <v>77</v>
      </c>
      <c r="G3296" s="7">
        <v>0.05</v>
      </c>
      <c r="H3296" s="6" t="s">
        <v>922</v>
      </c>
      <c r="I3296" s="6" t="s">
        <v>20</v>
      </c>
      <c r="J3296" s="6">
        <v>2014.0</v>
      </c>
      <c r="K3296" s="10">
        <v>46084.0</v>
      </c>
      <c r="L3296" s="6">
        <v>1.0</v>
      </c>
      <c r="M3296" s="8">
        <f t="shared" si="4"/>
        <v>0.05</v>
      </c>
      <c r="P3296" s="9"/>
    </row>
    <row r="3297">
      <c r="A3297" s="6" t="s">
        <v>7648</v>
      </c>
      <c r="B3297" s="6" t="s">
        <v>4181</v>
      </c>
      <c r="C3297" s="6" t="s">
        <v>43</v>
      </c>
      <c r="D3297" s="6" t="s">
        <v>7649</v>
      </c>
      <c r="E3297" s="6" t="s">
        <v>579</v>
      </c>
      <c r="F3297" s="6" t="s">
        <v>112</v>
      </c>
      <c r="G3297" s="7">
        <v>0.07</v>
      </c>
      <c r="H3297" s="6" t="s">
        <v>1531</v>
      </c>
      <c r="I3297" s="6" t="s">
        <v>20</v>
      </c>
      <c r="J3297" s="6">
        <v>2005.0</v>
      </c>
      <c r="L3297" s="6">
        <v>1.0</v>
      </c>
      <c r="M3297" s="8">
        <f t="shared" si="4"/>
        <v>0.07</v>
      </c>
      <c r="P3297" s="9"/>
    </row>
    <row r="3298">
      <c r="A3298" s="6" t="s">
        <v>7650</v>
      </c>
      <c r="B3298" s="6" t="s">
        <v>7651</v>
      </c>
      <c r="C3298" s="6" t="s">
        <v>37</v>
      </c>
      <c r="D3298" s="6" t="s">
        <v>7652</v>
      </c>
      <c r="E3298" s="6" t="s">
        <v>389</v>
      </c>
      <c r="F3298" s="6" t="s">
        <v>87</v>
      </c>
      <c r="G3298" s="7">
        <v>0.07</v>
      </c>
      <c r="H3298" s="6" t="s">
        <v>787</v>
      </c>
      <c r="I3298" s="6" t="s">
        <v>45</v>
      </c>
      <c r="J3298" s="6">
        <v>2023.0</v>
      </c>
      <c r="K3298" s="10">
        <v>46057.0</v>
      </c>
      <c r="L3298" s="6">
        <v>1.0</v>
      </c>
      <c r="M3298" s="8">
        <f t="shared" si="4"/>
        <v>0.07</v>
      </c>
      <c r="P3298" s="9"/>
    </row>
    <row r="3299">
      <c r="A3299" s="6" t="s">
        <v>7653</v>
      </c>
      <c r="B3299" s="6" t="s">
        <v>494</v>
      </c>
      <c r="C3299" s="6" t="s">
        <v>43</v>
      </c>
      <c r="D3299" s="6" t="s">
        <v>7654</v>
      </c>
      <c r="E3299" s="6" t="s">
        <v>164</v>
      </c>
      <c r="F3299" s="6" t="s">
        <v>112</v>
      </c>
      <c r="G3299" s="7">
        <v>0.03</v>
      </c>
      <c r="H3299" s="6" t="s">
        <v>1344</v>
      </c>
      <c r="I3299" s="6" t="s">
        <v>20</v>
      </c>
      <c r="J3299" s="6">
        <v>2018.0</v>
      </c>
      <c r="L3299" s="6">
        <v>1.0</v>
      </c>
      <c r="M3299" s="8">
        <f t="shared" si="4"/>
        <v>0.03</v>
      </c>
      <c r="N3299" s="6" t="s">
        <v>374</v>
      </c>
      <c r="P3299" s="9"/>
    </row>
    <row r="3300">
      <c r="A3300" s="6" t="s">
        <v>7655</v>
      </c>
      <c r="B3300" s="6" t="s">
        <v>213</v>
      </c>
      <c r="C3300" s="6" t="s">
        <v>23</v>
      </c>
      <c r="D3300" s="6" t="s">
        <v>7656</v>
      </c>
      <c r="E3300" s="6" t="s">
        <v>215</v>
      </c>
      <c r="F3300" s="6" t="s">
        <v>26</v>
      </c>
      <c r="G3300" s="7">
        <v>0.27</v>
      </c>
      <c r="H3300" s="6" t="s">
        <v>655</v>
      </c>
      <c r="I3300" s="6" t="s">
        <v>45</v>
      </c>
      <c r="J3300" s="6">
        <v>2023.0</v>
      </c>
      <c r="L3300" s="6">
        <v>1.0</v>
      </c>
      <c r="M3300" s="8">
        <f t="shared" si="4"/>
        <v>0.27</v>
      </c>
      <c r="P3300" s="9"/>
    </row>
    <row r="3301">
      <c r="A3301" s="6" t="s">
        <v>7657</v>
      </c>
      <c r="B3301" s="6" t="s">
        <v>5403</v>
      </c>
      <c r="C3301" s="6" t="s">
        <v>30</v>
      </c>
      <c r="D3301" s="6" t="s">
        <v>7658</v>
      </c>
      <c r="E3301" s="6" t="s">
        <v>3281</v>
      </c>
      <c r="F3301" s="6" t="s">
        <v>519</v>
      </c>
      <c r="G3301" s="7">
        <v>1.78</v>
      </c>
      <c r="H3301" s="6" t="s">
        <v>1004</v>
      </c>
      <c r="I3301" s="6" t="s">
        <v>20</v>
      </c>
      <c r="J3301" s="6">
        <v>2022.0</v>
      </c>
      <c r="K3301" s="10">
        <v>46083.0</v>
      </c>
      <c r="L3301" s="6">
        <v>1.0</v>
      </c>
      <c r="M3301" s="8">
        <f t="shared" si="4"/>
        <v>1.78</v>
      </c>
      <c r="P3301" s="9"/>
    </row>
    <row r="3302">
      <c r="A3302" s="6" t="s">
        <v>7659</v>
      </c>
      <c r="B3302" s="6" t="s">
        <v>7660</v>
      </c>
      <c r="C3302" s="6" t="s">
        <v>30</v>
      </c>
      <c r="D3302" s="6" t="s">
        <v>7661</v>
      </c>
      <c r="E3302" s="6" t="s">
        <v>526</v>
      </c>
      <c r="F3302" s="6" t="s">
        <v>26</v>
      </c>
      <c r="G3302" s="7">
        <v>1.6</v>
      </c>
      <c r="H3302" s="6" t="s">
        <v>316</v>
      </c>
      <c r="I3302" s="6" t="s">
        <v>20</v>
      </c>
      <c r="J3302" s="6">
        <v>1995.0</v>
      </c>
      <c r="K3302" s="10">
        <v>46116.0</v>
      </c>
      <c r="L3302" s="6">
        <v>1.0</v>
      </c>
      <c r="M3302" s="8">
        <f t="shared" si="4"/>
        <v>1.6</v>
      </c>
      <c r="N3302" s="6" t="s">
        <v>122</v>
      </c>
      <c r="P3302" s="9"/>
    </row>
    <row r="3303">
      <c r="A3303" s="6" t="s">
        <v>7662</v>
      </c>
      <c r="B3303" s="6" t="s">
        <v>7663</v>
      </c>
      <c r="C3303" s="6" t="s">
        <v>43</v>
      </c>
      <c r="D3303" s="6" t="s">
        <v>7664</v>
      </c>
      <c r="E3303" s="6" t="s">
        <v>4240</v>
      </c>
      <c r="F3303" s="6" t="s">
        <v>26</v>
      </c>
      <c r="G3303" s="7">
        <v>3.0</v>
      </c>
      <c r="H3303" s="6" t="s">
        <v>631</v>
      </c>
      <c r="I3303" s="6" t="s">
        <v>20</v>
      </c>
      <c r="J3303" s="6">
        <v>1995.0</v>
      </c>
      <c r="L3303" s="6">
        <v>1.0</v>
      </c>
      <c r="M3303" s="8">
        <f t="shared" si="4"/>
        <v>3</v>
      </c>
      <c r="P3303" s="9"/>
    </row>
    <row r="3304">
      <c r="A3304" s="6" t="s">
        <v>7665</v>
      </c>
      <c r="B3304" s="6" t="s">
        <v>2783</v>
      </c>
      <c r="C3304" s="6" t="s">
        <v>37</v>
      </c>
      <c r="D3304" s="6" t="s">
        <v>7666</v>
      </c>
      <c r="E3304" s="6" t="s">
        <v>256</v>
      </c>
      <c r="F3304" s="6" t="s">
        <v>87</v>
      </c>
      <c r="G3304" s="7">
        <v>0.2</v>
      </c>
      <c r="H3304" s="6" t="s">
        <v>452</v>
      </c>
      <c r="I3304" s="6" t="s">
        <v>20</v>
      </c>
      <c r="J3304" s="6">
        <v>1995.0</v>
      </c>
      <c r="K3304" s="10">
        <v>46055.0</v>
      </c>
      <c r="L3304" s="6">
        <v>2.0</v>
      </c>
      <c r="M3304" s="8">
        <f t="shared" si="4"/>
        <v>0.4</v>
      </c>
      <c r="P3304" s="9"/>
    </row>
    <row r="3305">
      <c r="A3305" s="6" t="s">
        <v>7665</v>
      </c>
      <c r="B3305" s="6" t="s">
        <v>2783</v>
      </c>
      <c r="C3305" s="6" t="s">
        <v>37</v>
      </c>
      <c r="D3305" s="6" t="s">
        <v>7666</v>
      </c>
      <c r="E3305" s="6" t="s">
        <v>256</v>
      </c>
      <c r="F3305" s="6" t="s">
        <v>87</v>
      </c>
      <c r="G3305" s="7">
        <v>0.48</v>
      </c>
      <c r="H3305" s="6" t="s">
        <v>316</v>
      </c>
      <c r="I3305" s="6" t="s">
        <v>20</v>
      </c>
      <c r="J3305" s="6">
        <v>1995.0</v>
      </c>
      <c r="K3305" s="10">
        <v>46055.0</v>
      </c>
      <c r="L3305" s="6">
        <v>1.0</v>
      </c>
      <c r="M3305" s="8">
        <f t="shared" si="4"/>
        <v>0.48</v>
      </c>
      <c r="P3305" s="9"/>
    </row>
    <row r="3306">
      <c r="A3306" s="6" t="s">
        <v>7667</v>
      </c>
      <c r="B3306" s="6" t="s">
        <v>494</v>
      </c>
      <c r="C3306" s="6" t="s">
        <v>43</v>
      </c>
      <c r="D3306" s="6" t="s">
        <v>7668</v>
      </c>
      <c r="E3306" s="6" t="s">
        <v>164</v>
      </c>
      <c r="F3306" s="6" t="s">
        <v>112</v>
      </c>
      <c r="G3306" s="7">
        <v>0.13</v>
      </c>
      <c r="H3306" s="6" t="s">
        <v>410</v>
      </c>
      <c r="I3306" s="6" t="s">
        <v>20</v>
      </c>
      <c r="J3306" s="6">
        <v>2021.0</v>
      </c>
      <c r="L3306" s="6">
        <v>1.0</v>
      </c>
      <c r="M3306" s="8">
        <f t="shared" si="4"/>
        <v>0.13</v>
      </c>
      <c r="N3306" s="6" t="s">
        <v>374</v>
      </c>
      <c r="P3306" s="9"/>
    </row>
    <row r="3307">
      <c r="A3307" s="6" t="s">
        <v>7669</v>
      </c>
      <c r="B3307" s="6" t="s">
        <v>7670</v>
      </c>
      <c r="C3307" s="6" t="s">
        <v>43</v>
      </c>
      <c r="D3307" s="6" t="s">
        <v>7671</v>
      </c>
      <c r="E3307" s="6" t="s">
        <v>98</v>
      </c>
      <c r="F3307" s="6" t="s">
        <v>18</v>
      </c>
      <c r="G3307" s="7">
        <v>0.05</v>
      </c>
      <c r="H3307" s="6" t="s">
        <v>136</v>
      </c>
      <c r="I3307" s="6" t="s">
        <v>20</v>
      </c>
      <c r="J3307" s="6">
        <v>2026.0</v>
      </c>
      <c r="K3307" s="10">
        <v>46055.0</v>
      </c>
      <c r="L3307" s="6">
        <v>4.0</v>
      </c>
      <c r="M3307" s="8">
        <f t="shared" si="4"/>
        <v>0.2</v>
      </c>
      <c r="P3307" s="9"/>
    </row>
    <row r="3308">
      <c r="A3308" s="6" t="s">
        <v>7672</v>
      </c>
      <c r="B3308" s="6" t="s">
        <v>494</v>
      </c>
      <c r="C3308" s="6" t="s">
        <v>43</v>
      </c>
      <c r="D3308" s="6" t="s">
        <v>7673</v>
      </c>
      <c r="E3308" s="6" t="s">
        <v>107</v>
      </c>
      <c r="F3308" s="6" t="s">
        <v>18</v>
      </c>
      <c r="G3308" s="7">
        <v>0.09</v>
      </c>
      <c r="H3308" s="6" t="s">
        <v>363</v>
      </c>
      <c r="I3308" s="6" t="s">
        <v>20</v>
      </c>
      <c r="J3308" s="6">
        <v>2024.0</v>
      </c>
      <c r="L3308" s="6">
        <v>1.0</v>
      </c>
      <c r="M3308" s="8">
        <f t="shared" si="4"/>
        <v>0.09</v>
      </c>
      <c r="P3308" s="9"/>
    </row>
    <row r="3309">
      <c r="A3309" s="6" t="s">
        <v>7674</v>
      </c>
      <c r="B3309" s="6" t="s">
        <v>7675</v>
      </c>
      <c r="C3309" s="6" t="s">
        <v>15</v>
      </c>
      <c r="D3309" s="6" t="s">
        <v>7676</v>
      </c>
      <c r="E3309" s="6" t="s">
        <v>7677</v>
      </c>
      <c r="F3309" s="6" t="s">
        <v>159</v>
      </c>
      <c r="G3309" s="7">
        <v>0.09</v>
      </c>
      <c r="H3309" s="6" t="s">
        <v>99</v>
      </c>
      <c r="I3309" s="6" t="s">
        <v>20</v>
      </c>
      <c r="J3309" s="6">
        <v>2022.0</v>
      </c>
      <c r="K3309" s="6" t="s">
        <v>7678</v>
      </c>
      <c r="L3309" s="6">
        <v>2.0</v>
      </c>
      <c r="M3309" s="8">
        <f t="shared" si="4"/>
        <v>0.18</v>
      </c>
      <c r="P3309" s="9"/>
    </row>
    <row r="3310">
      <c r="A3310" s="6" t="s">
        <v>7679</v>
      </c>
      <c r="B3310" s="6" t="s">
        <v>3097</v>
      </c>
      <c r="C3310" s="6" t="s">
        <v>43</v>
      </c>
      <c r="D3310" s="6" t="s">
        <v>7680</v>
      </c>
      <c r="E3310" s="6" t="s">
        <v>3084</v>
      </c>
      <c r="F3310" s="6" t="s">
        <v>1244</v>
      </c>
      <c r="G3310" s="7">
        <v>0.06</v>
      </c>
      <c r="H3310" s="6" t="s">
        <v>7681</v>
      </c>
      <c r="I3310" s="6" t="s">
        <v>20</v>
      </c>
      <c r="J3310" s="6">
        <v>2009.0</v>
      </c>
      <c r="K3310" s="10">
        <v>46055.0</v>
      </c>
      <c r="L3310" s="6">
        <v>2.0</v>
      </c>
      <c r="M3310" s="8">
        <f t="shared" si="4"/>
        <v>0.12</v>
      </c>
      <c r="P3310" s="9"/>
    </row>
    <row r="3311">
      <c r="A3311" s="6" t="s">
        <v>7682</v>
      </c>
      <c r="B3311" s="6" t="s">
        <v>929</v>
      </c>
      <c r="C3311" s="6" t="s">
        <v>37</v>
      </c>
      <c r="D3311" s="6" t="s">
        <v>7683</v>
      </c>
      <c r="E3311" s="6" t="s">
        <v>117</v>
      </c>
      <c r="F3311" s="6" t="s">
        <v>77</v>
      </c>
      <c r="G3311" s="7">
        <v>0.1</v>
      </c>
      <c r="H3311" s="6" t="s">
        <v>475</v>
      </c>
      <c r="I3311" s="6" t="s">
        <v>20</v>
      </c>
      <c r="J3311" s="6">
        <v>2024.0</v>
      </c>
      <c r="K3311" s="10">
        <v>46023.0</v>
      </c>
      <c r="L3311" s="6">
        <v>1.0</v>
      </c>
      <c r="M3311" s="8">
        <f t="shared" si="4"/>
        <v>0.1</v>
      </c>
      <c r="P3311" s="9"/>
    </row>
    <row r="3312">
      <c r="A3312" s="6" t="s">
        <v>7684</v>
      </c>
      <c r="B3312" s="6" t="s">
        <v>102</v>
      </c>
      <c r="C3312" s="6" t="s">
        <v>30</v>
      </c>
      <c r="D3312" s="6" t="s">
        <v>7685</v>
      </c>
      <c r="E3312" s="6" t="s">
        <v>39</v>
      </c>
      <c r="F3312" s="6" t="s">
        <v>40</v>
      </c>
      <c r="G3312" s="7">
        <v>0.64</v>
      </c>
      <c r="H3312" s="6" t="s">
        <v>78</v>
      </c>
      <c r="I3312" s="6" t="s">
        <v>20</v>
      </c>
      <c r="J3312" s="6">
        <v>2018.0</v>
      </c>
      <c r="K3312" s="10">
        <v>46115.0</v>
      </c>
      <c r="L3312" s="6">
        <v>1.0</v>
      </c>
      <c r="M3312" s="8">
        <f t="shared" si="4"/>
        <v>0.64</v>
      </c>
      <c r="P3312" s="9"/>
    </row>
    <row r="3313">
      <c r="A3313" s="6" t="s">
        <v>7686</v>
      </c>
      <c r="B3313" s="6" t="s">
        <v>6058</v>
      </c>
      <c r="C3313" s="6" t="s">
        <v>15</v>
      </c>
      <c r="D3313" s="6" t="s">
        <v>7687</v>
      </c>
      <c r="E3313" s="6" t="s">
        <v>668</v>
      </c>
      <c r="F3313" s="6" t="s">
        <v>18</v>
      </c>
      <c r="G3313" s="7">
        <v>0.21</v>
      </c>
      <c r="H3313" s="6" t="s">
        <v>153</v>
      </c>
      <c r="I3313" s="6" t="s">
        <v>20</v>
      </c>
      <c r="J3313" s="6">
        <v>2025.0</v>
      </c>
      <c r="K3313" s="10">
        <v>46117.0</v>
      </c>
      <c r="L3313" s="6">
        <v>3.0</v>
      </c>
      <c r="M3313" s="8">
        <f t="shared" si="4"/>
        <v>0.63</v>
      </c>
      <c r="P3313" s="9"/>
    </row>
    <row r="3314">
      <c r="A3314" s="6" t="s">
        <v>7688</v>
      </c>
      <c r="B3314" s="6" t="s">
        <v>3629</v>
      </c>
      <c r="C3314" s="6" t="s">
        <v>43</v>
      </c>
      <c r="D3314" s="6" t="s">
        <v>7689</v>
      </c>
      <c r="E3314" s="6" t="s">
        <v>117</v>
      </c>
      <c r="F3314" s="6" t="s">
        <v>77</v>
      </c>
      <c r="G3314" s="7">
        <v>0.05</v>
      </c>
      <c r="H3314" s="6" t="s">
        <v>83</v>
      </c>
      <c r="I3314" s="6" t="s">
        <v>20</v>
      </c>
      <c r="J3314" s="6">
        <v>1995.0</v>
      </c>
      <c r="K3314" s="6" t="s">
        <v>301</v>
      </c>
      <c r="L3314" s="6">
        <v>3.0</v>
      </c>
      <c r="M3314" s="8">
        <f t="shared" si="4"/>
        <v>0.15</v>
      </c>
      <c r="P3314" s="9"/>
    </row>
    <row r="3315">
      <c r="A3315" s="6" t="s">
        <v>7688</v>
      </c>
      <c r="B3315" s="6" t="s">
        <v>3629</v>
      </c>
      <c r="C3315" s="6" t="s">
        <v>43</v>
      </c>
      <c r="D3315" s="6" t="s">
        <v>7689</v>
      </c>
      <c r="E3315" s="6" t="s">
        <v>117</v>
      </c>
      <c r="F3315" s="6" t="s">
        <v>77</v>
      </c>
      <c r="G3315" s="7">
        <v>0.2</v>
      </c>
      <c r="H3315" s="6" t="s">
        <v>1064</v>
      </c>
      <c r="I3315" s="6" t="s">
        <v>20</v>
      </c>
      <c r="J3315" s="6">
        <v>1995.0</v>
      </c>
      <c r="K3315" s="6" t="s">
        <v>301</v>
      </c>
      <c r="L3315" s="6">
        <v>5.0</v>
      </c>
      <c r="M3315" s="8">
        <f t="shared" si="4"/>
        <v>1</v>
      </c>
      <c r="P3315" s="9"/>
    </row>
    <row r="3316">
      <c r="A3316" s="6" t="s">
        <v>7690</v>
      </c>
      <c r="B3316" s="6" t="s">
        <v>7691</v>
      </c>
      <c r="C3316" s="6" t="s">
        <v>37</v>
      </c>
      <c r="D3316" s="6" t="s">
        <v>7692</v>
      </c>
      <c r="E3316" s="6" t="s">
        <v>1027</v>
      </c>
      <c r="F3316" s="6" t="s">
        <v>77</v>
      </c>
      <c r="G3316" s="7">
        <v>0.9</v>
      </c>
      <c r="H3316" s="6" t="s">
        <v>88</v>
      </c>
      <c r="I3316" s="6" t="s">
        <v>45</v>
      </c>
      <c r="J3316" s="6">
        <v>2024.0</v>
      </c>
      <c r="K3316" s="10">
        <v>46083.0</v>
      </c>
      <c r="L3316" s="6">
        <v>1.0</v>
      </c>
      <c r="M3316" s="8">
        <f t="shared" si="4"/>
        <v>0.9</v>
      </c>
      <c r="P3316" s="9"/>
    </row>
    <row r="3317">
      <c r="A3317" s="6" t="s">
        <v>7693</v>
      </c>
      <c r="B3317" s="6" t="s">
        <v>331</v>
      </c>
      <c r="C3317" s="6" t="s">
        <v>43</v>
      </c>
      <c r="D3317" s="6" t="s">
        <v>7694</v>
      </c>
      <c r="E3317" s="6" t="s">
        <v>76</v>
      </c>
      <c r="F3317" s="6" t="s">
        <v>77</v>
      </c>
      <c r="G3317" s="7">
        <v>0.03</v>
      </c>
      <c r="H3317" s="6" t="s">
        <v>290</v>
      </c>
      <c r="I3317" s="6" t="s">
        <v>20</v>
      </c>
      <c r="J3317" s="6">
        <v>2019.0</v>
      </c>
      <c r="K3317" s="10">
        <v>46024.0</v>
      </c>
      <c r="L3317" s="6">
        <v>1.0</v>
      </c>
      <c r="M3317" s="8">
        <f t="shared" si="4"/>
        <v>0.03</v>
      </c>
      <c r="P3317" s="9"/>
    </row>
    <row r="3318">
      <c r="A3318" s="6" t="s">
        <v>7695</v>
      </c>
      <c r="B3318" s="6" t="s">
        <v>371</v>
      </c>
      <c r="C3318" s="6" t="s">
        <v>43</v>
      </c>
      <c r="D3318" s="6" t="s">
        <v>7696</v>
      </c>
      <c r="E3318" s="6" t="s">
        <v>135</v>
      </c>
      <c r="F3318" s="6" t="s">
        <v>40</v>
      </c>
      <c r="G3318" s="7">
        <v>0.09</v>
      </c>
      <c r="H3318" s="6" t="s">
        <v>89</v>
      </c>
      <c r="I3318" s="6" t="s">
        <v>20</v>
      </c>
      <c r="J3318" s="6">
        <v>2021.0</v>
      </c>
      <c r="K3318" s="10">
        <v>46055.0</v>
      </c>
      <c r="L3318" s="6">
        <v>1.0</v>
      </c>
      <c r="M3318" s="8">
        <f t="shared" si="4"/>
        <v>0.09</v>
      </c>
      <c r="P3318" s="9"/>
    </row>
    <row r="3319">
      <c r="A3319" s="6" t="s">
        <v>7697</v>
      </c>
      <c r="B3319" s="6" t="s">
        <v>7698</v>
      </c>
      <c r="C3319" s="6" t="s">
        <v>37</v>
      </c>
      <c r="D3319" s="6" t="s">
        <v>7699</v>
      </c>
      <c r="E3319" s="6" t="s">
        <v>82</v>
      </c>
      <c r="F3319" s="6" t="s">
        <v>77</v>
      </c>
      <c r="G3319" s="7">
        <v>0.24</v>
      </c>
      <c r="H3319" s="6" t="s">
        <v>78</v>
      </c>
      <c r="I3319" s="6" t="s">
        <v>20</v>
      </c>
      <c r="J3319" s="6">
        <v>2018.0</v>
      </c>
      <c r="K3319" s="10">
        <v>46115.0</v>
      </c>
      <c r="L3319" s="6">
        <v>1.0</v>
      </c>
      <c r="M3319" s="8">
        <f t="shared" si="4"/>
        <v>0.24</v>
      </c>
      <c r="P3319" s="9"/>
    </row>
    <row r="3320">
      <c r="A3320" s="6" t="s">
        <v>7700</v>
      </c>
      <c r="B3320" s="6" t="s">
        <v>7701</v>
      </c>
      <c r="C3320" s="6" t="s">
        <v>23</v>
      </c>
      <c r="D3320" s="6" t="s">
        <v>7702</v>
      </c>
      <c r="E3320" s="6" t="s">
        <v>117</v>
      </c>
      <c r="F3320" s="6" t="s">
        <v>77</v>
      </c>
      <c r="G3320" s="7">
        <v>0.45</v>
      </c>
      <c r="H3320" s="6" t="s">
        <v>7703</v>
      </c>
      <c r="I3320" s="6" t="s">
        <v>20</v>
      </c>
      <c r="J3320" s="6">
        <v>2010.0</v>
      </c>
      <c r="K3320" s="10">
        <v>46023.0</v>
      </c>
      <c r="L3320" s="6">
        <v>3.0</v>
      </c>
      <c r="M3320" s="8">
        <f t="shared" si="4"/>
        <v>1.35</v>
      </c>
      <c r="P3320" s="9"/>
    </row>
    <row r="3321">
      <c r="A3321" s="6" t="s">
        <v>7704</v>
      </c>
      <c r="B3321" s="6" t="s">
        <v>7705</v>
      </c>
      <c r="C3321" s="6" t="s">
        <v>204</v>
      </c>
      <c r="D3321" s="6" t="s">
        <v>7706</v>
      </c>
      <c r="E3321" s="6" t="s">
        <v>117</v>
      </c>
      <c r="F3321" s="6" t="s">
        <v>77</v>
      </c>
      <c r="G3321" s="7">
        <v>0.49</v>
      </c>
      <c r="H3321" s="6" t="s">
        <v>232</v>
      </c>
      <c r="I3321" s="6" t="s">
        <v>20</v>
      </c>
      <c r="J3321" s="6">
        <v>2010.0</v>
      </c>
      <c r="K3321" s="10">
        <v>46023.0</v>
      </c>
      <c r="L3321" s="6">
        <v>1.0</v>
      </c>
      <c r="M3321" s="8">
        <f t="shared" si="4"/>
        <v>0.49</v>
      </c>
      <c r="P3321" s="9"/>
    </row>
    <row r="3322">
      <c r="A3322" s="6" t="s">
        <v>7707</v>
      </c>
      <c r="B3322" s="6" t="s">
        <v>7708</v>
      </c>
      <c r="C3322" s="6" t="s">
        <v>183</v>
      </c>
      <c r="D3322" s="6" t="s">
        <v>7709</v>
      </c>
      <c r="E3322" s="6" t="s">
        <v>82</v>
      </c>
      <c r="F3322" s="6" t="s">
        <v>77</v>
      </c>
      <c r="G3322" s="7">
        <v>0.19</v>
      </c>
      <c r="H3322" s="6" t="s">
        <v>373</v>
      </c>
      <c r="I3322" s="6" t="s">
        <v>20</v>
      </c>
      <c r="J3322" s="6">
        <v>2015.0</v>
      </c>
      <c r="K3322" s="10">
        <v>46116.0</v>
      </c>
      <c r="L3322" s="6">
        <v>3.0</v>
      </c>
      <c r="M3322" s="8">
        <f t="shared" si="4"/>
        <v>0.57</v>
      </c>
      <c r="P3322" s="9"/>
    </row>
    <row r="3323">
      <c r="A3323" s="6" t="s">
        <v>7707</v>
      </c>
      <c r="B3323" s="6" t="s">
        <v>7708</v>
      </c>
      <c r="C3323" s="6" t="s">
        <v>183</v>
      </c>
      <c r="D3323" s="6" t="s">
        <v>7709</v>
      </c>
      <c r="E3323" s="6" t="s">
        <v>82</v>
      </c>
      <c r="F3323" s="6" t="s">
        <v>77</v>
      </c>
      <c r="G3323" s="7">
        <v>0.1</v>
      </c>
      <c r="H3323" s="6" t="s">
        <v>7710</v>
      </c>
      <c r="I3323" s="6" t="s">
        <v>20</v>
      </c>
      <c r="J3323" s="6">
        <v>2011.0</v>
      </c>
      <c r="K3323" s="10">
        <v>46116.0</v>
      </c>
      <c r="L3323" s="6">
        <v>1.0</v>
      </c>
      <c r="M3323" s="8">
        <f t="shared" si="4"/>
        <v>0.1</v>
      </c>
      <c r="P3323" s="9"/>
    </row>
    <row r="3324">
      <c r="A3324" s="6" t="s">
        <v>7711</v>
      </c>
      <c r="B3324" s="6" t="s">
        <v>7712</v>
      </c>
      <c r="C3324" s="6" t="s">
        <v>43</v>
      </c>
      <c r="D3324" s="6" t="s">
        <v>7713</v>
      </c>
      <c r="E3324" s="6" t="s">
        <v>39</v>
      </c>
      <c r="F3324" s="6" t="s">
        <v>40</v>
      </c>
      <c r="G3324" s="7">
        <v>0.08</v>
      </c>
      <c r="H3324" s="6" t="s">
        <v>88</v>
      </c>
      <c r="I3324" s="6" t="s">
        <v>20</v>
      </c>
      <c r="J3324" s="6">
        <v>2024.0</v>
      </c>
      <c r="K3324" s="10">
        <v>46084.0</v>
      </c>
      <c r="L3324" s="6">
        <v>1.0</v>
      </c>
      <c r="M3324" s="8">
        <f t="shared" si="4"/>
        <v>0.08</v>
      </c>
      <c r="P3324" s="9"/>
    </row>
    <row r="3325">
      <c r="A3325" s="6" t="s">
        <v>7711</v>
      </c>
      <c r="B3325" s="6" t="s">
        <v>7712</v>
      </c>
      <c r="C3325" s="6" t="s">
        <v>43</v>
      </c>
      <c r="D3325" s="6" t="s">
        <v>7713</v>
      </c>
      <c r="E3325" s="6" t="s">
        <v>39</v>
      </c>
      <c r="F3325" s="6" t="s">
        <v>40</v>
      </c>
      <c r="G3325" s="7">
        <v>0.08</v>
      </c>
      <c r="H3325" s="6" t="s">
        <v>88</v>
      </c>
      <c r="I3325" s="6" t="s">
        <v>20</v>
      </c>
      <c r="J3325" s="6">
        <v>2024.0</v>
      </c>
      <c r="K3325" s="10">
        <v>46084.0</v>
      </c>
      <c r="L3325" s="6">
        <v>1.0</v>
      </c>
      <c r="M3325" s="8">
        <f t="shared" si="4"/>
        <v>0.08</v>
      </c>
      <c r="P3325" s="9"/>
    </row>
    <row r="3326">
      <c r="A3326" s="6" t="s">
        <v>7714</v>
      </c>
      <c r="B3326" s="6" t="s">
        <v>7715</v>
      </c>
      <c r="C3326" s="6" t="s">
        <v>23</v>
      </c>
      <c r="D3326" s="6" t="s">
        <v>7716</v>
      </c>
      <c r="E3326" s="6" t="s">
        <v>1998</v>
      </c>
      <c r="F3326" s="6" t="s">
        <v>77</v>
      </c>
      <c r="G3326" s="7">
        <v>0.09</v>
      </c>
      <c r="H3326" s="6" t="s">
        <v>19</v>
      </c>
      <c r="I3326" s="6" t="s">
        <v>20</v>
      </c>
      <c r="J3326" s="6">
        <v>2023.0</v>
      </c>
      <c r="K3326" s="10">
        <v>46024.0</v>
      </c>
      <c r="L3326" s="6">
        <v>1.0</v>
      </c>
      <c r="M3326" s="8">
        <f t="shared" si="4"/>
        <v>0.09</v>
      </c>
      <c r="P3326" s="9"/>
    </row>
    <row r="3327">
      <c r="A3327" s="6" t="s">
        <v>7717</v>
      </c>
      <c r="B3327" s="6" t="s">
        <v>7718</v>
      </c>
      <c r="C3327" s="6" t="s">
        <v>15</v>
      </c>
      <c r="D3327" s="6" t="s">
        <v>7719</v>
      </c>
      <c r="E3327" s="6" t="s">
        <v>2992</v>
      </c>
      <c r="F3327" s="6" t="s">
        <v>112</v>
      </c>
      <c r="G3327" s="7">
        <v>0.14</v>
      </c>
      <c r="H3327" s="6" t="s">
        <v>153</v>
      </c>
      <c r="I3327" s="6" t="s">
        <v>20</v>
      </c>
      <c r="J3327" s="6">
        <v>2025.0</v>
      </c>
      <c r="K3327" s="10">
        <v>46056.0</v>
      </c>
      <c r="L3327" s="6">
        <v>1.0</v>
      </c>
      <c r="M3327" s="8">
        <f t="shared" si="4"/>
        <v>0.14</v>
      </c>
      <c r="P3327" s="9"/>
    </row>
    <row r="3328">
      <c r="A3328" s="6" t="s">
        <v>7720</v>
      </c>
      <c r="B3328" s="6" t="s">
        <v>138</v>
      </c>
      <c r="C3328" s="6" t="s">
        <v>43</v>
      </c>
      <c r="D3328" s="6" t="s">
        <v>7721</v>
      </c>
      <c r="E3328" s="6" t="s">
        <v>224</v>
      </c>
      <c r="F3328" s="6" t="s">
        <v>18</v>
      </c>
      <c r="G3328" s="7">
        <v>0.05</v>
      </c>
      <c r="H3328" s="6" t="s">
        <v>475</v>
      </c>
      <c r="I3328" s="6" t="s">
        <v>20</v>
      </c>
      <c r="J3328" s="6">
        <v>2024.0</v>
      </c>
      <c r="L3328" s="6">
        <v>1.0</v>
      </c>
      <c r="M3328" s="8">
        <f t="shared" si="4"/>
        <v>0.05</v>
      </c>
      <c r="P3328" s="9"/>
    </row>
    <row r="3329">
      <c r="A3329" s="6" t="s">
        <v>7722</v>
      </c>
      <c r="B3329" s="6" t="s">
        <v>882</v>
      </c>
      <c r="C3329" s="6" t="s">
        <v>43</v>
      </c>
      <c r="D3329" s="6" t="s">
        <v>7723</v>
      </c>
      <c r="E3329" s="6" t="s">
        <v>389</v>
      </c>
      <c r="F3329" s="6" t="s">
        <v>87</v>
      </c>
      <c r="G3329" s="7">
        <v>0.09</v>
      </c>
      <c r="H3329" s="6" t="s">
        <v>206</v>
      </c>
      <c r="I3329" s="6" t="s">
        <v>20</v>
      </c>
      <c r="J3329" s="6">
        <v>1996.0</v>
      </c>
      <c r="K3329" s="10">
        <v>46056.0</v>
      </c>
      <c r="L3329" s="6">
        <v>1.0</v>
      </c>
      <c r="M3329" s="8">
        <f t="shared" si="4"/>
        <v>0.09</v>
      </c>
      <c r="P3329" s="9"/>
    </row>
    <row r="3330">
      <c r="A3330" s="6" t="s">
        <v>7724</v>
      </c>
      <c r="B3330" s="6" t="s">
        <v>494</v>
      </c>
      <c r="C3330" s="6" t="s">
        <v>43</v>
      </c>
      <c r="D3330" s="6" t="s">
        <v>7725</v>
      </c>
      <c r="E3330" s="6" t="s">
        <v>448</v>
      </c>
      <c r="F3330" s="6" t="s">
        <v>112</v>
      </c>
      <c r="G3330" s="7">
        <v>0.06</v>
      </c>
      <c r="H3330" s="6" t="s">
        <v>232</v>
      </c>
      <c r="I3330" s="6" t="s">
        <v>20</v>
      </c>
      <c r="J3330" s="6">
        <v>2010.0</v>
      </c>
      <c r="L3330" s="6">
        <v>1.0</v>
      </c>
      <c r="M3330" s="8">
        <f t="shared" si="4"/>
        <v>0.06</v>
      </c>
      <c r="P3330" s="9"/>
    </row>
    <row r="3331">
      <c r="A3331" s="6" t="s">
        <v>7726</v>
      </c>
      <c r="B3331" s="6" t="s">
        <v>219</v>
      </c>
      <c r="C3331" s="6" t="s">
        <v>37</v>
      </c>
      <c r="D3331" s="6" t="s">
        <v>7727</v>
      </c>
      <c r="E3331" s="6" t="s">
        <v>117</v>
      </c>
      <c r="F3331" s="6" t="s">
        <v>77</v>
      </c>
      <c r="G3331" s="7">
        <v>0.5</v>
      </c>
      <c r="H3331" s="6" t="s">
        <v>787</v>
      </c>
      <c r="I3331" s="6" t="s">
        <v>20</v>
      </c>
      <c r="J3331" s="6">
        <v>2023.0</v>
      </c>
      <c r="L3331" s="6">
        <v>1.0</v>
      </c>
      <c r="M3331" s="8">
        <f t="shared" si="4"/>
        <v>0.5</v>
      </c>
      <c r="P3331" s="9"/>
    </row>
    <row r="3332">
      <c r="A3332" s="6" t="s">
        <v>7728</v>
      </c>
      <c r="B3332" s="6" t="s">
        <v>7729</v>
      </c>
      <c r="C3332" s="6" t="s">
        <v>43</v>
      </c>
      <c r="D3332" s="6" t="s">
        <v>7730</v>
      </c>
      <c r="E3332" s="6" t="s">
        <v>86</v>
      </c>
      <c r="F3332" s="6" t="s">
        <v>87</v>
      </c>
      <c r="G3332" s="7">
        <v>0.06</v>
      </c>
      <c r="H3332" s="6" t="s">
        <v>674</v>
      </c>
      <c r="I3332" s="6" t="s">
        <v>20</v>
      </c>
      <c r="J3332" s="6">
        <v>2021.0</v>
      </c>
      <c r="K3332" s="10">
        <v>46082.0</v>
      </c>
      <c r="L3332" s="6">
        <v>1.0</v>
      </c>
      <c r="M3332" s="8">
        <f t="shared" si="4"/>
        <v>0.06</v>
      </c>
      <c r="P3332" s="9"/>
    </row>
    <row r="3333">
      <c r="A3333" s="6" t="s">
        <v>7731</v>
      </c>
      <c r="B3333" s="6" t="s">
        <v>606</v>
      </c>
      <c r="C3333" s="6" t="s">
        <v>23</v>
      </c>
      <c r="D3333" s="6" t="s">
        <v>7732</v>
      </c>
      <c r="E3333" s="6" t="s">
        <v>1998</v>
      </c>
      <c r="F3333" s="6" t="s">
        <v>77</v>
      </c>
      <c r="G3333" s="7">
        <v>0.1</v>
      </c>
      <c r="H3333" s="6" t="s">
        <v>153</v>
      </c>
      <c r="I3333" s="6" t="s">
        <v>20</v>
      </c>
      <c r="J3333" s="6">
        <v>2025.0</v>
      </c>
      <c r="L3333" s="6">
        <v>10.0</v>
      </c>
      <c r="M3333" s="8">
        <f t="shared" si="4"/>
        <v>1</v>
      </c>
      <c r="P3333" s="9"/>
    </row>
    <row r="3334">
      <c r="A3334" s="6" t="s">
        <v>7731</v>
      </c>
      <c r="B3334" s="6" t="s">
        <v>606</v>
      </c>
      <c r="C3334" s="6" t="s">
        <v>23</v>
      </c>
      <c r="D3334" s="6" t="s">
        <v>7732</v>
      </c>
      <c r="E3334" s="6" t="s">
        <v>1998</v>
      </c>
      <c r="F3334" s="6" t="s">
        <v>77</v>
      </c>
      <c r="G3334" s="7">
        <v>0.3</v>
      </c>
      <c r="H3334" s="6" t="s">
        <v>153</v>
      </c>
      <c r="I3334" s="6" t="s">
        <v>45</v>
      </c>
      <c r="J3334" s="6">
        <v>2025.0</v>
      </c>
      <c r="L3334" s="6">
        <v>1.0</v>
      </c>
      <c r="M3334" s="8">
        <f t="shared" si="4"/>
        <v>0.3</v>
      </c>
      <c r="P3334" s="9"/>
    </row>
    <row r="3335">
      <c r="A3335" s="6" t="s">
        <v>7733</v>
      </c>
      <c r="B3335" s="6" t="s">
        <v>170</v>
      </c>
      <c r="C3335" s="6" t="s">
        <v>156</v>
      </c>
      <c r="D3335" s="6" t="s">
        <v>7734</v>
      </c>
      <c r="E3335" s="6" t="s">
        <v>172</v>
      </c>
      <c r="F3335" s="6" t="s">
        <v>26</v>
      </c>
      <c r="G3335" s="7">
        <v>0.15</v>
      </c>
      <c r="H3335" s="6" t="s">
        <v>153</v>
      </c>
      <c r="I3335" s="6" t="s">
        <v>20</v>
      </c>
      <c r="J3335" s="6">
        <v>2025.0</v>
      </c>
      <c r="L3335" s="6">
        <v>2.0</v>
      </c>
      <c r="M3335" s="8">
        <f t="shared" si="4"/>
        <v>0.3</v>
      </c>
      <c r="P3335" s="9"/>
    </row>
    <row r="3336">
      <c r="A3336" s="6" t="s">
        <v>7735</v>
      </c>
      <c r="B3336" s="6" t="s">
        <v>3638</v>
      </c>
      <c r="C3336" s="6" t="s">
        <v>43</v>
      </c>
      <c r="D3336" s="6" t="s">
        <v>7736</v>
      </c>
      <c r="E3336" s="6" t="s">
        <v>107</v>
      </c>
      <c r="F3336" s="6" t="s">
        <v>18</v>
      </c>
      <c r="G3336" s="7">
        <v>0.1</v>
      </c>
      <c r="H3336" s="6" t="s">
        <v>597</v>
      </c>
      <c r="I3336" s="6" t="s">
        <v>20</v>
      </c>
      <c r="J3336" s="6">
        <v>2024.0</v>
      </c>
      <c r="K3336" s="10">
        <v>46024.0</v>
      </c>
      <c r="L3336" s="6">
        <v>1.0</v>
      </c>
      <c r="M3336" s="8">
        <f t="shared" si="4"/>
        <v>0.1</v>
      </c>
      <c r="P3336" s="9"/>
    </row>
    <row r="3337">
      <c r="A3337" s="6" t="s">
        <v>7737</v>
      </c>
      <c r="B3337" s="6" t="s">
        <v>7738</v>
      </c>
      <c r="C3337" s="6" t="s">
        <v>156</v>
      </c>
      <c r="D3337" s="6" t="s">
        <v>7739</v>
      </c>
      <c r="E3337" s="6" t="s">
        <v>7740</v>
      </c>
      <c r="F3337" s="6" t="s">
        <v>40</v>
      </c>
      <c r="G3337" s="7">
        <v>4.0</v>
      </c>
      <c r="H3337" s="6" t="s">
        <v>153</v>
      </c>
      <c r="I3337" s="6" t="s">
        <v>20</v>
      </c>
      <c r="J3337" s="6">
        <v>2025.0</v>
      </c>
      <c r="K3337" s="10">
        <v>46084.0</v>
      </c>
      <c r="L3337" s="6">
        <v>1.0</v>
      </c>
      <c r="M3337" s="8">
        <f t="shared" si="4"/>
        <v>4</v>
      </c>
      <c r="P3337" s="9"/>
    </row>
    <row r="3338">
      <c r="A3338" s="6" t="s">
        <v>7741</v>
      </c>
      <c r="B3338" s="6" t="s">
        <v>1401</v>
      </c>
      <c r="C3338" s="6" t="s">
        <v>37</v>
      </c>
      <c r="D3338" s="6" t="s">
        <v>7742</v>
      </c>
      <c r="E3338" s="6" t="s">
        <v>86</v>
      </c>
      <c r="F3338" s="6" t="s">
        <v>87</v>
      </c>
      <c r="G3338" s="7">
        <v>0.1</v>
      </c>
      <c r="H3338" s="6" t="s">
        <v>238</v>
      </c>
      <c r="I3338" s="6" t="s">
        <v>20</v>
      </c>
      <c r="J3338" s="6">
        <v>2024.0</v>
      </c>
      <c r="K3338" s="10">
        <v>46055.0</v>
      </c>
      <c r="L3338" s="6">
        <v>2.0</v>
      </c>
      <c r="M3338" s="8">
        <f t="shared" si="4"/>
        <v>0.2</v>
      </c>
      <c r="P3338" s="9"/>
    </row>
    <row r="3339">
      <c r="A3339" s="6" t="s">
        <v>7743</v>
      </c>
      <c r="B3339" s="6" t="s">
        <v>7744</v>
      </c>
      <c r="C3339" s="6" t="s">
        <v>37</v>
      </c>
      <c r="D3339" s="6" t="s">
        <v>7745</v>
      </c>
      <c r="E3339" s="6" t="s">
        <v>708</v>
      </c>
      <c r="F3339" s="6" t="s">
        <v>112</v>
      </c>
      <c r="G3339" s="7">
        <v>0.15</v>
      </c>
      <c r="H3339" s="6" t="s">
        <v>787</v>
      </c>
      <c r="I3339" s="6" t="s">
        <v>20</v>
      </c>
      <c r="J3339" s="6">
        <v>2023.0</v>
      </c>
      <c r="K3339" s="10">
        <v>46116.0</v>
      </c>
      <c r="L3339" s="6">
        <v>2.0</v>
      </c>
      <c r="M3339" s="8">
        <f t="shared" si="4"/>
        <v>0.3</v>
      </c>
      <c r="P3339" s="9"/>
    </row>
    <row r="3340">
      <c r="A3340" s="6" t="s">
        <v>7746</v>
      </c>
      <c r="B3340" s="6" t="s">
        <v>7747</v>
      </c>
      <c r="C3340" s="6" t="s">
        <v>37</v>
      </c>
      <c r="D3340" s="6" t="s">
        <v>7748</v>
      </c>
      <c r="E3340" s="6" t="s">
        <v>448</v>
      </c>
      <c r="F3340" s="6" t="s">
        <v>112</v>
      </c>
      <c r="G3340" s="7">
        <v>0.14</v>
      </c>
      <c r="H3340" s="6" t="s">
        <v>136</v>
      </c>
      <c r="I3340" s="6" t="s">
        <v>20</v>
      </c>
      <c r="J3340" s="6">
        <v>2026.0</v>
      </c>
      <c r="K3340" s="10">
        <v>46147.0</v>
      </c>
      <c r="L3340" s="6">
        <v>1.0</v>
      </c>
      <c r="M3340" s="8">
        <f t="shared" si="4"/>
        <v>0.14</v>
      </c>
      <c r="P3340" s="9"/>
    </row>
    <row r="3341">
      <c r="A3341" s="6" t="s">
        <v>7749</v>
      </c>
      <c r="B3341" s="6" t="s">
        <v>494</v>
      </c>
      <c r="C3341" s="6" t="s">
        <v>43</v>
      </c>
      <c r="D3341" s="6" t="s">
        <v>7750</v>
      </c>
      <c r="E3341" s="6" t="s">
        <v>329</v>
      </c>
      <c r="F3341" s="6" t="s">
        <v>112</v>
      </c>
      <c r="G3341" s="7">
        <v>0.08</v>
      </c>
      <c r="H3341" s="6" t="s">
        <v>1392</v>
      </c>
      <c r="I3341" s="6" t="s">
        <v>20</v>
      </c>
      <c r="J3341" s="6">
        <v>2014.0</v>
      </c>
      <c r="L3341" s="6">
        <v>1.0</v>
      </c>
      <c r="M3341" s="8">
        <f t="shared" si="4"/>
        <v>0.08</v>
      </c>
      <c r="P3341" s="9"/>
    </row>
    <row r="3342">
      <c r="A3342" s="6" t="s">
        <v>7751</v>
      </c>
      <c r="B3342" s="6" t="s">
        <v>5156</v>
      </c>
      <c r="C3342" s="6" t="s">
        <v>37</v>
      </c>
      <c r="D3342" s="6" t="s">
        <v>7752</v>
      </c>
      <c r="E3342" s="6" t="s">
        <v>1702</v>
      </c>
      <c r="F3342" s="6" t="s">
        <v>112</v>
      </c>
      <c r="G3342" s="7">
        <v>0.68</v>
      </c>
      <c r="H3342" s="6" t="s">
        <v>113</v>
      </c>
      <c r="I3342" s="6" t="s">
        <v>20</v>
      </c>
      <c r="J3342" s="6">
        <v>2023.0</v>
      </c>
      <c r="K3342" s="10">
        <v>46207.0</v>
      </c>
      <c r="L3342" s="6">
        <v>1.0</v>
      </c>
      <c r="M3342" s="8">
        <f t="shared" si="4"/>
        <v>0.68</v>
      </c>
      <c r="P3342" s="9"/>
    </row>
    <row r="3343">
      <c r="A3343" s="6" t="s">
        <v>7753</v>
      </c>
      <c r="B3343" s="6" t="s">
        <v>138</v>
      </c>
      <c r="C3343" s="6" t="s">
        <v>37</v>
      </c>
      <c r="D3343" s="6" t="s">
        <v>7754</v>
      </c>
      <c r="E3343" s="6" t="s">
        <v>140</v>
      </c>
      <c r="F3343" s="6" t="s">
        <v>87</v>
      </c>
      <c r="G3343" s="7">
        <v>0.18</v>
      </c>
      <c r="H3343" s="6" t="s">
        <v>187</v>
      </c>
      <c r="I3343" s="6" t="s">
        <v>20</v>
      </c>
      <c r="J3343" s="6">
        <v>1995.0</v>
      </c>
      <c r="L3343" s="6">
        <v>1.0</v>
      </c>
      <c r="M3343" s="8">
        <f t="shared" si="4"/>
        <v>0.18</v>
      </c>
      <c r="P3343" s="9"/>
    </row>
    <row r="3344">
      <c r="A3344" s="6" t="s">
        <v>7755</v>
      </c>
      <c r="B3344" s="6" t="s">
        <v>6459</v>
      </c>
      <c r="C3344" s="6" t="s">
        <v>37</v>
      </c>
      <c r="D3344" s="6" t="s">
        <v>7756</v>
      </c>
      <c r="E3344" s="6" t="s">
        <v>125</v>
      </c>
      <c r="F3344" s="6" t="s">
        <v>40</v>
      </c>
      <c r="G3344" s="7">
        <v>0.15</v>
      </c>
      <c r="H3344" s="6" t="s">
        <v>475</v>
      </c>
      <c r="I3344" s="6" t="s">
        <v>20</v>
      </c>
      <c r="J3344" s="6">
        <v>2024.0</v>
      </c>
      <c r="K3344" s="10">
        <v>46024.0</v>
      </c>
      <c r="L3344" s="6">
        <v>1.0</v>
      </c>
      <c r="M3344" s="8">
        <f t="shared" si="4"/>
        <v>0.15</v>
      </c>
      <c r="P3344" s="9"/>
    </row>
    <row r="3345">
      <c r="A3345" s="6" t="s">
        <v>7757</v>
      </c>
      <c r="B3345" s="6" t="s">
        <v>192</v>
      </c>
      <c r="C3345" s="6" t="s">
        <v>309</v>
      </c>
      <c r="D3345" s="6" t="s">
        <v>7758</v>
      </c>
      <c r="E3345" s="6" t="s">
        <v>994</v>
      </c>
      <c r="F3345" s="6" t="s">
        <v>26</v>
      </c>
      <c r="G3345" s="7">
        <v>0.48</v>
      </c>
      <c r="H3345" s="6" t="s">
        <v>94</v>
      </c>
      <c r="I3345" s="6" t="s">
        <v>20</v>
      </c>
      <c r="J3345" s="6">
        <v>1996.0</v>
      </c>
      <c r="L3345" s="6">
        <v>1.0</v>
      </c>
      <c r="M3345" s="8">
        <f t="shared" si="4"/>
        <v>0.48</v>
      </c>
      <c r="P3345" s="9"/>
    </row>
    <row r="3346">
      <c r="A3346" s="6" t="s">
        <v>7757</v>
      </c>
      <c r="B3346" s="6" t="s">
        <v>192</v>
      </c>
      <c r="C3346" s="6" t="s">
        <v>309</v>
      </c>
      <c r="D3346" s="6" t="s">
        <v>7759</v>
      </c>
      <c r="E3346" s="6" t="s">
        <v>185</v>
      </c>
      <c r="F3346" s="6" t="s">
        <v>26</v>
      </c>
      <c r="G3346" s="7">
        <v>0.09</v>
      </c>
      <c r="H3346" s="6" t="s">
        <v>7760</v>
      </c>
      <c r="I3346" s="6" t="s">
        <v>20</v>
      </c>
      <c r="J3346" s="6">
        <v>2000.0</v>
      </c>
      <c r="L3346" s="6">
        <v>1.0</v>
      </c>
      <c r="M3346" s="8">
        <f t="shared" si="4"/>
        <v>0.09</v>
      </c>
      <c r="P3346" s="9"/>
    </row>
    <row r="3347">
      <c r="A3347" s="6" t="s">
        <v>7761</v>
      </c>
      <c r="B3347" s="6" t="s">
        <v>7762</v>
      </c>
      <c r="C3347" s="6" t="s">
        <v>43</v>
      </c>
      <c r="D3347" s="6" t="s">
        <v>7763</v>
      </c>
      <c r="E3347" s="6" t="s">
        <v>140</v>
      </c>
      <c r="F3347" s="6" t="s">
        <v>87</v>
      </c>
      <c r="G3347" s="7">
        <v>0.04</v>
      </c>
      <c r="H3347" s="6" t="s">
        <v>99</v>
      </c>
      <c r="I3347" s="6" t="s">
        <v>20</v>
      </c>
      <c r="J3347" s="6">
        <v>2022.0</v>
      </c>
      <c r="K3347" s="10">
        <v>46023.0</v>
      </c>
      <c r="L3347" s="6">
        <v>1.0</v>
      </c>
      <c r="M3347" s="8">
        <f t="shared" si="4"/>
        <v>0.04</v>
      </c>
      <c r="P3347" s="9"/>
    </row>
    <row r="3348">
      <c r="A3348" s="6" t="s">
        <v>7764</v>
      </c>
      <c r="B3348" s="6" t="s">
        <v>7765</v>
      </c>
      <c r="C3348" s="6" t="s">
        <v>43</v>
      </c>
      <c r="D3348" s="6" t="s">
        <v>7766</v>
      </c>
      <c r="E3348" s="6" t="s">
        <v>757</v>
      </c>
      <c r="F3348" s="6" t="s">
        <v>87</v>
      </c>
      <c r="G3348" s="7">
        <v>0.09</v>
      </c>
      <c r="H3348" s="6" t="s">
        <v>1161</v>
      </c>
      <c r="I3348" s="6" t="s">
        <v>20</v>
      </c>
      <c r="J3348" s="6">
        <v>2005.0</v>
      </c>
      <c r="K3348" s="10">
        <v>46084.0</v>
      </c>
      <c r="L3348" s="6">
        <v>1.0</v>
      </c>
      <c r="M3348" s="8">
        <f t="shared" si="4"/>
        <v>0.09</v>
      </c>
      <c r="P3348" s="9"/>
    </row>
    <row r="3349">
      <c r="A3349" s="6" t="s">
        <v>7767</v>
      </c>
      <c r="B3349" s="6" t="s">
        <v>1731</v>
      </c>
      <c r="C3349" s="6" t="s">
        <v>23</v>
      </c>
      <c r="D3349" s="6" t="s">
        <v>7768</v>
      </c>
      <c r="E3349" s="6" t="s">
        <v>5137</v>
      </c>
      <c r="F3349" s="6" t="s">
        <v>26</v>
      </c>
      <c r="G3349" s="7">
        <v>1.86</v>
      </c>
      <c r="H3349" s="6" t="s">
        <v>7769</v>
      </c>
      <c r="I3349" s="6" t="s">
        <v>45</v>
      </c>
      <c r="J3349" s="6">
        <v>2026.0</v>
      </c>
      <c r="L3349" s="6">
        <v>2.0</v>
      </c>
      <c r="M3349" s="8">
        <f t="shared" si="4"/>
        <v>3.72</v>
      </c>
      <c r="P3349" s="9"/>
    </row>
    <row r="3350">
      <c r="A3350" s="6" t="s">
        <v>7770</v>
      </c>
      <c r="B3350" s="6" t="s">
        <v>7771</v>
      </c>
      <c r="C3350" s="6" t="s">
        <v>43</v>
      </c>
      <c r="D3350" s="6" t="s">
        <v>7772</v>
      </c>
      <c r="E3350" s="6" t="s">
        <v>256</v>
      </c>
      <c r="F3350" s="6" t="s">
        <v>87</v>
      </c>
      <c r="G3350" s="7">
        <v>0.05</v>
      </c>
      <c r="H3350" s="6" t="s">
        <v>475</v>
      </c>
      <c r="I3350" s="6" t="s">
        <v>20</v>
      </c>
      <c r="J3350" s="6">
        <v>2024.0</v>
      </c>
      <c r="K3350" s="10">
        <v>46083.0</v>
      </c>
      <c r="L3350" s="6">
        <v>1.0</v>
      </c>
      <c r="M3350" s="8">
        <f t="shared" si="4"/>
        <v>0.05</v>
      </c>
      <c r="P3350" s="9"/>
    </row>
    <row r="3351">
      <c r="A3351" s="6" t="s">
        <v>7773</v>
      </c>
      <c r="B3351" s="6" t="s">
        <v>138</v>
      </c>
      <c r="C3351" s="6" t="s">
        <v>377</v>
      </c>
      <c r="D3351" s="6" t="s">
        <v>7774</v>
      </c>
      <c r="E3351" s="6" t="s">
        <v>822</v>
      </c>
      <c r="F3351" s="6" t="s">
        <v>2232</v>
      </c>
      <c r="G3351" s="7">
        <v>0.47</v>
      </c>
      <c r="H3351" s="6" t="s">
        <v>7775</v>
      </c>
      <c r="I3351" s="6" t="s">
        <v>20</v>
      </c>
      <c r="J3351" s="6">
        <v>2016.0</v>
      </c>
      <c r="L3351" s="6">
        <v>2.0</v>
      </c>
      <c r="M3351" s="8">
        <f t="shared" si="4"/>
        <v>0.94</v>
      </c>
      <c r="P3351" s="9"/>
    </row>
    <row r="3352">
      <c r="A3352" s="6" t="s">
        <v>7776</v>
      </c>
      <c r="B3352" s="6" t="s">
        <v>7777</v>
      </c>
      <c r="C3352" s="6" t="s">
        <v>204</v>
      </c>
      <c r="D3352" s="6" t="s">
        <v>7778</v>
      </c>
      <c r="E3352" s="6" t="s">
        <v>117</v>
      </c>
      <c r="F3352" s="6" t="s">
        <v>77</v>
      </c>
      <c r="G3352" s="7">
        <v>0.15</v>
      </c>
      <c r="H3352" s="6" t="s">
        <v>506</v>
      </c>
      <c r="I3352" s="6" t="s">
        <v>20</v>
      </c>
      <c r="J3352" s="6">
        <v>2016.0</v>
      </c>
      <c r="K3352" s="10">
        <v>46023.0</v>
      </c>
      <c r="L3352" s="6">
        <v>4.0</v>
      </c>
      <c r="M3352" s="8">
        <f t="shared" si="4"/>
        <v>0.6</v>
      </c>
      <c r="P3352" s="9"/>
    </row>
    <row r="3353">
      <c r="A3353" s="6" t="s">
        <v>7779</v>
      </c>
      <c r="B3353" s="6" t="s">
        <v>4706</v>
      </c>
      <c r="C3353" s="6" t="s">
        <v>37</v>
      </c>
      <c r="D3353" s="6" t="s">
        <v>7780</v>
      </c>
      <c r="E3353" s="6" t="s">
        <v>1939</v>
      </c>
      <c r="F3353" s="6" t="s">
        <v>977</v>
      </c>
      <c r="G3353" s="7">
        <v>0.09</v>
      </c>
      <c r="H3353" s="6" t="s">
        <v>89</v>
      </c>
      <c r="I3353" s="6" t="s">
        <v>20</v>
      </c>
      <c r="J3353" s="6">
        <v>2021.0</v>
      </c>
      <c r="K3353" s="10">
        <v>46083.0</v>
      </c>
      <c r="L3353" s="6">
        <v>1.0</v>
      </c>
      <c r="M3353" s="8">
        <f t="shared" si="4"/>
        <v>0.09</v>
      </c>
      <c r="P3353" s="9"/>
    </row>
    <row r="3354">
      <c r="A3354" s="6" t="s">
        <v>7781</v>
      </c>
      <c r="B3354" s="6" t="s">
        <v>138</v>
      </c>
      <c r="C3354" s="6" t="s">
        <v>377</v>
      </c>
      <c r="D3354" s="6" t="s">
        <v>7782</v>
      </c>
      <c r="E3354" s="6" t="s">
        <v>117</v>
      </c>
      <c r="F3354" s="6" t="s">
        <v>2232</v>
      </c>
      <c r="G3354" s="7">
        <v>4.0</v>
      </c>
      <c r="H3354" s="6" t="s">
        <v>266</v>
      </c>
      <c r="I3354" s="6" t="s">
        <v>45</v>
      </c>
      <c r="J3354" s="6">
        <v>2025.0</v>
      </c>
      <c r="L3354" s="6">
        <v>1.0</v>
      </c>
      <c r="M3354" s="8">
        <f t="shared" si="4"/>
        <v>4</v>
      </c>
      <c r="P3354" s="9"/>
    </row>
    <row r="3355">
      <c r="A3355" s="6" t="s">
        <v>7783</v>
      </c>
      <c r="B3355" s="6" t="s">
        <v>7784</v>
      </c>
      <c r="C3355" s="6" t="s">
        <v>43</v>
      </c>
      <c r="D3355" s="6" t="s">
        <v>7785</v>
      </c>
      <c r="E3355" s="6" t="s">
        <v>329</v>
      </c>
      <c r="F3355" s="6" t="s">
        <v>112</v>
      </c>
      <c r="G3355" s="7">
        <v>0.08</v>
      </c>
      <c r="H3355" s="7" t="s">
        <v>687</v>
      </c>
      <c r="I3355" s="6" t="s">
        <v>20</v>
      </c>
      <c r="J3355" s="6">
        <v>2011.0</v>
      </c>
      <c r="K3355" s="10">
        <v>46083.0</v>
      </c>
      <c r="L3355" s="6">
        <v>1.0</v>
      </c>
      <c r="M3355" s="8">
        <f t="shared" si="4"/>
        <v>0.08</v>
      </c>
      <c r="P3355" s="9"/>
    </row>
    <row r="3356">
      <c r="A3356" s="6" t="s">
        <v>7786</v>
      </c>
      <c r="B3356" s="6" t="s">
        <v>7787</v>
      </c>
      <c r="C3356" s="6" t="s">
        <v>43</v>
      </c>
      <c r="D3356" s="6" t="s">
        <v>7788</v>
      </c>
      <c r="E3356" s="6" t="s">
        <v>329</v>
      </c>
      <c r="F3356" s="6" t="s">
        <v>112</v>
      </c>
      <c r="G3356" s="7">
        <v>0.08</v>
      </c>
      <c r="H3356" s="6" t="s">
        <v>687</v>
      </c>
      <c r="I3356" s="6" t="s">
        <v>20</v>
      </c>
      <c r="J3356" s="6">
        <v>2011.0</v>
      </c>
      <c r="K3356" s="10">
        <v>46083.0</v>
      </c>
      <c r="L3356" s="6">
        <v>1.0</v>
      </c>
      <c r="M3356" s="8">
        <f t="shared" si="4"/>
        <v>0.08</v>
      </c>
      <c r="P3356" s="9"/>
    </row>
    <row r="3357">
      <c r="A3357" s="6" t="s">
        <v>7789</v>
      </c>
      <c r="B3357" s="6" t="s">
        <v>7790</v>
      </c>
      <c r="C3357" s="6" t="s">
        <v>156</v>
      </c>
      <c r="D3357" s="6" t="s">
        <v>7791</v>
      </c>
      <c r="E3357" s="6" t="s">
        <v>6731</v>
      </c>
      <c r="F3357" s="6" t="s">
        <v>77</v>
      </c>
      <c r="G3357" s="7">
        <v>8.39</v>
      </c>
      <c r="H3357" s="6" t="s">
        <v>153</v>
      </c>
      <c r="I3357" s="6" t="s">
        <v>20</v>
      </c>
      <c r="J3357" s="6">
        <v>2025.0</v>
      </c>
      <c r="K3357" s="10">
        <v>46055.0</v>
      </c>
      <c r="L3357" s="6">
        <v>1.0</v>
      </c>
      <c r="M3357" s="8">
        <f t="shared" si="4"/>
        <v>8.39</v>
      </c>
      <c r="P3357" s="9"/>
    </row>
    <row r="3358">
      <c r="A3358" s="6" t="s">
        <v>7792</v>
      </c>
      <c r="B3358" s="6" t="s">
        <v>606</v>
      </c>
      <c r="C3358" s="6" t="s">
        <v>23</v>
      </c>
      <c r="D3358" s="6" t="s">
        <v>7793</v>
      </c>
      <c r="E3358" s="6" t="s">
        <v>1998</v>
      </c>
      <c r="F3358" s="6" t="s">
        <v>77</v>
      </c>
      <c r="G3358" s="7">
        <v>0.15</v>
      </c>
      <c r="H3358" s="6" t="s">
        <v>153</v>
      </c>
      <c r="I3358" s="6" t="s">
        <v>20</v>
      </c>
      <c r="J3358" s="6">
        <v>2025.0</v>
      </c>
      <c r="L3358" s="6">
        <v>15.0</v>
      </c>
      <c r="M3358" s="8">
        <f t="shared" si="4"/>
        <v>2.25</v>
      </c>
      <c r="P3358" s="9"/>
    </row>
    <row r="3359">
      <c r="A3359" s="6" t="s">
        <v>7794</v>
      </c>
      <c r="B3359" s="6" t="s">
        <v>7795</v>
      </c>
      <c r="C3359" s="6" t="s">
        <v>15</v>
      </c>
      <c r="D3359" s="6" t="s">
        <v>7796</v>
      </c>
      <c r="E3359" s="6" t="s">
        <v>1550</v>
      </c>
      <c r="F3359" s="6" t="s">
        <v>77</v>
      </c>
      <c r="G3359" s="7">
        <v>0.25</v>
      </c>
      <c r="H3359" s="6" t="s">
        <v>369</v>
      </c>
      <c r="I3359" s="6" t="s">
        <v>20</v>
      </c>
      <c r="J3359" s="6">
        <v>2019.0</v>
      </c>
      <c r="K3359" s="10">
        <v>46083.0</v>
      </c>
      <c r="L3359" s="6">
        <v>1.0</v>
      </c>
      <c r="M3359" s="8">
        <f t="shared" si="4"/>
        <v>0.25</v>
      </c>
      <c r="P3359" s="9"/>
    </row>
    <row r="3360">
      <c r="A3360" s="6" t="s">
        <v>7797</v>
      </c>
      <c r="B3360" s="6" t="s">
        <v>545</v>
      </c>
      <c r="C3360" s="6" t="s">
        <v>43</v>
      </c>
      <c r="D3360" s="6" t="s">
        <v>7798</v>
      </c>
      <c r="E3360" s="6" t="s">
        <v>1498</v>
      </c>
      <c r="F3360" s="6" t="s">
        <v>1118</v>
      </c>
      <c r="G3360" s="7">
        <v>0.05</v>
      </c>
      <c r="H3360" s="6" t="s">
        <v>34</v>
      </c>
      <c r="I3360" s="6" t="s">
        <v>20</v>
      </c>
      <c r="J3360" s="6">
        <v>2025.0</v>
      </c>
      <c r="K3360" s="10">
        <v>46083.0</v>
      </c>
      <c r="L3360" s="6">
        <v>5.0</v>
      </c>
      <c r="M3360" s="8">
        <f t="shared" si="4"/>
        <v>0.25</v>
      </c>
      <c r="P3360" s="9"/>
    </row>
    <row r="3361">
      <c r="A3361" s="6" t="s">
        <v>7799</v>
      </c>
      <c r="B3361" s="6" t="s">
        <v>7800</v>
      </c>
      <c r="C3361" s="6" t="s">
        <v>418</v>
      </c>
      <c r="D3361" s="6" t="s">
        <v>7801</v>
      </c>
      <c r="E3361" s="6" t="s">
        <v>158</v>
      </c>
      <c r="F3361" s="6" t="s">
        <v>5722</v>
      </c>
      <c r="G3361" s="7">
        <v>0.24</v>
      </c>
      <c r="H3361" s="6" t="s">
        <v>746</v>
      </c>
      <c r="I3361" s="6" t="s">
        <v>20</v>
      </c>
      <c r="J3361" s="6">
        <v>2024.0</v>
      </c>
      <c r="K3361" s="10">
        <v>46056.0</v>
      </c>
      <c r="L3361" s="6">
        <v>1.0</v>
      </c>
      <c r="M3361" s="8">
        <f t="shared" si="4"/>
        <v>0.24</v>
      </c>
      <c r="P3361" s="9"/>
    </row>
    <row r="3362">
      <c r="A3362" s="6" t="s">
        <v>7802</v>
      </c>
      <c r="B3362" s="6" t="s">
        <v>396</v>
      </c>
      <c r="C3362" s="6" t="s">
        <v>43</v>
      </c>
      <c r="D3362" s="6" t="s">
        <v>7803</v>
      </c>
      <c r="E3362" s="6" t="s">
        <v>215</v>
      </c>
      <c r="F3362" s="6" t="s">
        <v>26</v>
      </c>
      <c r="G3362" s="7">
        <v>1.79</v>
      </c>
      <c r="H3362" s="6" t="s">
        <v>217</v>
      </c>
      <c r="I3362" s="6" t="s">
        <v>20</v>
      </c>
      <c r="J3362" s="6">
        <v>2003.0</v>
      </c>
      <c r="L3362" s="6">
        <v>1.0</v>
      </c>
      <c r="M3362" s="8">
        <f t="shared" si="4"/>
        <v>1.79</v>
      </c>
      <c r="N3362" s="6" t="s">
        <v>122</v>
      </c>
      <c r="P3362" s="9"/>
    </row>
    <row r="3363">
      <c r="A3363" s="6" t="s">
        <v>7804</v>
      </c>
      <c r="B3363" s="6" t="s">
        <v>146</v>
      </c>
      <c r="C3363" s="6" t="s">
        <v>37</v>
      </c>
      <c r="D3363" s="6" t="s">
        <v>7805</v>
      </c>
      <c r="E3363" s="6" t="s">
        <v>2647</v>
      </c>
      <c r="F3363" s="6" t="s">
        <v>112</v>
      </c>
      <c r="G3363" s="7">
        <v>3.8</v>
      </c>
      <c r="H3363" s="6" t="s">
        <v>3124</v>
      </c>
      <c r="I3363" s="6" t="s">
        <v>20</v>
      </c>
      <c r="J3363" s="6">
        <v>2010.0</v>
      </c>
      <c r="L3363" s="6">
        <v>1.0</v>
      </c>
      <c r="M3363" s="8">
        <f t="shared" si="4"/>
        <v>3.8</v>
      </c>
      <c r="P3363" s="9"/>
    </row>
    <row r="3364">
      <c r="A3364" s="6" t="s">
        <v>7806</v>
      </c>
      <c r="B3364" s="6" t="s">
        <v>7807</v>
      </c>
      <c r="C3364" s="6" t="s">
        <v>7808</v>
      </c>
      <c r="D3364" s="6" t="s">
        <v>7809</v>
      </c>
      <c r="E3364" s="6" t="s">
        <v>179</v>
      </c>
      <c r="F3364" s="6" t="s">
        <v>112</v>
      </c>
      <c r="G3364" s="7">
        <v>0.5</v>
      </c>
      <c r="H3364" s="6" t="s">
        <v>7810</v>
      </c>
      <c r="I3364" s="6" t="s">
        <v>45</v>
      </c>
      <c r="J3364" s="6">
        <v>2026.0</v>
      </c>
      <c r="K3364" s="10">
        <v>46023.0</v>
      </c>
      <c r="L3364" s="6">
        <v>1.0</v>
      </c>
      <c r="M3364" s="8">
        <f t="shared" si="4"/>
        <v>0.5</v>
      </c>
      <c r="P3364" s="9"/>
    </row>
    <row r="3365">
      <c r="A3365" s="6" t="s">
        <v>7811</v>
      </c>
      <c r="B3365" s="6" t="s">
        <v>115</v>
      </c>
      <c r="C3365" s="6" t="s">
        <v>23</v>
      </c>
      <c r="D3365" s="6" t="s">
        <v>7812</v>
      </c>
      <c r="E3365" s="6" t="s">
        <v>179</v>
      </c>
      <c r="F3365" s="6" t="s">
        <v>112</v>
      </c>
      <c r="G3365" s="7">
        <v>1.7</v>
      </c>
      <c r="H3365" s="6" t="s">
        <v>19</v>
      </c>
      <c r="I3365" s="6" t="s">
        <v>45</v>
      </c>
      <c r="J3365" s="6">
        <v>2023.0</v>
      </c>
      <c r="L3365" s="6">
        <v>4.0</v>
      </c>
      <c r="M3365" s="8">
        <f t="shared" si="4"/>
        <v>6.8</v>
      </c>
      <c r="P3365" s="9"/>
    </row>
    <row r="3366">
      <c r="A3366" s="6" t="s">
        <v>7813</v>
      </c>
      <c r="B3366" s="6" t="s">
        <v>462</v>
      </c>
      <c r="C3366" s="6" t="s">
        <v>43</v>
      </c>
      <c r="D3366" s="6" t="s">
        <v>7814</v>
      </c>
      <c r="E3366" s="6" t="s">
        <v>7815</v>
      </c>
      <c r="F3366" s="6" t="s">
        <v>50</v>
      </c>
      <c r="G3366" s="7">
        <v>0.1</v>
      </c>
      <c r="H3366" s="6" t="s">
        <v>72</v>
      </c>
      <c r="I3366" s="6" t="s">
        <v>20</v>
      </c>
      <c r="J3366" s="6">
        <v>2026.0</v>
      </c>
      <c r="L3366" s="6">
        <v>1.0</v>
      </c>
      <c r="M3366" s="8">
        <f t="shared" si="4"/>
        <v>0.1</v>
      </c>
      <c r="P3366" s="9"/>
    </row>
    <row r="3367">
      <c r="A3367" s="6" t="s">
        <v>7816</v>
      </c>
      <c r="B3367" s="6" t="s">
        <v>606</v>
      </c>
      <c r="C3367" s="6" t="s">
        <v>23</v>
      </c>
      <c r="D3367" s="6" t="s">
        <v>7817</v>
      </c>
      <c r="E3367" s="6" t="s">
        <v>263</v>
      </c>
      <c r="F3367" s="6" t="s">
        <v>77</v>
      </c>
      <c r="G3367" s="7">
        <v>0.24</v>
      </c>
      <c r="H3367" s="6" t="s">
        <v>27</v>
      </c>
      <c r="I3367" s="6" t="s">
        <v>20</v>
      </c>
      <c r="J3367" s="6">
        <v>2026.0</v>
      </c>
      <c r="L3367" s="6">
        <v>2.0</v>
      </c>
      <c r="M3367" s="8">
        <f t="shared" si="4"/>
        <v>0.48</v>
      </c>
      <c r="P3367" s="9"/>
    </row>
    <row r="3368">
      <c r="A3368" s="6" t="s">
        <v>7818</v>
      </c>
      <c r="B3368" s="6" t="s">
        <v>5057</v>
      </c>
      <c r="C3368" s="6" t="s">
        <v>43</v>
      </c>
      <c r="D3368" s="6" t="s">
        <v>7819</v>
      </c>
      <c r="E3368" s="6" t="s">
        <v>248</v>
      </c>
      <c r="F3368" s="6" t="s">
        <v>77</v>
      </c>
      <c r="G3368" s="7">
        <v>0.25</v>
      </c>
      <c r="H3368" s="6" t="s">
        <v>582</v>
      </c>
      <c r="I3368" s="6" t="s">
        <v>45</v>
      </c>
      <c r="J3368" s="6">
        <v>2023.0</v>
      </c>
      <c r="K3368" s="10">
        <v>46084.0</v>
      </c>
      <c r="L3368" s="6">
        <v>1.0</v>
      </c>
      <c r="M3368" s="8">
        <f t="shared" si="4"/>
        <v>0.25</v>
      </c>
      <c r="P3368" s="9"/>
    </row>
    <row r="3369">
      <c r="A3369" s="6" t="s">
        <v>7820</v>
      </c>
      <c r="B3369" s="6" t="s">
        <v>213</v>
      </c>
      <c r="C3369" s="6" t="s">
        <v>156</v>
      </c>
      <c r="D3369" s="6" t="s">
        <v>7821</v>
      </c>
      <c r="E3369" s="6" t="s">
        <v>25</v>
      </c>
      <c r="F3369" s="6" t="s">
        <v>26</v>
      </c>
      <c r="G3369" s="7">
        <v>0.23</v>
      </c>
      <c r="H3369" s="6" t="s">
        <v>431</v>
      </c>
      <c r="I3369" s="6" t="s">
        <v>20</v>
      </c>
      <c r="J3369" s="6">
        <v>2019.0</v>
      </c>
      <c r="L3369" s="6">
        <v>1.0</v>
      </c>
      <c r="M3369" s="8">
        <f t="shared" si="4"/>
        <v>0.23</v>
      </c>
      <c r="P3369" s="9"/>
    </row>
    <row r="3370">
      <c r="A3370" s="6" t="s">
        <v>7822</v>
      </c>
      <c r="B3370" s="6" t="s">
        <v>7823</v>
      </c>
      <c r="C3370" s="6" t="s">
        <v>15</v>
      </c>
      <c r="D3370" s="6" t="s">
        <v>7824</v>
      </c>
      <c r="E3370" s="6" t="s">
        <v>185</v>
      </c>
      <c r="F3370" s="6" t="s">
        <v>26</v>
      </c>
      <c r="G3370" s="7">
        <v>0.44</v>
      </c>
      <c r="H3370" s="6" t="s">
        <v>27</v>
      </c>
      <c r="I3370" s="6" t="s">
        <v>20</v>
      </c>
      <c r="J3370" s="6">
        <v>2026.0</v>
      </c>
      <c r="K3370" s="10">
        <v>46055.0</v>
      </c>
      <c r="L3370" s="6">
        <v>1.0</v>
      </c>
      <c r="M3370" s="8">
        <f t="shared" si="4"/>
        <v>0.44</v>
      </c>
      <c r="P3370" s="9"/>
    </row>
    <row r="3371">
      <c r="A3371" s="6" t="s">
        <v>7825</v>
      </c>
      <c r="B3371" s="6" t="s">
        <v>7826</v>
      </c>
      <c r="C3371" s="6" t="s">
        <v>43</v>
      </c>
      <c r="D3371" s="6" t="s">
        <v>7827</v>
      </c>
      <c r="E3371" s="6" t="s">
        <v>329</v>
      </c>
      <c r="F3371" s="6" t="s">
        <v>112</v>
      </c>
      <c r="G3371" s="7">
        <v>0.06</v>
      </c>
      <c r="H3371" s="6" t="s">
        <v>290</v>
      </c>
      <c r="I3371" s="6" t="s">
        <v>20</v>
      </c>
      <c r="J3371" s="6">
        <v>2019.0</v>
      </c>
      <c r="K3371" s="10">
        <v>46083.0</v>
      </c>
      <c r="L3371" s="6">
        <v>4.0</v>
      </c>
      <c r="M3371" s="8">
        <f t="shared" si="4"/>
        <v>0.24</v>
      </c>
      <c r="P3371" s="9"/>
    </row>
    <row r="3372">
      <c r="A3372" s="6" t="s">
        <v>7828</v>
      </c>
      <c r="B3372" s="6" t="s">
        <v>685</v>
      </c>
      <c r="C3372" s="6" t="s">
        <v>43</v>
      </c>
      <c r="D3372" s="6" t="s">
        <v>7829</v>
      </c>
      <c r="E3372" s="6" t="s">
        <v>98</v>
      </c>
      <c r="F3372" s="6" t="s">
        <v>18</v>
      </c>
      <c r="G3372" s="7">
        <v>0.19</v>
      </c>
      <c r="H3372" s="6" t="s">
        <v>113</v>
      </c>
      <c r="I3372" s="6" t="s">
        <v>20</v>
      </c>
      <c r="J3372" s="6">
        <v>2023.0</v>
      </c>
      <c r="K3372" s="10">
        <v>46082.0</v>
      </c>
      <c r="L3372" s="6">
        <v>1.0</v>
      </c>
      <c r="M3372" s="8">
        <f t="shared" si="4"/>
        <v>0.19</v>
      </c>
      <c r="P3372" s="9"/>
    </row>
    <row r="3373">
      <c r="A3373" s="6" t="s">
        <v>7830</v>
      </c>
      <c r="B3373" s="6" t="s">
        <v>331</v>
      </c>
      <c r="C3373" s="6" t="s">
        <v>43</v>
      </c>
      <c r="D3373" s="6" t="s">
        <v>6918</v>
      </c>
      <c r="E3373" s="6" t="s">
        <v>3021</v>
      </c>
      <c r="F3373" s="6" t="s">
        <v>71</v>
      </c>
      <c r="G3373" s="7">
        <v>0.05</v>
      </c>
      <c r="H3373" s="6" t="s">
        <v>431</v>
      </c>
      <c r="I3373" s="6" t="s">
        <v>20</v>
      </c>
      <c r="J3373" s="6">
        <v>2019.0</v>
      </c>
      <c r="K3373" s="10">
        <v>46025.0</v>
      </c>
      <c r="L3373" s="6">
        <v>2.0</v>
      </c>
      <c r="M3373" s="8">
        <f t="shared" si="4"/>
        <v>0.1</v>
      </c>
      <c r="P3373" s="9"/>
    </row>
    <row r="3374">
      <c r="A3374" s="6" t="s">
        <v>7831</v>
      </c>
      <c r="B3374" s="6" t="s">
        <v>1803</v>
      </c>
      <c r="C3374" s="6" t="s">
        <v>43</v>
      </c>
      <c r="D3374" s="6" t="s">
        <v>7832</v>
      </c>
      <c r="E3374" s="6" t="s">
        <v>98</v>
      </c>
      <c r="F3374" s="6" t="s">
        <v>18</v>
      </c>
      <c r="G3374" s="7">
        <v>0.04</v>
      </c>
      <c r="H3374" s="6" t="s">
        <v>99</v>
      </c>
      <c r="I3374" s="6" t="s">
        <v>20</v>
      </c>
      <c r="J3374" s="6">
        <v>2022.0</v>
      </c>
      <c r="K3374" s="10">
        <v>46056.0</v>
      </c>
      <c r="L3374" s="6">
        <v>1.0</v>
      </c>
      <c r="M3374" s="8">
        <f t="shared" si="4"/>
        <v>0.04</v>
      </c>
      <c r="P3374" s="9"/>
    </row>
    <row r="3375">
      <c r="A3375" s="6" t="s">
        <v>7833</v>
      </c>
      <c r="B3375" s="6" t="s">
        <v>7834</v>
      </c>
      <c r="C3375" s="6" t="s">
        <v>37</v>
      </c>
      <c r="D3375" s="6" t="s">
        <v>7835</v>
      </c>
      <c r="E3375" s="6" t="s">
        <v>2201</v>
      </c>
      <c r="F3375" s="6" t="s">
        <v>64</v>
      </c>
      <c r="G3375" s="7">
        <v>0.19</v>
      </c>
      <c r="H3375" s="6" t="s">
        <v>99</v>
      </c>
      <c r="I3375" s="6" t="s">
        <v>20</v>
      </c>
      <c r="J3375" s="6">
        <v>2022.0</v>
      </c>
      <c r="K3375" s="10">
        <v>46054.0</v>
      </c>
      <c r="L3375" s="6">
        <v>1.0</v>
      </c>
      <c r="M3375" s="8">
        <f t="shared" si="4"/>
        <v>0.19</v>
      </c>
      <c r="P3375" s="9"/>
    </row>
    <row r="3376">
      <c r="A3376" s="6" t="s">
        <v>7836</v>
      </c>
      <c r="B3376" s="6" t="s">
        <v>7837</v>
      </c>
      <c r="C3376" s="6" t="s">
        <v>37</v>
      </c>
      <c r="D3376" s="6" t="s">
        <v>7838</v>
      </c>
      <c r="E3376" s="6" t="s">
        <v>2201</v>
      </c>
      <c r="F3376" s="6" t="s">
        <v>536</v>
      </c>
      <c r="G3376" s="7">
        <v>0.15</v>
      </c>
      <c r="H3376" s="6" t="s">
        <v>99</v>
      </c>
      <c r="I3376" s="6" t="s">
        <v>20</v>
      </c>
      <c r="J3376" s="6">
        <v>2022.0</v>
      </c>
      <c r="K3376" s="10">
        <v>46054.0</v>
      </c>
      <c r="L3376" s="6">
        <v>1.0</v>
      </c>
      <c r="M3376" s="8">
        <f t="shared" si="4"/>
        <v>0.15</v>
      </c>
      <c r="P3376" s="9"/>
    </row>
    <row r="3377">
      <c r="A3377" s="6" t="s">
        <v>7839</v>
      </c>
      <c r="B3377" s="6" t="s">
        <v>7840</v>
      </c>
      <c r="C3377" s="6" t="s">
        <v>23</v>
      </c>
      <c r="D3377" s="6" t="s">
        <v>7841</v>
      </c>
      <c r="E3377" s="6" t="s">
        <v>1131</v>
      </c>
      <c r="F3377" s="6" t="s">
        <v>87</v>
      </c>
      <c r="G3377" s="7">
        <v>0.13</v>
      </c>
      <c r="H3377" s="6" t="s">
        <v>27</v>
      </c>
      <c r="I3377" s="6" t="s">
        <v>20</v>
      </c>
      <c r="J3377" s="6">
        <v>2026.0</v>
      </c>
      <c r="K3377" s="10">
        <v>46056.0</v>
      </c>
      <c r="L3377" s="6">
        <v>1.0</v>
      </c>
      <c r="M3377" s="8">
        <f t="shared" si="4"/>
        <v>0.13</v>
      </c>
      <c r="P3377" s="9"/>
    </row>
    <row r="3378">
      <c r="A3378" s="6" t="s">
        <v>7842</v>
      </c>
      <c r="B3378" s="6" t="s">
        <v>331</v>
      </c>
      <c r="C3378" s="6" t="s">
        <v>43</v>
      </c>
      <c r="D3378" s="6" t="s">
        <v>7843</v>
      </c>
      <c r="E3378" s="6" t="s">
        <v>140</v>
      </c>
      <c r="F3378" s="6" t="s">
        <v>87</v>
      </c>
      <c r="G3378" s="7">
        <v>2.23</v>
      </c>
      <c r="H3378" s="6" t="s">
        <v>89</v>
      </c>
      <c r="I3378" s="6" t="s">
        <v>20</v>
      </c>
      <c r="J3378" s="6">
        <v>2021.0</v>
      </c>
      <c r="K3378" s="10">
        <v>46023.0</v>
      </c>
      <c r="L3378" s="6">
        <v>1.0</v>
      </c>
      <c r="M3378" s="8">
        <f t="shared" si="4"/>
        <v>2.23</v>
      </c>
      <c r="N3378" s="6" t="s">
        <v>122</v>
      </c>
      <c r="P3378" s="9"/>
    </row>
    <row r="3379">
      <c r="A3379" s="6" t="s">
        <v>7844</v>
      </c>
      <c r="B3379" s="6" t="s">
        <v>1087</v>
      </c>
      <c r="C3379" s="6" t="s">
        <v>43</v>
      </c>
      <c r="D3379" s="6" t="s">
        <v>7845</v>
      </c>
      <c r="E3379" s="6" t="s">
        <v>140</v>
      </c>
      <c r="F3379" s="6" t="s">
        <v>87</v>
      </c>
      <c r="G3379" s="7">
        <v>0.09</v>
      </c>
      <c r="H3379" s="6" t="s">
        <v>1300</v>
      </c>
      <c r="I3379" s="6" t="s">
        <v>20</v>
      </c>
      <c r="J3379" s="6">
        <v>2021.0</v>
      </c>
      <c r="K3379" s="10">
        <v>46023.0</v>
      </c>
      <c r="L3379" s="6">
        <v>2.0</v>
      </c>
      <c r="M3379" s="8">
        <f t="shared" si="4"/>
        <v>0.18</v>
      </c>
      <c r="P3379" s="9"/>
    </row>
    <row r="3380">
      <c r="A3380" s="6" t="s">
        <v>7846</v>
      </c>
      <c r="B3380" s="6" t="s">
        <v>3050</v>
      </c>
      <c r="C3380" s="6" t="s">
        <v>37</v>
      </c>
      <c r="D3380" s="6" t="s">
        <v>7847</v>
      </c>
      <c r="E3380" s="6" t="s">
        <v>389</v>
      </c>
      <c r="F3380" s="6" t="s">
        <v>87</v>
      </c>
      <c r="G3380" s="7">
        <v>0.15</v>
      </c>
      <c r="H3380" s="6" t="s">
        <v>78</v>
      </c>
      <c r="I3380" s="6" t="s">
        <v>20</v>
      </c>
      <c r="J3380" s="6">
        <v>2018.0</v>
      </c>
      <c r="K3380" s="10">
        <v>46057.0</v>
      </c>
      <c r="L3380" s="6">
        <v>1.0</v>
      </c>
      <c r="M3380" s="8">
        <f t="shared" si="4"/>
        <v>0.15</v>
      </c>
      <c r="P3380" s="9"/>
    </row>
    <row r="3381">
      <c r="A3381" s="6" t="s">
        <v>7848</v>
      </c>
      <c r="B3381" s="6" t="s">
        <v>7849</v>
      </c>
      <c r="C3381" s="6" t="s">
        <v>309</v>
      </c>
      <c r="D3381" s="6" t="s">
        <v>7850</v>
      </c>
      <c r="E3381" s="6" t="s">
        <v>117</v>
      </c>
      <c r="F3381" s="6" t="s">
        <v>77</v>
      </c>
      <c r="G3381" s="7">
        <v>1.25</v>
      </c>
      <c r="H3381" s="6" t="s">
        <v>2041</v>
      </c>
      <c r="I3381" s="6" t="s">
        <v>20</v>
      </c>
      <c r="J3381" s="6">
        <v>1998.0</v>
      </c>
      <c r="L3381" s="6">
        <v>1.0</v>
      </c>
      <c r="M3381" s="8">
        <f t="shared" si="4"/>
        <v>1.25</v>
      </c>
      <c r="P3381" s="9"/>
    </row>
    <row r="3382">
      <c r="A3382" s="6" t="s">
        <v>7851</v>
      </c>
      <c r="B3382" s="6" t="s">
        <v>3664</v>
      </c>
      <c r="C3382" s="6" t="s">
        <v>43</v>
      </c>
      <c r="D3382" s="6" t="s">
        <v>7852</v>
      </c>
      <c r="E3382" s="6" t="s">
        <v>107</v>
      </c>
      <c r="F3382" s="6" t="s">
        <v>18</v>
      </c>
      <c r="G3382" s="7">
        <v>0.06</v>
      </c>
      <c r="H3382" s="6" t="s">
        <v>99</v>
      </c>
      <c r="I3382" s="6" t="s">
        <v>20</v>
      </c>
      <c r="J3382" s="6">
        <v>2022.0</v>
      </c>
      <c r="K3382" s="10">
        <v>46082.0</v>
      </c>
      <c r="L3382" s="6">
        <v>1.0</v>
      </c>
      <c r="M3382" s="8">
        <f t="shared" si="4"/>
        <v>0.06</v>
      </c>
      <c r="P3382" s="9"/>
    </row>
    <row r="3383">
      <c r="A3383" s="6" t="s">
        <v>7853</v>
      </c>
      <c r="B3383" s="6" t="s">
        <v>74</v>
      </c>
      <c r="C3383" s="6" t="s">
        <v>43</v>
      </c>
      <c r="D3383" s="6" t="s">
        <v>7854</v>
      </c>
      <c r="E3383" s="6" t="s">
        <v>140</v>
      </c>
      <c r="F3383" s="6" t="s">
        <v>87</v>
      </c>
      <c r="G3383" s="7">
        <v>0.08</v>
      </c>
      <c r="H3383" s="6" t="s">
        <v>297</v>
      </c>
      <c r="I3383" s="6" t="s">
        <v>20</v>
      </c>
      <c r="J3383" s="6">
        <v>2022.0</v>
      </c>
      <c r="L3383" s="6">
        <v>1.0</v>
      </c>
      <c r="M3383" s="8">
        <f t="shared" si="4"/>
        <v>0.08</v>
      </c>
      <c r="P3383" s="9"/>
    </row>
    <row r="3384">
      <c r="A3384" s="6" t="s">
        <v>7855</v>
      </c>
      <c r="B3384" s="6" t="s">
        <v>1548</v>
      </c>
      <c r="C3384" s="6" t="s">
        <v>23</v>
      </c>
      <c r="D3384" s="6" t="s">
        <v>7856</v>
      </c>
      <c r="E3384" s="6" t="s">
        <v>1007</v>
      </c>
      <c r="F3384" s="6" t="s">
        <v>1335</v>
      </c>
      <c r="G3384" s="7">
        <v>0.03</v>
      </c>
      <c r="H3384" s="6" t="s">
        <v>342</v>
      </c>
      <c r="I3384" s="6" t="s">
        <v>20</v>
      </c>
      <c r="J3384" s="6">
        <v>2014.0</v>
      </c>
      <c r="L3384" s="6">
        <v>3.0</v>
      </c>
      <c r="M3384" s="8">
        <f t="shared" si="4"/>
        <v>0.09</v>
      </c>
      <c r="P3384" s="9"/>
    </row>
    <row r="3385">
      <c r="A3385" s="6" t="s">
        <v>7857</v>
      </c>
      <c r="B3385" s="6" t="s">
        <v>1947</v>
      </c>
      <c r="C3385" s="6" t="s">
        <v>30</v>
      </c>
      <c r="D3385" s="6" t="s">
        <v>7858</v>
      </c>
      <c r="E3385" s="6" t="s">
        <v>1634</v>
      </c>
      <c r="F3385" s="6" t="s">
        <v>87</v>
      </c>
      <c r="G3385" s="7">
        <v>1.5</v>
      </c>
      <c r="H3385" s="6" t="s">
        <v>4519</v>
      </c>
      <c r="I3385" s="6" t="s">
        <v>20</v>
      </c>
      <c r="J3385" s="6">
        <v>2009.0</v>
      </c>
      <c r="K3385" s="10">
        <v>46116.0</v>
      </c>
      <c r="L3385" s="6">
        <v>2.0</v>
      </c>
      <c r="M3385" s="8">
        <f t="shared" si="4"/>
        <v>3</v>
      </c>
      <c r="P3385" s="9"/>
    </row>
    <row r="3386">
      <c r="A3386" s="6" t="s">
        <v>7859</v>
      </c>
      <c r="B3386" s="6" t="s">
        <v>2339</v>
      </c>
      <c r="C3386" s="6" t="s">
        <v>37</v>
      </c>
      <c r="D3386" s="6" t="s">
        <v>7860</v>
      </c>
      <c r="E3386" s="6" t="s">
        <v>7861</v>
      </c>
      <c r="F3386" s="6" t="s">
        <v>536</v>
      </c>
      <c r="G3386" s="7">
        <v>0.2</v>
      </c>
      <c r="H3386" s="6" t="s">
        <v>471</v>
      </c>
      <c r="I3386" s="6" t="s">
        <v>20</v>
      </c>
      <c r="J3386" s="6">
        <v>2026.0</v>
      </c>
      <c r="K3386" s="10">
        <v>46083.0</v>
      </c>
      <c r="L3386" s="6">
        <v>1.0</v>
      </c>
      <c r="M3386" s="8">
        <f t="shared" si="4"/>
        <v>0.2</v>
      </c>
      <c r="P3386" s="9"/>
    </row>
    <row r="3387">
      <c r="A3387" s="6" t="s">
        <v>7862</v>
      </c>
      <c r="B3387" s="6" t="s">
        <v>7863</v>
      </c>
      <c r="C3387" s="6" t="s">
        <v>43</v>
      </c>
      <c r="E3387" s="6" t="s">
        <v>1702</v>
      </c>
      <c r="F3387" s="6" t="s">
        <v>112</v>
      </c>
      <c r="G3387" s="7">
        <v>0.03</v>
      </c>
      <c r="H3387" s="6" t="s">
        <v>398</v>
      </c>
      <c r="I3387" s="6" t="s">
        <v>20</v>
      </c>
      <c r="J3387" s="6">
        <v>2019.0</v>
      </c>
      <c r="K3387" s="10">
        <v>46210.0</v>
      </c>
      <c r="L3387" s="6">
        <v>4.0</v>
      </c>
      <c r="M3387" s="8">
        <f t="shared" si="4"/>
        <v>0.12</v>
      </c>
      <c r="P3387" s="9"/>
    </row>
    <row r="3388">
      <c r="A3388" s="6" t="s">
        <v>7864</v>
      </c>
      <c r="B3388" s="6" t="s">
        <v>115</v>
      </c>
      <c r="C3388" s="6" t="s">
        <v>15</v>
      </c>
      <c r="D3388" s="6" t="s">
        <v>7865</v>
      </c>
      <c r="E3388" s="6" t="s">
        <v>1550</v>
      </c>
      <c r="F3388" s="6" t="s">
        <v>77</v>
      </c>
      <c r="G3388" s="7">
        <v>0.09</v>
      </c>
      <c r="H3388" s="6" t="s">
        <v>780</v>
      </c>
      <c r="I3388" s="6" t="s">
        <v>20</v>
      </c>
      <c r="J3388" s="6">
        <v>2025.0</v>
      </c>
      <c r="L3388" s="6">
        <v>1.0</v>
      </c>
      <c r="M3388" s="8">
        <f t="shared" si="4"/>
        <v>0.09</v>
      </c>
      <c r="P3388" s="9"/>
    </row>
    <row r="3389">
      <c r="A3389" s="6" t="s">
        <v>7866</v>
      </c>
      <c r="B3389" s="6" t="s">
        <v>7867</v>
      </c>
      <c r="C3389" s="6" t="s">
        <v>43</v>
      </c>
      <c r="D3389" s="6" t="s">
        <v>7868</v>
      </c>
      <c r="E3389" s="6" t="s">
        <v>176</v>
      </c>
      <c r="F3389" s="6" t="s">
        <v>77</v>
      </c>
      <c r="G3389" s="7">
        <v>0.05</v>
      </c>
      <c r="H3389" s="6" t="s">
        <v>290</v>
      </c>
      <c r="I3389" s="6" t="s">
        <v>20</v>
      </c>
      <c r="J3389" s="6">
        <v>2019.0</v>
      </c>
      <c r="K3389" s="10">
        <v>46056.0</v>
      </c>
      <c r="L3389" s="6">
        <v>1.0</v>
      </c>
      <c r="M3389" s="8">
        <f t="shared" si="4"/>
        <v>0.05</v>
      </c>
      <c r="P3389" s="9"/>
    </row>
    <row r="3390">
      <c r="A3390" s="6" t="s">
        <v>7869</v>
      </c>
      <c r="B3390" s="6" t="s">
        <v>4849</v>
      </c>
      <c r="C3390" s="6" t="s">
        <v>30</v>
      </c>
      <c r="D3390" s="6" t="s">
        <v>7870</v>
      </c>
      <c r="E3390" s="6" t="s">
        <v>57</v>
      </c>
      <c r="F3390" s="6" t="s">
        <v>40</v>
      </c>
      <c r="G3390" s="7">
        <v>0.28</v>
      </c>
      <c r="H3390" s="6" t="s">
        <v>373</v>
      </c>
      <c r="I3390" s="6" t="s">
        <v>20</v>
      </c>
      <c r="J3390" s="6">
        <v>2015.0</v>
      </c>
      <c r="K3390" s="10">
        <v>46024.0</v>
      </c>
      <c r="L3390" s="6">
        <v>1.0</v>
      </c>
      <c r="M3390" s="8">
        <f t="shared" si="4"/>
        <v>0.28</v>
      </c>
      <c r="P3390" s="9"/>
    </row>
    <row r="3391">
      <c r="A3391" s="6" t="s">
        <v>7871</v>
      </c>
      <c r="B3391" s="6" t="s">
        <v>2149</v>
      </c>
      <c r="C3391" s="6" t="s">
        <v>43</v>
      </c>
      <c r="D3391" s="6" t="s">
        <v>1510</v>
      </c>
      <c r="E3391" s="6" t="s">
        <v>1702</v>
      </c>
      <c r="F3391" s="6" t="s">
        <v>112</v>
      </c>
      <c r="G3391" s="7">
        <v>0.05</v>
      </c>
      <c r="H3391" s="6" t="s">
        <v>496</v>
      </c>
      <c r="I3391" s="6" t="s">
        <v>20</v>
      </c>
      <c r="J3391" s="6">
        <v>2013.0</v>
      </c>
      <c r="K3391" s="10">
        <v>46148.0</v>
      </c>
      <c r="L3391" s="6">
        <v>1.0</v>
      </c>
      <c r="M3391" s="8">
        <f t="shared" si="4"/>
        <v>0.05</v>
      </c>
      <c r="P3391" s="9"/>
    </row>
    <row r="3392">
      <c r="A3392" s="6" t="s">
        <v>7872</v>
      </c>
      <c r="B3392" s="6" t="s">
        <v>7873</v>
      </c>
      <c r="C3392" s="6" t="s">
        <v>43</v>
      </c>
      <c r="D3392" s="6" t="s">
        <v>7874</v>
      </c>
      <c r="E3392" s="6" t="s">
        <v>248</v>
      </c>
      <c r="F3392" s="6" t="s">
        <v>77</v>
      </c>
      <c r="G3392" s="7">
        <v>0.03</v>
      </c>
      <c r="H3392" s="6" t="s">
        <v>701</v>
      </c>
      <c r="I3392" s="6" t="s">
        <v>20</v>
      </c>
      <c r="J3392" s="6">
        <v>2015.0</v>
      </c>
      <c r="K3392" s="10">
        <v>46083.0</v>
      </c>
      <c r="L3392" s="6">
        <v>1.0</v>
      </c>
      <c r="M3392" s="8">
        <f t="shared" si="4"/>
        <v>0.03</v>
      </c>
      <c r="P3392" s="9"/>
    </row>
    <row r="3393">
      <c r="A3393" s="6" t="s">
        <v>7875</v>
      </c>
      <c r="B3393" s="6" t="s">
        <v>2192</v>
      </c>
      <c r="C3393" s="6" t="s">
        <v>43</v>
      </c>
      <c r="D3393" s="6" t="s">
        <v>7876</v>
      </c>
      <c r="E3393" s="6" t="s">
        <v>76</v>
      </c>
      <c r="F3393" s="6" t="s">
        <v>77</v>
      </c>
      <c r="G3393" s="7">
        <v>0.25</v>
      </c>
      <c r="H3393" s="6" t="s">
        <v>903</v>
      </c>
      <c r="I3393" s="6" t="s">
        <v>45</v>
      </c>
      <c r="J3393" s="6">
        <v>2016.0</v>
      </c>
      <c r="K3393" s="10">
        <v>46082.0</v>
      </c>
      <c r="L3393" s="6">
        <v>1.0</v>
      </c>
      <c r="M3393" s="8">
        <f t="shared" si="4"/>
        <v>0.25</v>
      </c>
      <c r="P3393" s="9"/>
    </row>
    <row r="3394">
      <c r="A3394" s="6" t="s">
        <v>7877</v>
      </c>
      <c r="B3394" s="6" t="s">
        <v>7878</v>
      </c>
      <c r="C3394" s="6" t="s">
        <v>23</v>
      </c>
      <c r="D3394" s="6" t="s">
        <v>7879</v>
      </c>
      <c r="E3394" s="6" t="s">
        <v>5611</v>
      </c>
      <c r="F3394" s="6" t="s">
        <v>112</v>
      </c>
      <c r="G3394" s="7">
        <v>0.13</v>
      </c>
      <c r="H3394" s="6" t="s">
        <v>27</v>
      </c>
      <c r="I3394" s="6" t="s">
        <v>20</v>
      </c>
      <c r="J3394" s="6">
        <v>2026.0</v>
      </c>
      <c r="K3394" s="10">
        <v>46116.0</v>
      </c>
      <c r="L3394" s="6">
        <v>1.0</v>
      </c>
      <c r="M3394" s="8">
        <f t="shared" si="4"/>
        <v>0.13</v>
      </c>
      <c r="P3394" s="9"/>
    </row>
    <row r="3395">
      <c r="A3395" s="6" t="s">
        <v>7880</v>
      </c>
      <c r="B3395" s="6" t="s">
        <v>7881</v>
      </c>
      <c r="C3395" s="6" t="s">
        <v>43</v>
      </c>
      <c r="D3395" s="6" t="s">
        <v>7882</v>
      </c>
      <c r="E3395" s="6" t="s">
        <v>25</v>
      </c>
      <c r="F3395" s="6" t="s">
        <v>26</v>
      </c>
      <c r="G3395" s="7">
        <v>0.1</v>
      </c>
      <c r="H3395" s="6" t="s">
        <v>228</v>
      </c>
      <c r="I3395" s="6" t="s">
        <v>20</v>
      </c>
      <c r="J3395" s="6">
        <v>2025.0</v>
      </c>
      <c r="K3395" s="10">
        <v>46024.0</v>
      </c>
      <c r="L3395" s="6">
        <v>1.0</v>
      </c>
      <c r="M3395" s="8">
        <f t="shared" si="4"/>
        <v>0.1</v>
      </c>
      <c r="P3395" s="9"/>
    </row>
    <row r="3396">
      <c r="A3396" s="6" t="s">
        <v>7883</v>
      </c>
      <c r="B3396" s="6" t="s">
        <v>2880</v>
      </c>
      <c r="C3396" s="6" t="s">
        <v>37</v>
      </c>
      <c r="D3396" s="6" t="s">
        <v>7884</v>
      </c>
      <c r="E3396" s="6" t="s">
        <v>994</v>
      </c>
      <c r="F3396" s="6" t="s">
        <v>26</v>
      </c>
      <c r="G3396" s="7">
        <v>0.2</v>
      </c>
      <c r="H3396" s="6" t="s">
        <v>187</v>
      </c>
      <c r="I3396" s="6" t="s">
        <v>20</v>
      </c>
      <c r="J3396" s="6">
        <v>1995.0</v>
      </c>
      <c r="K3396" s="6" t="s">
        <v>4557</v>
      </c>
      <c r="L3396" s="6">
        <v>1.0</v>
      </c>
      <c r="M3396" s="8">
        <f t="shared" si="4"/>
        <v>0.2</v>
      </c>
      <c r="P3396" s="9"/>
    </row>
    <row r="3397">
      <c r="A3397" s="6" t="s">
        <v>7885</v>
      </c>
      <c r="B3397" s="6" t="s">
        <v>7886</v>
      </c>
      <c r="C3397" s="6" t="s">
        <v>37</v>
      </c>
      <c r="D3397" s="6" t="s">
        <v>7887</v>
      </c>
      <c r="E3397" s="6" t="s">
        <v>994</v>
      </c>
      <c r="F3397" s="6" t="s">
        <v>26</v>
      </c>
      <c r="G3397" s="7">
        <v>0.2</v>
      </c>
      <c r="H3397" s="6" t="s">
        <v>187</v>
      </c>
      <c r="I3397" s="6" t="s">
        <v>20</v>
      </c>
      <c r="J3397" s="6">
        <v>1995.0</v>
      </c>
      <c r="K3397" s="6" t="s">
        <v>4557</v>
      </c>
      <c r="L3397" s="6">
        <v>1.0</v>
      </c>
      <c r="M3397" s="8">
        <f t="shared" si="4"/>
        <v>0.2</v>
      </c>
      <c r="P3397" s="9"/>
    </row>
    <row r="3398">
      <c r="A3398" s="6" t="s">
        <v>7888</v>
      </c>
      <c r="B3398" s="6" t="s">
        <v>829</v>
      </c>
      <c r="C3398" s="6" t="s">
        <v>15</v>
      </c>
      <c r="D3398" s="6" t="s">
        <v>7889</v>
      </c>
      <c r="E3398" s="6" t="s">
        <v>994</v>
      </c>
      <c r="F3398" s="6" t="s">
        <v>26</v>
      </c>
      <c r="G3398" s="7">
        <v>0.2</v>
      </c>
      <c r="H3398" s="6" t="s">
        <v>187</v>
      </c>
      <c r="I3398" s="6" t="s">
        <v>20</v>
      </c>
      <c r="J3398" s="6">
        <v>1995.0</v>
      </c>
      <c r="K3398" s="6" t="s">
        <v>4557</v>
      </c>
      <c r="L3398" s="6">
        <v>1.0</v>
      </c>
      <c r="M3398" s="8">
        <f t="shared" si="4"/>
        <v>0.2</v>
      </c>
      <c r="P3398" s="9"/>
    </row>
    <row r="3399">
      <c r="A3399" s="6" t="s">
        <v>7890</v>
      </c>
      <c r="B3399" s="6" t="s">
        <v>7891</v>
      </c>
      <c r="C3399" s="6" t="s">
        <v>37</v>
      </c>
      <c r="D3399" s="6" t="s">
        <v>7892</v>
      </c>
      <c r="E3399" s="6" t="s">
        <v>176</v>
      </c>
      <c r="F3399" s="6" t="s">
        <v>77</v>
      </c>
      <c r="G3399" s="7">
        <v>0.09</v>
      </c>
      <c r="H3399" s="6" t="s">
        <v>83</v>
      </c>
      <c r="I3399" s="6" t="s">
        <v>20</v>
      </c>
      <c r="J3399" s="6">
        <v>1995.0</v>
      </c>
      <c r="K3399" s="10">
        <v>46113.0</v>
      </c>
      <c r="L3399" s="6">
        <v>2.0</v>
      </c>
      <c r="M3399" s="8">
        <f t="shared" si="4"/>
        <v>0.18</v>
      </c>
      <c r="P3399" s="9"/>
    </row>
    <row r="3400">
      <c r="A3400" s="6" t="s">
        <v>7893</v>
      </c>
      <c r="B3400" s="6" t="s">
        <v>96</v>
      </c>
      <c r="C3400" s="6" t="s">
        <v>37</v>
      </c>
      <c r="D3400" s="6" t="s">
        <v>7894</v>
      </c>
      <c r="E3400" s="6" t="s">
        <v>1559</v>
      </c>
      <c r="F3400" s="6" t="s">
        <v>519</v>
      </c>
      <c r="G3400" s="7">
        <v>0.59</v>
      </c>
      <c r="H3400" s="6" t="s">
        <v>3249</v>
      </c>
      <c r="I3400" s="6" t="s">
        <v>20</v>
      </c>
      <c r="J3400" s="6">
        <v>2017.0</v>
      </c>
      <c r="K3400" s="6" t="s">
        <v>7895</v>
      </c>
      <c r="L3400" s="6">
        <v>2.0</v>
      </c>
      <c r="M3400" s="8">
        <f t="shared" si="4"/>
        <v>1.18</v>
      </c>
      <c r="P3400" s="9"/>
    </row>
    <row r="3401">
      <c r="A3401" s="6" t="s">
        <v>7896</v>
      </c>
      <c r="B3401" s="6" t="s">
        <v>1452</v>
      </c>
      <c r="C3401" s="6" t="s">
        <v>37</v>
      </c>
      <c r="D3401" s="6" t="s">
        <v>7897</v>
      </c>
      <c r="E3401" s="6" t="s">
        <v>256</v>
      </c>
      <c r="F3401" s="6" t="s">
        <v>87</v>
      </c>
      <c r="G3401" s="7">
        <v>0.1</v>
      </c>
      <c r="H3401" s="6" t="s">
        <v>452</v>
      </c>
      <c r="I3401" s="6" t="s">
        <v>20</v>
      </c>
      <c r="J3401" s="6">
        <v>1995.0</v>
      </c>
      <c r="K3401" s="10">
        <v>46113.0</v>
      </c>
      <c r="L3401" s="6">
        <v>1.0</v>
      </c>
      <c r="M3401" s="8">
        <f t="shared" si="4"/>
        <v>0.1</v>
      </c>
      <c r="P3401" s="9"/>
    </row>
    <row r="3402">
      <c r="A3402" s="6" t="s">
        <v>7898</v>
      </c>
      <c r="B3402" s="6" t="s">
        <v>96</v>
      </c>
      <c r="C3402" s="6" t="s">
        <v>37</v>
      </c>
      <c r="D3402" s="6" t="s">
        <v>7899</v>
      </c>
      <c r="E3402" s="6" t="s">
        <v>753</v>
      </c>
      <c r="F3402" s="6" t="s">
        <v>87</v>
      </c>
      <c r="G3402" s="7">
        <v>0.1</v>
      </c>
      <c r="H3402" s="6" t="s">
        <v>452</v>
      </c>
      <c r="I3402" s="6" t="s">
        <v>20</v>
      </c>
      <c r="J3402" s="6">
        <v>1995.0</v>
      </c>
      <c r="K3402" s="6" t="s">
        <v>100</v>
      </c>
      <c r="L3402" s="6">
        <v>1.0</v>
      </c>
      <c r="M3402" s="8">
        <f t="shared" si="4"/>
        <v>0.1</v>
      </c>
      <c r="P3402" s="9"/>
    </row>
    <row r="3403">
      <c r="A3403" s="6" t="s">
        <v>7900</v>
      </c>
      <c r="B3403" s="6" t="s">
        <v>1452</v>
      </c>
      <c r="C3403" s="6" t="s">
        <v>43</v>
      </c>
      <c r="D3403" s="6" t="s">
        <v>7901</v>
      </c>
      <c r="E3403" s="6" t="s">
        <v>256</v>
      </c>
      <c r="F3403" s="6" t="s">
        <v>87</v>
      </c>
      <c r="G3403" s="7">
        <v>0.09</v>
      </c>
      <c r="H3403" s="6" t="s">
        <v>141</v>
      </c>
      <c r="I3403" s="6" t="s">
        <v>20</v>
      </c>
      <c r="J3403" s="6">
        <v>1995.0</v>
      </c>
      <c r="K3403" s="10">
        <v>46175.0</v>
      </c>
      <c r="L3403" s="6">
        <v>2.0</v>
      </c>
      <c r="M3403" s="8">
        <f t="shared" si="4"/>
        <v>0.18</v>
      </c>
      <c r="P3403" s="9"/>
    </row>
    <row r="3404">
      <c r="A3404" s="6" t="s">
        <v>7902</v>
      </c>
      <c r="B3404" s="6" t="s">
        <v>1452</v>
      </c>
      <c r="C3404" s="6" t="s">
        <v>37</v>
      </c>
      <c r="D3404" s="6" t="s">
        <v>7903</v>
      </c>
      <c r="E3404" s="6" t="s">
        <v>753</v>
      </c>
      <c r="F3404" s="6" t="s">
        <v>87</v>
      </c>
      <c r="G3404" s="7">
        <v>0.18</v>
      </c>
      <c r="H3404" s="6" t="s">
        <v>187</v>
      </c>
      <c r="I3404" s="6" t="s">
        <v>20</v>
      </c>
      <c r="J3404" s="6">
        <v>1995.0</v>
      </c>
      <c r="K3404" s="10">
        <v>46082.0</v>
      </c>
      <c r="L3404" s="6">
        <v>1.0</v>
      </c>
      <c r="M3404" s="8">
        <f t="shared" si="4"/>
        <v>0.18</v>
      </c>
      <c r="P3404" s="9"/>
    </row>
    <row r="3405">
      <c r="A3405" s="6" t="s">
        <v>7904</v>
      </c>
      <c r="B3405" s="6" t="s">
        <v>96</v>
      </c>
      <c r="C3405" s="6" t="s">
        <v>37</v>
      </c>
      <c r="D3405" s="6" t="s">
        <v>7905</v>
      </c>
      <c r="E3405" s="6" t="s">
        <v>107</v>
      </c>
      <c r="F3405" s="6" t="s">
        <v>18</v>
      </c>
      <c r="G3405" s="7">
        <v>0.13</v>
      </c>
      <c r="H3405" s="6" t="s">
        <v>431</v>
      </c>
      <c r="I3405" s="6" t="s">
        <v>20</v>
      </c>
      <c r="J3405" s="6">
        <v>2019.0</v>
      </c>
      <c r="K3405" s="6" t="s">
        <v>445</v>
      </c>
      <c r="L3405" s="6">
        <v>1.0</v>
      </c>
      <c r="M3405" s="8">
        <f t="shared" si="4"/>
        <v>0.13</v>
      </c>
      <c r="P3405" s="9"/>
    </row>
    <row r="3406">
      <c r="A3406" s="6" t="s">
        <v>7906</v>
      </c>
      <c r="B3406" s="6" t="s">
        <v>1452</v>
      </c>
      <c r="C3406" s="6" t="s">
        <v>30</v>
      </c>
      <c r="D3406" s="6" t="s">
        <v>7907</v>
      </c>
      <c r="E3406" s="6" t="s">
        <v>1634</v>
      </c>
      <c r="F3406" s="6" t="s">
        <v>87</v>
      </c>
      <c r="G3406" s="7">
        <v>0.21</v>
      </c>
      <c r="H3406" s="6" t="s">
        <v>141</v>
      </c>
      <c r="I3406" s="6" t="s">
        <v>20</v>
      </c>
      <c r="J3406" s="6">
        <v>1995.0</v>
      </c>
      <c r="K3406" s="6" t="s">
        <v>4557</v>
      </c>
      <c r="L3406" s="6">
        <v>1.0</v>
      </c>
      <c r="M3406" s="8">
        <f t="shared" si="4"/>
        <v>0.21</v>
      </c>
      <c r="P3406" s="9"/>
    </row>
    <row r="3407">
      <c r="A3407" s="6" t="s">
        <v>7908</v>
      </c>
      <c r="B3407" s="6" t="s">
        <v>1452</v>
      </c>
      <c r="C3407" s="6" t="s">
        <v>43</v>
      </c>
      <c r="D3407" s="6" t="s">
        <v>7909</v>
      </c>
      <c r="E3407" s="6" t="s">
        <v>1027</v>
      </c>
      <c r="F3407" s="6" t="s">
        <v>77</v>
      </c>
      <c r="G3407" s="7">
        <v>0.15</v>
      </c>
      <c r="H3407" s="6" t="s">
        <v>3687</v>
      </c>
      <c r="I3407" s="6" t="s">
        <v>20</v>
      </c>
      <c r="J3407" s="6">
        <v>1995.0</v>
      </c>
      <c r="K3407" s="6" t="s">
        <v>301</v>
      </c>
      <c r="L3407" s="6">
        <v>2.0</v>
      </c>
      <c r="M3407" s="8">
        <f t="shared" si="4"/>
        <v>0.3</v>
      </c>
      <c r="P3407" s="9"/>
    </row>
    <row r="3408">
      <c r="A3408" s="6" t="s">
        <v>7910</v>
      </c>
      <c r="B3408" s="6" t="s">
        <v>2632</v>
      </c>
      <c r="C3408" s="6" t="s">
        <v>37</v>
      </c>
      <c r="D3408" s="6" t="s">
        <v>7911</v>
      </c>
      <c r="E3408" s="6" t="s">
        <v>185</v>
      </c>
      <c r="F3408" s="6" t="s">
        <v>26</v>
      </c>
      <c r="G3408" s="7">
        <v>0.09</v>
      </c>
      <c r="H3408" s="6" t="s">
        <v>324</v>
      </c>
      <c r="I3408" s="6" t="s">
        <v>20</v>
      </c>
      <c r="J3408" s="6">
        <v>1995.0</v>
      </c>
      <c r="K3408" s="10">
        <v>46083.0</v>
      </c>
      <c r="L3408" s="6">
        <v>5.0</v>
      </c>
      <c r="M3408" s="8">
        <f t="shared" si="4"/>
        <v>0.45</v>
      </c>
      <c r="P3408" s="9"/>
    </row>
    <row r="3409">
      <c r="A3409" s="6" t="s">
        <v>7910</v>
      </c>
      <c r="B3409" s="6" t="s">
        <v>2632</v>
      </c>
      <c r="C3409" s="6" t="s">
        <v>37</v>
      </c>
      <c r="D3409" s="6" t="s">
        <v>7911</v>
      </c>
      <c r="E3409" s="6" t="s">
        <v>185</v>
      </c>
      <c r="F3409" s="6" t="s">
        <v>26</v>
      </c>
      <c r="G3409" s="7">
        <v>0.15</v>
      </c>
      <c r="H3409" s="6" t="s">
        <v>316</v>
      </c>
      <c r="I3409" s="6" t="s">
        <v>20</v>
      </c>
      <c r="J3409" s="6">
        <v>1995.0</v>
      </c>
      <c r="K3409" s="10">
        <v>46083.0</v>
      </c>
      <c r="L3409" s="6">
        <v>4.0</v>
      </c>
      <c r="M3409" s="8">
        <f t="shared" si="4"/>
        <v>0.6</v>
      </c>
      <c r="P3409" s="9"/>
    </row>
    <row r="3410">
      <c r="A3410" s="6" t="s">
        <v>7912</v>
      </c>
      <c r="B3410" s="6" t="s">
        <v>96</v>
      </c>
      <c r="C3410" s="6" t="s">
        <v>37</v>
      </c>
      <c r="D3410" s="6" t="s">
        <v>7913</v>
      </c>
      <c r="E3410" s="6" t="s">
        <v>753</v>
      </c>
      <c r="F3410" s="6" t="s">
        <v>87</v>
      </c>
      <c r="G3410" s="7">
        <v>0.09</v>
      </c>
      <c r="H3410" s="6" t="s">
        <v>452</v>
      </c>
      <c r="I3410" s="6" t="s">
        <v>20</v>
      </c>
      <c r="J3410" s="6">
        <v>1995.0</v>
      </c>
      <c r="K3410" s="6" t="s">
        <v>7895</v>
      </c>
      <c r="L3410" s="6">
        <v>1.0</v>
      </c>
      <c r="M3410" s="8">
        <f t="shared" si="4"/>
        <v>0.09</v>
      </c>
      <c r="P3410" s="9"/>
    </row>
    <row r="3411">
      <c r="A3411" s="6" t="s">
        <v>7914</v>
      </c>
      <c r="B3411" s="6" t="s">
        <v>2420</v>
      </c>
      <c r="C3411" s="6" t="s">
        <v>43</v>
      </c>
      <c r="D3411" s="6" t="s">
        <v>7915</v>
      </c>
      <c r="E3411" s="6" t="s">
        <v>329</v>
      </c>
      <c r="F3411" s="6" t="s">
        <v>112</v>
      </c>
      <c r="G3411" s="7">
        <v>0.04</v>
      </c>
      <c r="H3411" s="6" t="s">
        <v>34</v>
      </c>
      <c r="I3411" s="6" t="s">
        <v>20</v>
      </c>
      <c r="J3411" s="6">
        <v>2025.0</v>
      </c>
      <c r="K3411" s="10">
        <v>46083.0</v>
      </c>
      <c r="L3411" s="6">
        <v>3.0</v>
      </c>
      <c r="M3411" s="8">
        <f t="shared" si="4"/>
        <v>0.12</v>
      </c>
      <c r="P3411" s="9"/>
    </row>
    <row r="3412">
      <c r="A3412" s="6" t="s">
        <v>7916</v>
      </c>
      <c r="B3412" s="6" t="s">
        <v>1520</v>
      </c>
      <c r="C3412" s="6" t="s">
        <v>43</v>
      </c>
      <c r="D3412" s="6" t="s">
        <v>7917</v>
      </c>
      <c r="E3412" s="6" t="s">
        <v>248</v>
      </c>
      <c r="F3412" s="6" t="s">
        <v>77</v>
      </c>
      <c r="G3412" s="7">
        <v>0.09</v>
      </c>
      <c r="H3412" s="6" t="s">
        <v>148</v>
      </c>
      <c r="I3412" s="6" t="s">
        <v>20</v>
      </c>
      <c r="J3412" s="6">
        <v>2026.0</v>
      </c>
      <c r="L3412" s="6">
        <v>2.0</v>
      </c>
      <c r="M3412" s="8">
        <f t="shared" si="4"/>
        <v>0.18</v>
      </c>
      <c r="P3412" s="9"/>
    </row>
    <row r="3413">
      <c r="A3413" s="6" t="s">
        <v>7918</v>
      </c>
      <c r="B3413" s="6" t="s">
        <v>7919</v>
      </c>
      <c r="C3413" s="6" t="s">
        <v>377</v>
      </c>
      <c r="D3413" s="6" t="s">
        <v>7920</v>
      </c>
      <c r="E3413" s="6" t="s">
        <v>135</v>
      </c>
      <c r="F3413" s="6" t="s">
        <v>697</v>
      </c>
      <c r="G3413" s="7">
        <v>0.09</v>
      </c>
      <c r="H3413" s="6" t="s">
        <v>471</v>
      </c>
      <c r="I3413" s="6" t="s">
        <v>20</v>
      </c>
      <c r="J3413" s="6">
        <v>2026.0</v>
      </c>
      <c r="K3413" s="10">
        <v>46055.0</v>
      </c>
      <c r="L3413" s="6">
        <v>2.0</v>
      </c>
      <c r="M3413" s="8">
        <f t="shared" si="4"/>
        <v>0.18</v>
      </c>
      <c r="P3413" s="9"/>
    </row>
    <row r="3414">
      <c r="A3414" s="6" t="s">
        <v>7921</v>
      </c>
      <c r="B3414" s="6" t="s">
        <v>1803</v>
      </c>
      <c r="C3414" s="6" t="s">
        <v>43</v>
      </c>
      <c r="D3414" s="6" t="s">
        <v>7922</v>
      </c>
      <c r="E3414" s="6" t="s">
        <v>7923</v>
      </c>
      <c r="F3414" s="6" t="s">
        <v>536</v>
      </c>
      <c r="G3414" s="7">
        <v>0.05</v>
      </c>
      <c r="H3414" s="6" t="s">
        <v>1048</v>
      </c>
      <c r="I3414" s="6" t="s">
        <v>20</v>
      </c>
      <c r="J3414" s="6">
        <v>2008.0</v>
      </c>
      <c r="K3414" s="10">
        <v>46084.0</v>
      </c>
      <c r="L3414" s="6">
        <v>1.0</v>
      </c>
      <c r="M3414" s="8">
        <f t="shared" si="4"/>
        <v>0.05</v>
      </c>
      <c r="P3414" s="9"/>
    </row>
    <row r="3415">
      <c r="A3415" s="6" t="s">
        <v>7924</v>
      </c>
      <c r="B3415" s="6" t="s">
        <v>74</v>
      </c>
      <c r="C3415" s="6" t="s">
        <v>43</v>
      </c>
      <c r="D3415" s="6" t="s">
        <v>7925</v>
      </c>
      <c r="E3415" s="6" t="s">
        <v>135</v>
      </c>
      <c r="F3415" s="6" t="s">
        <v>40</v>
      </c>
      <c r="G3415" s="7">
        <v>0.1</v>
      </c>
      <c r="H3415" s="6" t="s">
        <v>297</v>
      </c>
      <c r="I3415" s="6" t="s">
        <v>20</v>
      </c>
      <c r="J3415" s="6">
        <v>2022.0</v>
      </c>
      <c r="L3415" s="6">
        <v>1.0</v>
      </c>
      <c r="M3415" s="8">
        <f t="shared" si="4"/>
        <v>0.1</v>
      </c>
      <c r="P3415" s="9"/>
    </row>
    <row r="3416">
      <c r="A3416" s="6" t="s">
        <v>7926</v>
      </c>
      <c r="B3416" s="6" t="s">
        <v>2380</v>
      </c>
      <c r="C3416" s="6" t="s">
        <v>37</v>
      </c>
      <c r="D3416" s="6" t="s">
        <v>7927</v>
      </c>
      <c r="E3416" s="6" t="s">
        <v>964</v>
      </c>
      <c r="F3416" s="6" t="s">
        <v>50</v>
      </c>
      <c r="G3416" s="7">
        <v>0.1</v>
      </c>
      <c r="H3416" s="6" t="s">
        <v>89</v>
      </c>
      <c r="I3416" s="6" t="s">
        <v>20</v>
      </c>
      <c r="J3416" s="6">
        <v>2021.0</v>
      </c>
      <c r="K3416" s="10">
        <v>46024.0</v>
      </c>
      <c r="L3416" s="6">
        <v>1.0</v>
      </c>
      <c r="M3416" s="8">
        <f t="shared" si="4"/>
        <v>0.1</v>
      </c>
      <c r="P3416" s="9"/>
    </row>
    <row r="3417">
      <c r="A3417" s="6" t="s">
        <v>7928</v>
      </c>
      <c r="B3417" s="6" t="s">
        <v>7929</v>
      </c>
      <c r="C3417" s="6" t="s">
        <v>43</v>
      </c>
      <c r="D3417" s="6" t="s">
        <v>7930</v>
      </c>
      <c r="E3417" s="6" t="s">
        <v>7931</v>
      </c>
      <c r="F3417" s="6" t="s">
        <v>1000</v>
      </c>
      <c r="G3417" s="7">
        <v>0.06</v>
      </c>
      <c r="H3417" s="6" t="s">
        <v>34</v>
      </c>
      <c r="I3417" s="6" t="s">
        <v>20</v>
      </c>
      <c r="J3417" s="6">
        <v>2025.0</v>
      </c>
      <c r="K3417" s="10">
        <v>46144.0</v>
      </c>
      <c r="L3417" s="6">
        <v>1.0</v>
      </c>
      <c r="M3417" s="8">
        <f t="shared" si="4"/>
        <v>0.06</v>
      </c>
      <c r="P3417" s="9"/>
    </row>
    <row r="3418">
      <c r="A3418" s="6" t="s">
        <v>7932</v>
      </c>
      <c r="B3418" s="6" t="s">
        <v>854</v>
      </c>
      <c r="C3418" s="6" t="s">
        <v>43</v>
      </c>
      <c r="D3418" s="6" t="s">
        <v>7933</v>
      </c>
      <c r="E3418" s="6" t="s">
        <v>98</v>
      </c>
      <c r="F3418" s="6" t="s">
        <v>18</v>
      </c>
      <c r="G3418" s="7">
        <v>0.06</v>
      </c>
      <c r="H3418" s="6" t="s">
        <v>89</v>
      </c>
      <c r="I3418" s="6" t="s">
        <v>20</v>
      </c>
      <c r="J3418" s="6">
        <v>2021.0</v>
      </c>
      <c r="K3418" s="10">
        <v>46083.0</v>
      </c>
      <c r="L3418" s="6">
        <v>1.0</v>
      </c>
      <c r="M3418" s="8">
        <f t="shared" si="4"/>
        <v>0.06</v>
      </c>
      <c r="P3418" s="9"/>
    </row>
    <row r="3419">
      <c r="A3419" s="6" t="s">
        <v>7934</v>
      </c>
      <c r="B3419" s="6" t="s">
        <v>1677</v>
      </c>
      <c r="C3419" s="6" t="s">
        <v>37</v>
      </c>
      <c r="D3419" s="6" t="s">
        <v>7935</v>
      </c>
      <c r="E3419" s="6" t="s">
        <v>256</v>
      </c>
      <c r="F3419" s="6" t="s">
        <v>87</v>
      </c>
      <c r="G3419" s="7">
        <v>0.1</v>
      </c>
      <c r="H3419" s="6" t="s">
        <v>34</v>
      </c>
      <c r="I3419" s="6" t="s">
        <v>20</v>
      </c>
      <c r="J3419" s="6">
        <v>2025.0</v>
      </c>
      <c r="K3419" s="10">
        <v>46085.0</v>
      </c>
      <c r="L3419" s="6">
        <v>1.0</v>
      </c>
      <c r="M3419" s="8">
        <f t="shared" si="4"/>
        <v>0.1</v>
      </c>
      <c r="P3419" s="9"/>
    </row>
    <row r="3420">
      <c r="A3420" s="6" t="s">
        <v>7936</v>
      </c>
      <c r="B3420" s="6" t="s">
        <v>182</v>
      </c>
      <c r="C3420" s="6" t="s">
        <v>204</v>
      </c>
      <c r="D3420" s="6" t="s">
        <v>7937</v>
      </c>
      <c r="E3420" s="6" t="s">
        <v>185</v>
      </c>
      <c r="F3420" s="6" t="s">
        <v>186</v>
      </c>
      <c r="G3420" s="7">
        <v>0.17</v>
      </c>
      <c r="H3420" s="6" t="s">
        <v>187</v>
      </c>
      <c r="I3420" s="6" t="s">
        <v>20</v>
      </c>
      <c r="J3420" s="6">
        <v>1995.0</v>
      </c>
      <c r="L3420" s="6">
        <v>1.0</v>
      </c>
      <c r="M3420" s="8">
        <f t="shared" si="4"/>
        <v>0.17</v>
      </c>
      <c r="P3420" s="9"/>
    </row>
    <row r="3421">
      <c r="A3421" s="6" t="s">
        <v>7938</v>
      </c>
      <c r="B3421" s="6" t="s">
        <v>7939</v>
      </c>
      <c r="C3421" s="6" t="s">
        <v>377</v>
      </c>
      <c r="D3421" s="6" t="s">
        <v>7940</v>
      </c>
      <c r="E3421" s="6" t="s">
        <v>39</v>
      </c>
      <c r="F3421" s="6" t="s">
        <v>697</v>
      </c>
      <c r="G3421" s="7">
        <v>0.07</v>
      </c>
      <c r="H3421" s="6" t="s">
        <v>320</v>
      </c>
      <c r="I3421" s="6" t="s">
        <v>20</v>
      </c>
      <c r="J3421" s="6">
        <v>1995.0</v>
      </c>
      <c r="K3421" s="10">
        <v>46055.0</v>
      </c>
      <c r="L3421" s="6">
        <v>5.0</v>
      </c>
      <c r="M3421" s="8">
        <f t="shared" si="4"/>
        <v>0.35</v>
      </c>
      <c r="P3421" s="9"/>
    </row>
    <row r="3422">
      <c r="A3422" s="6" t="s">
        <v>7941</v>
      </c>
      <c r="B3422" s="6" t="s">
        <v>7942</v>
      </c>
      <c r="C3422" s="6" t="s">
        <v>15</v>
      </c>
      <c r="D3422" s="6" t="s">
        <v>7943</v>
      </c>
      <c r="E3422" s="6" t="s">
        <v>7944</v>
      </c>
      <c r="F3422" s="6" t="s">
        <v>665</v>
      </c>
      <c r="G3422" s="7">
        <v>0.44</v>
      </c>
      <c r="H3422" s="6" t="s">
        <v>27</v>
      </c>
      <c r="I3422" s="6" t="s">
        <v>20</v>
      </c>
      <c r="J3422" s="6">
        <v>2026.0</v>
      </c>
      <c r="K3422" s="10">
        <v>46082.0</v>
      </c>
      <c r="L3422" s="6">
        <v>1.0</v>
      </c>
      <c r="M3422" s="8">
        <f t="shared" si="4"/>
        <v>0.44</v>
      </c>
      <c r="P3422" s="9"/>
    </row>
    <row r="3423">
      <c r="A3423" s="6" t="s">
        <v>7945</v>
      </c>
      <c r="B3423" s="6" t="s">
        <v>254</v>
      </c>
      <c r="C3423" s="6" t="s">
        <v>43</v>
      </c>
      <c r="D3423" s="6" t="s">
        <v>7946</v>
      </c>
      <c r="E3423" s="6" t="s">
        <v>140</v>
      </c>
      <c r="F3423" s="6" t="s">
        <v>87</v>
      </c>
      <c r="G3423" s="7">
        <v>0.07</v>
      </c>
      <c r="H3423" s="6" t="s">
        <v>746</v>
      </c>
      <c r="I3423" s="6" t="s">
        <v>20</v>
      </c>
      <c r="J3423" s="6">
        <v>2024.0</v>
      </c>
      <c r="L3423" s="6">
        <v>1.0</v>
      </c>
      <c r="M3423" s="8">
        <f t="shared" si="4"/>
        <v>0.07</v>
      </c>
      <c r="P3423" s="9"/>
    </row>
    <row r="3424">
      <c r="A3424" s="6" t="s">
        <v>7947</v>
      </c>
      <c r="B3424" s="6" t="s">
        <v>2356</v>
      </c>
      <c r="C3424" s="6" t="s">
        <v>37</v>
      </c>
      <c r="D3424" s="6" t="s">
        <v>7948</v>
      </c>
      <c r="E3424" s="6" t="s">
        <v>86</v>
      </c>
      <c r="F3424" s="6" t="s">
        <v>87</v>
      </c>
      <c r="G3424" s="7">
        <v>0.08</v>
      </c>
      <c r="H3424" s="6" t="s">
        <v>922</v>
      </c>
      <c r="I3424" s="6" t="s">
        <v>20</v>
      </c>
      <c r="J3424" s="6">
        <v>2014.0</v>
      </c>
      <c r="K3424" s="10">
        <v>46024.0</v>
      </c>
      <c r="L3424" s="6">
        <v>1.0</v>
      </c>
      <c r="M3424" s="8">
        <f t="shared" si="4"/>
        <v>0.08</v>
      </c>
      <c r="P3424" s="9"/>
    </row>
    <row r="3425">
      <c r="A3425" s="6" t="s">
        <v>7949</v>
      </c>
      <c r="B3425" s="6" t="s">
        <v>7950</v>
      </c>
      <c r="C3425" s="6" t="s">
        <v>23</v>
      </c>
      <c r="D3425" s="6" t="s">
        <v>7951</v>
      </c>
      <c r="E3425" s="6" t="s">
        <v>1936</v>
      </c>
      <c r="F3425" s="6" t="s">
        <v>18</v>
      </c>
      <c r="G3425" s="7">
        <v>0.03</v>
      </c>
      <c r="H3425" s="6" t="s">
        <v>342</v>
      </c>
      <c r="I3425" s="6" t="s">
        <v>20</v>
      </c>
      <c r="J3425" s="6">
        <v>2014.0</v>
      </c>
      <c r="K3425" s="10">
        <v>46082.0</v>
      </c>
      <c r="L3425" s="6">
        <v>2.0</v>
      </c>
      <c r="M3425" s="8">
        <f t="shared" si="4"/>
        <v>0.06</v>
      </c>
      <c r="P3425" s="9"/>
    </row>
    <row r="3426">
      <c r="A3426" s="6" t="s">
        <v>7952</v>
      </c>
      <c r="B3426" s="6" t="s">
        <v>836</v>
      </c>
      <c r="C3426" s="6" t="s">
        <v>37</v>
      </c>
      <c r="D3426" s="6" t="s">
        <v>7953</v>
      </c>
      <c r="E3426" s="6" t="s">
        <v>140</v>
      </c>
      <c r="F3426" s="6" t="s">
        <v>87</v>
      </c>
      <c r="G3426" s="7">
        <v>0.18</v>
      </c>
      <c r="H3426" s="6" t="s">
        <v>3372</v>
      </c>
      <c r="I3426" s="6" t="s">
        <v>20</v>
      </c>
      <c r="J3426" s="6">
        <v>2003.0</v>
      </c>
      <c r="K3426" s="10">
        <v>46023.0</v>
      </c>
      <c r="L3426" s="6">
        <v>1.0</v>
      </c>
      <c r="M3426" s="8">
        <f t="shared" si="4"/>
        <v>0.18</v>
      </c>
      <c r="P3426" s="9"/>
    </row>
    <row r="3427">
      <c r="A3427" s="6" t="s">
        <v>7954</v>
      </c>
      <c r="B3427" s="6" t="s">
        <v>303</v>
      </c>
      <c r="C3427" s="6" t="s">
        <v>43</v>
      </c>
      <c r="D3427" s="6" t="s">
        <v>7955</v>
      </c>
      <c r="E3427" s="6" t="s">
        <v>125</v>
      </c>
      <c r="F3427" s="6" t="s">
        <v>40</v>
      </c>
      <c r="G3427" s="7">
        <v>0.05</v>
      </c>
      <c r="H3427" s="6" t="s">
        <v>1071</v>
      </c>
      <c r="I3427" s="6" t="s">
        <v>20</v>
      </c>
      <c r="J3427" s="6">
        <v>2012.0</v>
      </c>
      <c r="K3427" s="10">
        <v>46023.0</v>
      </c>
      <c r="L3427" s="6">
        <v>1.0</v>
      </c>
      <c r="M3427" s="8">
        <f t="shared" si="4"/>
        <v>0.05</v>
      </c>
      <c r="P3427" s="9"/>
    </row>
    <row r="3428">
      <c r="A3428" s="6" t="s">
        <v>7956</v>
      </c>
      <c r="B3428" s="6" t="s">
        <v>7957</v>
      </c>
      <c r="C3428" s="6" t="s">
        <v>43</v>
      </c>
      <c r="D3428" s="6" t="s">
        <v>7958</v>
      </c>
      <c r="E3428" s="6" t="s">
        <v>389</v>
      </c>
      <c r="F3428" s="6" t="s">
        <v>87</v>
      </c>
      <c r="G3428" s="7">
        <v>0.06</v>
      </c>
      <c r="H3428" s="6" t="s">
        <v>651</v>
      </c>
      <c r="I3428" s="6" t="s">
        <v>20</v>
      </c>
      <c r="J3428" s="6">
        <v>2022.0</v>
      </c>
      <c r="K3428" s="10">
        <v>46057.0</v>
      </c>
      <c r="L3428" s="6">
        <v>1.0</v>
      </c>
      <c r="M3428" s="8">
        <f t="shared" si="4"/>
        <v>0.06</v>
      </c>
      <c r="P3428" s="9"/>
    </row>
    <row r="3429">
      <c r="A3429" s="6" t="s">
        <v>7959</v>
      </c>
      <c r="B3429" s="6" t="s">
        <v>162</v>
      </c>
      <c r="C3429" s="6" t="s">
        <v>43</v>
      </c>
      <c r="D3429" s="6" t="s">
        <v>7960</v>
      </c>
      <c r="E3429" s="6" t="s">
        <v>140</v>
      </c>
      <c r="F3429" s="6" t="s">
        <v>87</v>
      </c>
      <c r="G3429" s="7">
        <v>0.1</v>
      </c>
      <c r="H3429" s="6" t="s">
        <v>144</v>
      </c>
      <c r="I3429" s="6" t="s">
        <v>20</v>
      </c>
      <c r="J3429" s="6">
        <v>2018.0</v>
      </c>
      <c r="L3429" s="6">
        <v>4.0</v>
      </c>
      <c r="M3429" s="8">
        <f t="shared" si="4"/>
        <v>0.4</v>
      </c>
      <c r="P3429" s="9"/>
    </row>
    <row r="3430">
      <c r="A3430" s="6" t="s">
        <v>7961</v>
      </c>
      <c r="B3430" s="6" t="s">
        <v>254</v>
      </c>
      <c r="C3430" s="6" t="s">
        <v>30</v>
      </c>
      <c r="D3430" s="6" t="s">
        <v>7962</v>
      </c>
      <c r="E3430" s="6" t="s">
        <v>822</v>
      </c>
      <c r="F3430" s="6" t="s">
        <v>77</v>
      </c>
      <c r="G3430" s="7">
        <v>0.48</v>
      </c>
      <c r="H3430" s="6" t="s">
        <v>313</v>
      </c>
      <c r="I3430" s="6" t="s">
        <v>20</v>
      </c>
      <c r="J3430" s="6">
        <v>1995.0</v>
      </c>
      <c r="L3430" s="6">
        <v>4.0</v>
      </c>
      <c r="M3430" s="8">
        <f t="shared" si="4"/>
        <v>1.92</v>
      </c>
      <c r="P3430" s="9"/>
    </row>
    <row r="3431">
      <c r="A3431" s="6" t="s">
        <v>7963</v>
      </c>
      <c r="B3431" s="6" t="s">
        <v>2980</v>
      </c>
      <c r="C3431" s="6" t="s">
        <v>30</v>
      </c>
      <c r="D3431" s="6" t="s">
        <v>7964</v>
      </c>
      <c r="E3431" s="6" t="s">
        <v>7965</v>
      </c>
      <c r="F3431" s="6" t="s">
        <v>519</v>
      </c>
      <c r="G3431" s="7">
        <v>0.2</v>
      </c>
      <c r="H3431" s="6" t="s">
        <v>431</v>
      </c>
      <c r="I3431" s="6" t="s">
        <v>20</v>
      </c>
      <c r="J3431" s="6">
        <v>2019.0</v>
      </c>
      <c r="L3431" s="6">
        <v>1.0</v>
      </c>
      <c r="M3431" s="8">
        <f t="shared" si="4"/>
        <v>0.2</v>
      </c>
      <c r="P3431" s="9"/>
    </row>
    <row r="3432">
      <c r="A3432" s="6" t="s">
        <v>7966</v>
      </c>
      <c r="B3432" s="6" t="s">
        <v>119</v>
      </c>
      <c r="C3432" s="6" t="s">
        <v>204</v>
      </c>
      <c r="D3432" s="6" t="s">
        <v>7967</v>
      </c>
      <c r="E3432" s="6" t="s">
        <v>57</v>
      </c>
      <c r="F3432" s="6" t="s">
        <v>40</v>
      </c>
      <c r="G3432" s="7">
        <v>0.49</v>
      </c>
      <c r="H3432" s="6" t="s">
        <v>379</v>
      </c>
      <c r="I3432" s="6" t="s">
        <v>20</v>
      </c>
      <c r="J3432" s="6">
        <v>1997.0</v>
      </c>
      <c r="L3432" s="6">
        <v>1.0</v>
      </c>
      <c r="M3432" s="8">
        <f t="shared" si="4"/>
        <v>0.49</v>
      </c>
      <c r="P3432" s="9"/>
    </row>
    <row r="3433">
      <c r="A3433" s="6" t="s">
        <v>7968</v>
      </c>
      <c r="B3433" s="6" t="s">
        <v>657</v>
      </c>
      <c r="C3433" s="6" t="s">
        <v>23</v>
      </c>
      <c r="D3433" s="6" t="s">
        <v>7969</v>
      </c>
      <c r="E3433" s="6" t="s">
        <v>814</v>
      </c>
      <c r="F3433" s="6" t="s">
        <v>87</v>
      </c>
      <c r="G3433" s="7">
        <v>0.1</v>
      </c>
      <c r="H3433" s="6" t="s">
        <v>153</v>
      </c>
      <c r="I3433" s="6" t="s">
        <v>20</v>
      </c>
      <c r="J3433" s="6">
        <v>2025.0</v>
      </c>
      <c r="L3433" s="6">
        <v>2.0</v>
      </c>
      <c r="M3433" s="8">
        <f t="shared" si="4"/>
        <v>0.2</v>
      </c>
      <c r="P3433" s="9"/>
    </row>
    <row r="3434">
      <c r="A3434" s="6" t="s">
        <v>7968</v>
      </c>
      <c r="B3434" s="6" t="s">
        <v>657</v>
      </c>
      <c r="C3434" s="6" t="s">
        <v>23</v>
      </c>
      <c r="D3434" s="6" t="s">
        <v>7969</v>
      </c>
      <c r="E3434" s="6" t="s">
        <v>1896</v>
      </c>
      <c r="F3434" s="6" t="s">
        <v>87</v>
      </c>
      <c r="G3434" s="7">
        <v>0.1</v>
      </c>
      <c r="H3434" s="6" t="s">
        <v>153</v>
      </c>
      <c r="I3434" s="6" t="s">
        <v>20</v>
      </c>
      <c r="J3434" s="6">
        <v>2025.0</v>
      </c>
      <c r="L3434" s="6">
        <v>2.0</v>
      </c>
      <c r="M3434" s="8">
        <f t="shared" si="4"/>
        <v>0.2</v>
      </c>
      <c r="P3434" s="9"/>
    </row>
    <row r="3435">
      <c r="A3435" s="6" t="s">
        <v>7970</v>
      </c>
      <c r="B3435" s="6" t="s">
        <v>2132</v>
      </c>
      <c r="C3435" s="6" t="s">
        <v>30</v>
      </c>
      <c r="D3435" s="6" t="s">
        <v>7971</v>
      </c>
      <c r="E3435" s="6" t="s">
        <v>389</v>
      </c>
      <c r="F3435" s="6" t="s">
        <v>87</v>
      </c>
      <c r="G3435" s="7">
        <v>0.32</v>
      </c>
      <c r="H3435" s="6" t="s">
        <v>34</v>
      </c>
      <c r="I3435" s="6" t="s">
        <v>20</v>
      </c>
      <c r="J3435" s="6">
        <v>2025.0</v>
      </c>
      <c r="K3435" s="10">
        <v>46116.0</v>
      </c>
      <c r="L3435" s="6">
        <v>1.0</v>
      </c>
      <c r="M3435" s="8">
        <f t="shared" si="4"/>
        <v>0.32</v>
      </c>
      <c r="P3435" s="9"/>
    </row>
    <row r="3436">
      <c r="A3436" s="6" t="s">
        <v>7972</v>
      </c>
      <c r="B3436" s="6" t="s">
        <v>4308</v>
      </c>
      <c r="C3436" s="6" t="s">
        <v>43</v>
      </c>
      <c r="D3436" s="6" t="s">
        <v>7973</v>
      </c>
      <c r="E3436" s="6" t="s">
        <v>7974</v>
      </c>
      <c r="F3436" s="6" t="s">
        <v>1244</v>
      </c>
      <c r="G3436" s="7">
        <v>0.1</v>
      </c>
      <c r="H3436" s="6" t="s">
        <v>471</v>
      </c>
      <c r="I3436" s="6" t="s">
        <v>20</v>
      </c>
      <c r="J3436" s="6">
        <v>2026.0</v>
      </c>
      <c r="K3436" s="10">
        <v>46084.0</v>
      </c>
      <c r="L3436" s="6">
        <v>1.0</v>
      </c>
      <c r="M3436" s="8">
        <f t="shared" si="4"/>
        <v>0.1</v>
      </c>
      <c r="P3436" s="9"/>
    </row>
    <row r="3437">
      <c r="A3437" s="6" t="s">
        <v>7975</v>
      </c>
      <c r="B3437" s="6" t="s">
        <v>7976</v>
      </c>
      <c r="C3437" s="6" t="s">
        <v>43</v>
      </c>
      <c r="D3437" s="6" t="s">
        <v>7977</v>
      </c>
      <c r="E3437" s="6" t="s">
        <v>164</v>
      </c>
      <c r="F3437" s="6" t="s">
        <v>112</v>
      </c>
      <c r="G3437" s="7">
        <v>0.05</v>
      </c>
      <c r="H3437" s="6" t="s">
        <v>88</v>
      </c>
      <c r="I3437" s="6" t="s">
        <v>20</v>
      </c>
      <c r="J3437" s="6">
        <v>2024.0</v>
      </c>
      <c r="K3437" s="10">
        <v>46025.0</v>
      </c>
      <c r="L3437" s="6">
        <v>1.0</v>
      </c>
      <c r="M3437" s="8">
        <f t="shared" si="4"/>
        <v>0.05</v>
      </c>
      <c r="P3437" s="9"/>
    </row>
    <row r="3438">
      <c r="A3438" s="6" t="s">
        <v>7978</v>
      </c>
      <c r="B3438" s="6" t="s">
        <v>74</v>
      </c>
      <c r="C3438" s="6" t="s">
        <v>37</v>
      </c>
      <c r="D3438" s="6" t="s">
        <v>7979</v>
      </c>
      <c r="E3438" s="6" t="s">
        <v>190</v>
      </c>
      <c r="F3438" s="6" t="s">
        <v>18</v>
      </c>
      <c r="G3438" s="7">
        <v>7.0</v>
      </c>
      <c r="H3438" s="6" t="s">
        <v>89</v>
      </c>
      <c r="I3438" s="6" t="s">
        <v>20</v>
      </c>
      <c r="J3438" s="6">
        <v>2021.0</v>
      </c>
      <c r="L3438" s="6">
        <v>1.0</v>
      </c>
      <c r="M3438" s="8">
        <f t="shared" si="4"/>
        <v>7</v>
      </c>
      <c r="N3438" s="6" t="s">
        <v>122</v>
      </c>
      <c r="P3438" s="9"/>
    </row>
    <row r="3439">
      <c r="A3439" s="6" t="s">
        <v>7980</v>
      </c>
      <c r="B3439" s="6" t="s">
        <v>5324</v>
      </c>
      <c r="C3439" s="6" t="s">
        <v>37</v>
      </c>
      <c r="D3439" s="6" t="s">
        <v>1500</v>
      </c>
      <c r="E3439" s="6" t="s">
        <v>7861</v>
      </c>
      <c r="F3439" s="6" t="s">
        <v>536</v>
      </c>
      <c r="G3439" s="7">
        <v>0.15</v>
      </c>
      <c r="H3439" s="6" t="s">
        <v>1048</v>
      </c>
      <c r="I3439" s="6" t="s">
        <v>20</v>
      </c>
      <c r="J3439" s="6">
        <v>2008.0</v>
      </c>
      <c r="K3439" s="10">
        <v>46056.0</v>
      </c>
      <c r="L3439" s="6">
        <v>1.0</v>
      </c>
      <c r="M3439" s="8">
        <f t="shared" si="4"/>
        <v>0.15</v>
      </c>
      <c r="P3439" s="9"/>
    </row>
    <row r="3440">
      <c r="A3440" s="6" t="s">
        <v>7981</v>
      </c>
      <c r="B3440" s="6" t="s">
        <v>5090</v>
      </c>
      <c r="C3440" s="6" t="s">
        <v>30</v>
      </c>
      <c r="D3440" s="6" t="s">
        <v>7982</v>
      </c>
      <c r="E3440" s="6" t="s">
        <v>176</v>
      </c>
      <c r="F3440" s="6" t="s">
        <v>77</v>
      </c>
      <c r="G3440" s="7">
        <v>0.15</v>
      </c>
      <c r="H3440" s="6" t="s">
        <v>460</v>
      </c>
      <c r="I3440" s="6" t="s">
        <v>20</v>
      </c>
      <c r="J3440" s="6">
        <v>2015.0</v>
      </c>
      <c r="K3440" s="10">
        <v>46056.0</v>
      </c>
      <c r="L3440" s="6">
        <v>3.0</v>
      </c>
      <c r="M3440" s="8">
        <f t="shared" si="4"/>
        <v>0.45</v>
      </c>
      <c r="P3440" s="9"/>
    </row>
    <row r="3441">
      <c r="A3441" s="6" t="s">
        <v>7983</v>
      </c>
      <c r="B3441" s="6" t="s">
        <v>2420</v>
      </c>
      <c r="C3441" s="6" t="s">
        <v>43</v>
      </c>
      <c r="D3441" s="6" t="s">
        <v>7984</v>
      </c>
      <c r="E3441" s="6" t="s">
        <v>57</v>
      </c>
      <c r="F3441" s="6" t="s">
        <v>40</v>
      </c>
      <c r="G3441" s="7">
        <v>0.1</v>
      </c>
      <c r="H3441" s="6" t="s">
        <v>34</v>
      </c>
      <c r="I3441" s="6" t="s">
        <v>20</v>
      </c>
      <c r="J3441" s="6">
        <v>2025.0</v>
      </c>
      <c r="K3441" s="10">
        <v>46084.0</v>
      </c>
      <c r="L3441" s="6">
        <v>1.0</v>
      </c>
      <c r="M3441" s="8">
        <f t="shared" si="4"/>
        <v>0.1</v>
      </c>
      <c r="P3441" s="9"/>
    </row>
    <row r="3442">
      <c r="A3442" s="6" t="s">
        <v>7983</v>
      </c>
      <c r="B3442" s="6" t="s">
        <v>2420</v>
      </c>
      <c r="C3442" s="6" t="s">
        <v>43</v>
      </c>
      <c r="D3442" s="6" t="s">
        <v>7984</v>
      </c>
      <c r="E3442" s="6" t="s">
        <v>57</v>
      </c>
      <c r="F3442" s="6" t="s">
        <v>40</v>
      </c>
      <c r="G3442" s="7">
        <v>0.1</v>
      </c>
      <c r="H3442" s="6" t="s">
        <v>34</v>
      </c>
      <c r="I3442" s="6" t="s">
        <v>20</v>
      </c>
      <c r="J3442" s="6">
        <v>2025.0</v>
      </c>
      <c r="K3442" s="10">
        <v>46084.0</v>
      </c>
      <c r="L3442" s="6">
        <v>2.0</v>
      </c>
      <c r="M3442" s="8">
        <f t="shared" si="4"/>
        <v>0.2</v>
      </c>
      <c r="P3442" s="9"/>
    </row>
    <row r="3443">
      <c r="A3443" s="6" t="s">
        <v>7985</v>
      </c>
      <c r="B3443" s="6" t="s">
        <v>2420</v>
      </c>
      <c r="C3443" s="6" t="s">
        <v>37</v>
      </c>
      <c r="D3443" s="6" t="s">
        <v>7986</v>
      </c>
      <c r="E3443" s="6" t="s">
        <v>135</v>
      </c>
      <c r="F3443" s="6" t="s">
        <v>40</v>
      </c>
      <c r="G3443" s="7">
        <v>0.15</v>
      </c>
      <c r="H3443" s="6" t="s">
        <v>34</v>
      </c>
      <c r="I3443" s="6" t="s">
        <v>20</v>
      </c>
      <c r="J3443" s="6">
        <v>2025.0</v>
      </c>
      <c r="K3443" s="10">
        <v>46055.0</v>
      </c>
      <c r="L3443" s="6">
        <v>1.0</v>
      </c>
      <c r="M3443" s="8">
        <f t="shared" si="4"/>
        <v>0.15</v>
      </c>
      <c r="P3443" s="9"/>
    </row>
    <row r="3444">
      <c r="A3444" s="6" t="s">
        <v>7987</v>
      </c>
      <c r="B3444" s="6" t="s">
        <v>42</v>
      </c>
      <c r="C3444" s="6" t="s">
        <v>43</v>
      </c>
      <c r="D3444" s="6" t="s">
        <v>7988</v>
      </c>
      <c r="E3444" s="6" t="s">
        <v>224</v>
      </c>
      <c r="F3444" s="6" t="s">
        <v>18</v>
      </c>
      <c r="G3444" s="7">
        <v>0.33</v>
      </c>
      <c r="H3444" s="6" t="s">
        <v>34</v>
      </c>
      <c r="I3444" s="6" t="s">
        <v>45</v>
      </c>
      <c r="J3444" s="6">
        <v>2025.0</v>
      </c>
      <c r="L3444" s="6">
        <v>1.0</v>
      </c>
      <c r="M3444" s="8">
        <f t="shared" si="4"/>
        <v>0.33</v>
      </c>
      <c r="P3444" s="9"/>
    </row>
    <row r="3445">
      <c r="A3445" s="6" t="s">
        <v>7989</v>
      </c>
      <c r="B3445" s="6" t="s">
        <v>192</v>
      </c>
      <c r="C3445" s="6" t="s">
        <v>37</v>
      </c>
      <c r="D3445" s="6" t="s">
        <v>7990</v>
      </c>
      <c r="E3445" s="6" t="s">
        <v>107</v>
      </c>
      <c r="F3445" s="6" t="s">
        <v>18</v>
      </c>
      <c r="G3445" s="7">
        <v>0.19</v>
      </c>
      <c r="H3445" s="6" t="s">
        <v>34</v>
      </c>
      <c r="I3445" s="6" t="s">
        <v>20</v>
      </c>
      <c r="J3445" s="6">
        <v>2025.0</v>
      </c>
      <c r="L3445" s="6">
        <v>1.0</v>
      </c>
      <c r="M3445" s="8">
        <f t="shared" si="4"/>
        <v>0.19</v>
      </c>
      <c r="P3445" s="9"/>
    </row>
    <row r="3446">
      <c r="A3446" s="6" t="s">
        <v>7991</v>
      </c>
      <c r="B3446" s="6" t="s">
        <v>254</v>
      </c>
      <c r="C3446" s="6" t="s">
        <v>43</v>
      </c>
      <c r="D3446" s="6" t="s">
        <v>7992</v>
      </c>
      <c r="E3446" s="6" t="s">
        <v>190</v>
      </c>
      <c r="F3446" s="6" t="s">
        <v>18</v>
      </c>
      <c r="G3446" s="7">
        <v>0.05</v>
      </c>
      <c r="H3446" s="6" t="s">
        <v>34</v>
      </c>
      <c r="I3446" s="6" t="s">
        <v>20</v>
      </c>
      <c r="J3446" s="6">
        <v>2025.0</v>
      </c>
      <c r="L3446" s="6">
        <v>3.0</v>
      </c>
      <c r="M3446" s="8">
        <f t="shared" si="4"/>
        <v>0.15</v>
      </c>
      <c r="P3446" s="9"/>
    </row>
    <row r="3447">
      <c r="A3447" s="6" t="s">
        <v>7993</v>
      </c>
      <c r="B3447" s="6" t="s">
        <v>494</v>
      </c>
      <c r="C3447" s="6" t="s">
        <v>43</v>
      </c>
      <c r="D3447" s="6" t="s">
        <v>7994</v>
      </c>
      <c r="E3447" s="6" t="s">
        <v>117</v>
      </c>
      <c r="F3447" s="6" t="s">
        <v>77</v>
      </c>
      <c r="G3447" s="7">
        <v>0.04</v>
      </c>
      <c r="H3447" s="6" t="s">
        <v>83</v>
      </c>
      <c r="I3447" s="6" t="s">
        <v>20</v>
      </c>
      <c r="J3447" s="6">
        <v>1995.0</v>
      </c>
      <c r="L3447" s="6">
        <v>4.0</v>
      </c>
      <c r="M3447" s="8">
        <f t="shared" si="4"/>
        <v>0.16</v>
      </c>
      <c r="P3447" s="9"/>
    </row>
    <row r="3448">
      <c r="A3448" s="6" t="s">
        <v>7993</v>
      </c>
      <c r="B3448" s="6" t="s">
        <v>494</v>
      </c>
      <c r="C3448" s="6" t="s">
        <v>43</v>
      </c>
      <c r="D3448" s="6" t="s">
        <v>7994</v>
      </c>
      <c r="E3448" s="6" t="s">
        <v>117</v>
      </c>
      <c r="F3448" s="6" t="s">
        <v>77</v>
      </c>
      <c r="G3448" s="7">
        <v>0.06</v>
      </c>
      <c r="H3448" s="6" t="s">
        <v>1064</v>
      </c>
      <c r="I3448" s="6" t="s">
        <v>20</v>
      </c>
      <c r="J3448" s="6">
        <v>1995.0</v>
      </c>
      <c r="L3448" s="6">
        <v>3.0</v>
      </c>
      <c r="M3448" s="8">
        <f t="shared" si="4"/>
        <v>0.18</v>
      </c>
      <c r="P3448" s="9"/>
    </row>
    <row r="3449">
      <c r="A3449" s="6" t="s">
        <v>7993</v>
      </c>
      <c r="B3449" s="6" t="s">
        <v>494</v>
      </c>
      <c r="C3449" s="6" t="s">
        <v>43</v>
      </c>
      <c r="D3449" s="6" t="s">
        <v>7994</v>
      </c>
      <c r="E3449" s="6" t="s">
        <v>117</v>
      </c>
      <c r="F3449" s="6" t="s">
        <v>77</v>
      </c>
      <c r="G3449" s="7">
        <v>0.09</v>
      </c>
      <c r="H3449" s="6" t="s">
        <v>453</v>
      </c>
      <c r="I3449" s="6" t="s">
        <v>20</v>
      </c>
      <c r="J3449" s="6">
        <v>1994.0</v>
      </c>
      <c r="L3449" s="6">
        <v>1.0</v>
      </c>
      <c r="M3449" s="8">
        <f t="shared" si="4"/>
        <v>0.09</v>
      </c>
      <c r="P3449" s="9"/>
    </row>
    <row r="3450">
      <c r="A3450" s="6" t="s">
        <v>7995</v>
      </c>
      <c r="B3450" s="6" t="s">
        <v>494</v>
      </c>
      <c r="C3450" s="6" t="s">
        <v>43</v>
      </c>
      <c r="D3450" s="6" t="s">
        <v>7996</v>
      </c>
      <c r="E3450" s="6" t="s">
        <v>190</v>
      </c>
      <c r="F3450" s="6" t="s">
        <v>18</v>
      </c>
      <c r="G3450" s="7">
        <v>0.33</v>
      </c>
      <c r="H3450" s="6" t="s">
        <v>1004</v>
      </c>
      <c r="I3450" s="6" t="s">
        <v>45</v>
      </c>
      <c r="J3450" s="6">
        <v>2022.0</v>
      </c>
      <c r="L3450" s="6">
        <v>1.0</v>
      </c>
      <c r="M3450" s="8">
        <f t="shared" si="4"/>
        <v>0.33</v>
      </c>
      <c r="P3450" s="9"/>
    </row>
    <row r="3451">
      <c r="A3451" s="6" t="s">
        <v>7997</v>
      </c>
      <c r="B3451" s="6" t="s">
        <v>219</v>
      </c>
      <c r="C3451" s="6" t="s">
        <v>43</v>
      </c>
      <c r="D3451" s="6" t="s">
        <v>7998</v>
      </c>
      <c r="E3451" s="6" t="s">
        <v>994</v>
      </c>
      <c r="F3451" s="6" t="s">
        <v>26</v>
      </c>
      <c r="G3451" s="7">
        <v>0.04</v>
      </c>
      <c r="H3451" s="6" t="s">
        <v>104</v>
      </c>
      <c r="I3451" s="6" t="s">
        <v>20</v>
      </c>
      <c r="J3451" s="6">
        <v>2019.0</v>
      </c>
      <c r="L3451" s="6">
        <v>1.0</v>
      </c>
      <c r="M3451" s="8">
        <f t="shared" si="4"/>
        <v>0.04</v>
      </c>
      <c r="P3451" s="9"/>
    </row>
    <row r="3452">
      <c r="A3452" s="6" t="s">
        <v>7999</v>
      </c>
      <c r="B3452" s="6" t="s">
        <v>7018</v>
      </c>
      <c r="C3452" s="6" t="s">
        <v>23</v>
      </c>
      <c r="D3452" s="6" t="s">
        <v>8000</v>
      </c>
      <c r="E3452" s="6" t="s">
        <v>201</v>
      </c>
      <c r="F3452" s="6" t="s">
        <v>40</v>
      </c>
      <c r="G3452" s="7">
        <v>0.1</v>
      </c>
      <c r="H3452" s="6" t="s">
        <v>153</v>
      </c>
      <c r="I3452" s="6" t="s">
        <v>20</v>
      </c>
      <c r="J3452" s="6">
        <v>2025.0</v>
      </c>
      <c r="K3452" s="10">
        <v>46055.0</v>
      </c>
      <c r="L3452" s="6">
        <v>10.0</v>
      </c>
      <c r="M3452" s="8">
        <f t="shared" si="4"/>
        <v>1</v>
      </c>
      <c r="P3452" s="9"/>
    </row>
    <row r="3453">
      <c r="A3453" s="6" t="s">
        <v>7999</v>
      </c>
      <c r="B3453" s="6" t="s">
        <v>7018</v>
      </c>
      <c r="C3453" s="6" t="s">
        <v>23</v>
      </c>
      <c r="D3453" s="6" t="s">
        <v>8000</v>
      </c>
      <c r="E3453" s="6" t="s">
        <v>201</v>
      </c>
      <c r="F3453" s="6" t="s">
        <v>40</v>
      </c>
      <c r="G3453" s="7">
        <v>0.25</v>
      </c>
      <c r="H3453" s="6" t="s">
        <v>153</v>
      </c>
      <c r="I3453" s="6" t="s">
        <v>45</v>
      </c>
      <c r="J3453" s="6">
        <v>2025.0</v>
      </c>
      <c r="K3453" s="10">
        <v>46055.0</v>
      </c>
      <c r="L3453" s="6">
        <v>1.0</v>
      </c>
      <c r="M3453" s="8">
        <f t="shared" si="4"/>
        <v>0.25</v>
      </c>
      <c r="P3453" s="9"/>
    </row>
    <row r="3454">
      <c r="A3454" s="6" t="s">
        <v>8001</v>
      </c>
      <c r="B3454" s="6" t="s">
        <v>7784</v>
      </c>
      <c r="C3454" s="6" t="s">
        <v>43</v>
      </c>
      <c r="D3454" s="6" t="s">
        <v>8002</v>
      </c>
      <c r="E3454" s="6" t="s">
        <v>389</v>
      </c>
      <c r="F3454" s="6" t="s">
        <v>87</v>
      </c>
      <c r="G3454" s="7">
        <v>0.05</v>
      </c>
      <c r="H3454" s="6" t="s">
        <v>89</v>
      </c>
      <c r="I3454" s="6" t="s">
        <v>20</v>
      </c>
      <c r="J3454" s="6">
        <v>2021.0</v>
      </c>
      <c r="K3454" s="10">
        <v>46175.0</v>
      </c>
      <c r="L3454" s="6">
        <v>1.0</v>
      </c>
      <c r="M3454" s="8">
        <f t="shared" si="4"/>
        <v>0.05</v>
      </c>
      <c r="P3454" s="9"/>
    </row>
    <row r="3455">
      <c r="A3455" s="6" t="s">
        <v>8001</v>
      </c>
      <c r="B3455" s="6" t="s">
        <v>7784</v>
      </c>
      <c r="C3455" s="6" t="s">
        <v>43</v>
      </c>
      <c r="D3455" s="6" t="s">
        <v>8002</v>
      </c>
      <c r="E3455" s="6" t="s">
        <v>389</v>
      </c>
      <c r="F3455" s="6" t="s">
        <v>87</v>
      </c>
      <c r="G3455" s="7">
        <v>0.25</v>
      </c>
      <c r="H3455" s="6" t="s">
        <v>89</v>
      </c>
      <c r="I3455" s="6" t="s">
        <v>45</v>
      </c>
      <c r="J3455" s="6">
        <v>2021.0</v>
      </c>
      <c r="K3455" s="10">
        <v>46175.0</v>
      </c>
      <c r="L3455" s="6">
        <v>1.0</v>
      </c>
      <c r="M3455" s="8">
        <f t="shared" si="4"/>
        <v>0.25</v>
      </c>
      <c r="P3455" s="9"/>
    </row>
    <row r="3456">
      <c r="A3456" s="6" t="s">
        <v>8003</v>
      </c>
      <c r="B3456" s="6" t="s">
        <v>331</v>
      </c>
      <c r="C3456" s="6" t="s">
        <v>30</v>
      </c>
      <c r="D3456" s="6" t="s">
        <v>8004</v>
      </c>
      <c r="E3456" s="6" t="s">
        <v>57</v>
      </c>
      <c r="F3456" s="6" t="s">
        <v>40</v>
      </c>
      <c r="G3456" s="7">
        <v>10.7</v>
      </c>
      <c r="H3456" s="6" t="s">
        <v>89</v>
      </c>
      <c r="I3456" s="6" t="s">
        <v>45</v>
      </c>
      <c r="J3456" s="6">
        <v>2021.0</v>
      </c>
      <c r="K3456" s="10">
        <v>46083.0</v>
      </c>
      <c r="L3456" s="6">
        <v>1.0</v>
      </c>
      <c r="M3456" s="8">
        <f t="shared" si="4"/>
        <v>10.7</v>
      </c>
      <c r="P3456" s="9"/>
    </row>
    <row r="3457">
      <c r="A3457" s="6" t="s">
        <v>8005</v>
      </c>
      <c r="B3457" s="6" t="s">
        <v>8006</v>
      </c>
      <c r="C3457" s="6" t="s">
        <v>37</v>
      </c>
      <c r="D3457" s="6" t="s">
        <v>8007</v>
      </c>
      <c r="E3457" s="6" t="s">
        <v>4393</v>
      </c>
      <c r="F3457" s="6" t="s">
        <v>112</v>
      </c>
      <c r="G3457" s="7">
        <v>0.1</v>
      </c>
      <c r="H3457" s="6" t="s">
        <v>136</v>
      </c>
      <c r="I3457" s="6" t="s">
        <v>20</v>
      </c>
      <c r="J3457" s="6">
        <v>2026.0</v>
      </c>
      <c r="K3457" s="10">
        <v>46210.0</v>
      </c>
      <c r="L3457" s="6">
        <v>1.0</v>
      </c>
      <c r="M3457" s="8">
        <f t="shared" si="4"/>
        <v>0.1</v>
      </c>
      <c r="P3457" s="9"/>
    </row>
    <row r="3458">
      <c r="A3458" s="6" t="s">
        <v>8008</v>
      </c>
      <c r="B3458" s="6" t="s">
        <v>3447</v>
      </c>
      <c r="C3458" s="6" t="s">
        <v>43</v>
      </c>
      <c r="E3458" s="6" t="s">
        <v>107</v>
      </c>
      <c r="F3458" s="6" t="s">
        <v>18</v>
      </c>
      <c r="G3458" s="7">
        <v>0.06</v>
      </c>
      <c r="H3458" s="6" t="s">
        <v>922</v>
      </c>
      <c r="I3458" s="6" t="s">
        <v>20</v>
      </c>
      <c r="J3458" s="6">
        <v>2014.0</v>
      </c>
      <c r="K3458" s="10">
        <v>46024.0</v>
      </c>
      <c r="L3458" s="6">
        <v>5.0</v>
      </c>
      <c r="M3458" s="8">
        <f t="shared" si="4"/>
        <v>0.3</v>
      </c>
      <c r="P3458" s="9"/>
    </row>
    <row r="3459">
      <c r="A3459" s="6" t="s">
        <v>8009</v>
      </c>
      <c r="B3459" s="6" t="s">
        <v>192</v>
      </c>
      <c r="C3459" s="6" t="s">
        <v>37</v>
      </c>
      <c r="D3459" s="6" t="s">
        <v>8010</v>
      </c>
      <c r="E3459" s="6" t="s">
        <v>25</v>
      </c>
      <c r="F3459" s="6" t="s">
        <v>26</v>
      </c>
      <c r="G3459" s="7">
        <v>0.16</v>
      </c>
      <c r="H3459" s="6" t="s">
        <v>187</v>
      </c>
      <c r="I3459" s="6" t="s">
        <v>20</v>
      </c>
      <c r="J3459" s="6">
        <v>1995.0</v>
      </c>
      <c r="L3459" s="6">
        <v>2.0</v>
      </c>
      <c r="M3459" s="8">
        <f t="shared" si="4"/>
        <v>0.32</v>
      </c>
      <c r="P3459" s="9"/>
    </row>
    <row r="3460">
      <c r="A3460" s="6" t="s">
        <v>8011</v>
      </c>
      <c r="B3460" s="6" t="s">
        <v>599</v>
      </c>
      <c r="C3460" s="6" t="s">
        <v>23</v>
      </c>
      <c r="D3460" s="6" t="s">
        <v>8012</v>
      </c>
      <c r="E3460" s="6" t="s">
        <v>7450</v>
      </c>
      <c r="F3460" s="6" t="s">
        <v>18</v>
      </c>
      <c r="G3460" s="7">
        <v>0.08</v>
      </c>
      <c r="H3460" s="6" t="s">
        <v>130</v>
      </c>
      <c r="I3460" s="6" t="s">
        <v>20</v>
      </c>
      <c r="J3460" s="6">
        <v>2014.0</v>
      </c>
      <c r="L3460" s="6">
        <v>1.0</v>
      </c>
      <c r="M3460" s="8">
        <f t="shared" si="4"/>
        <v>0.08</v>
      </c>
      <c r="P3460" s="9"/>
    </row>
    <row r="3461">
      <c r="A3461" s="6" t="s">
        <v>8013</v>
      </c>
      <c r="B3461" s="6" t="s">
        <v>74</v>
      </c>
      <c r="C3461" s="6" t="s">
        <v>43</v>
      </c>
      <c r="D3461" s="6" t="s">
        <v>8014</v>
      </c>
      <c r="E3461" s="6" t="s">
        <v>117</v>
      </c>
      <c r="F3461" s="6" t="s">
        <v>77</v>
      </c>
      <c r="G3461" s="7">
        <v>0.19</v>
      </c>
      <c r="H3461" s="6" t="s">
        <v>787</v>
      </c>
      <c r="I3461" s="6" t="s">
        <v>20</v>
      </c>
      <c r="J3461" s="6">
        <v>2023.0</v>
      </c>
      <c r="L3461" s="6">
        <v>1.0</v>
      </c>
      <c r="M3461" s="8">
        <f t="shared" si="4"/>
        <v>0.19</v>
      </c>
      <c r="P3461" s="9"/>
    </row>
    <row r="3462">
      <c r="A3462" s="6" t="s">
        <v>8015</v>
      </c>
      <c r="B3462" s="6" t="s">
        <v>8016</v>
      </c>
      <c r="C3462" s="6" t="s">
        <v>37</v>
      </c>
      <c r="D3462" s="6" t="s">
        <v>8017</v>
      </c>
      <c r="E3462" s="6" t="s">
        <v>248</v>
      </c>
      <c r="F3462" s="6" t="s">
        <v>77</v>
      </c>
      <c r="G3462" s="7">
        <v>0.75</v>
      </c>
      <c r="H3462" s="6" t="s">
        <v>113</v>
      </c>
      <c r="I3462" s="6" t="s">
        <v>20</v>
      </c>
      <c r="J3462" s="6">
        <v>2023.0</v>
      </c>
      <c r="K3462" s="10">
        <v>46055.0</v>
      </c>
      <c r="L3462" s="6">
        <v>1.0</v>
      </c>
      <c r="M3462" s="8">
        <f t="shared" si="4"/>
        <v>0.75</v>
      </c>
      <c r="P3462" s="9"/>
    </row>
    <row r="3463">
      <c r="A3463" s="6" t="s">
        <v>8018</v>
      </c>
      <c r="B3463" s="6" t="s">
        <v>115</v>
      </c>
      <c r="C3463" s="6" t="s">
        <v>366</v>
      </c>
      <c r="D3463" s="6" t="s">
        <v>8019</v>
      </c>
      <c r="E3463" s="6" t="s">
        <v>8020</v>
      </c>
      <c r="F3463" s="6" t="s">
        <v>665</v>
      </c>
      <c r="G3463" s="7">
        <v>1.99</v>
      </c>
      <c r="H3463" s="6" t="s">
        <v>8021</v>
      </c>
      <c r="I3463" s="6" t="s">
        <v>20</v>
      </c>
      <c r="J3463" s="6">
        <v>2013.0</v>
      </c>
      <c r="L3463" s="6">
        <v>1.0</v>
      </c>
      <c r="M3463" s="8">
        <f t="shared" si="4"/>
        <v>1.99</v>
      </c>
      <c r="P3463" s="9"/>
    </row>
    <row r="3464">
      <c r="A3464" s="6" t="s">
        <v>8022</v>
      </c>
      <c r="B3464" s="6" t="s">
        <v>213</v>
      </c>
      <c r="C3464" s="6" t="s">
        <v>23</v>
      </c>
      <c r="D3464" s="6" t="s">
        <v>8023</v>
      </c>
      <c r="E3464" s="6" t="s">
        <v>8024</v>
      </c>
      <c r="F3464" s="6" t="s">
        <v>40</v>
      </c>
      <c r="G3464" s="7">
        <v>0.1</v>
      </c>
      <c r="H3464" s="6" t="s">
        <v>153</v>
      </c>
      <c r="I3464" s="6" t="s">
        <v>20</v>
      </c>
      <c r="J3464" s="6">
        <v>2025.0</v>
      </c>
      <c r="L3464" s="6">
        <v>10.0</v>
      </c>
      <c r="M3464" s="8">
        <f t="shared" si="4"/>
        <v>1</v>
      </c>
      <c r="P3464" s="9"/>
    </row>
    <row r="3465">
      <c r="A3465" s="6" t="s">
        <v>8022</v>
      </c>
      <c r="B3465" s="6" t="s">
        <v>213</v>
      </c>
      <c r="C3465" s="6" t="s">
        <v>23</v>
      </c>
      <c r="D3465" s="6" t="s">
        <v>8023</v>
      </c>
      <c r="E3465" s="6" t="s">
        <v>8024</v>
      </c>
      <c r="F3465" s="6" t="s">
        <v>40</v>
      </c>
      <c r="G3465" s="7">
        <v>0.35</v>
      </c>
      <c r="H3465" s="6" t="s">
        <v>153</v>
      </c>
      <c r="I3465" s="6" t="s">
        <v>45</v>
      </c>
      <c r="J3465" s="6">
        <v>2025.0</v>
      </c>
      <c r="L3465" s="6">
        <v>1.0</v>
      </c>
      <c r="M3465" s="8">
        <f t="shared" si="4"/>
        <v>0.35</v>
      </c>
      <c r="P3465" s="9"/>
    </row>
    <row r="3466">
      <c r="A3466" s="6" t="s">
        <v>8025</v>
      </c>
      <c r="B3466" s="6" t="s">
        <v>52</v>
      </c>
      <c r="C3466" s="6" t="s">
        <v>37</v>
      </c>
      <c r="D3466" s="6" t="s">
        <v>8026</v>
      </c>
      <c r="F3466" s="6" t="s">
        <v>26</v>
      </c>
      <c r="G3466" s="7">
        <v>0.24</v>
      </c>
      <c r="H3466" s="6" t="s">
        <v>34</v>
      </c>
      <c r="I3466" s="6" t="s">
        <v>20</v>
      </c>
      <c r="J3466" s="6">
        <v>2025.0</v>
      </c>
      <c r="L3466" s="6">
        <v>1.0</v>
      </c>
      <c r="M3466" s="8">
        <f t="shared" si="4"/>
        <v>0.24</v>
      </c>
      <c r="P3466" s="9"/>
    </row>
    <row r="3467">
      <c r="A3467" s="6" t="s">
        <v>8027</v>
      </c>
      <c r="B3467" s="6" t="s">
        <v>2420</v>
      </c>
      <c r="C3467" s="6" t="s">
        <v>37</v>
      </c>
      <c r="D3467" s="6" t="s">
        <v>8028</v>
      </c>
      <c r="E3467" s="6" t="s">
        <v>1243</v>
      </c>
      <c r="F3467" s="6" t="s">
        <v>1244</v>
      </c>
      <c r="G3467" s="7">
        <v>0.15</v>
      </c>
      <c r="H3467" s="6" t="s">
        <v>34</v>
      </c>
      <c r="I3467" s="6" t="s">
        <v>20</v>
      </c>
      <c r="J3467" s="6">
        <v>2025.0</v>
      </c>
      <c r="K3467" s="10">
        <v>46083.0</v>
      </c>
      <c r="L3467" s="6">
        <v>1.0</v>
      </c>
      <c r="M3467" s="8">
        <f t="shared" si="4"/>
        <v>0.15</v>
      </c>
      <c r="P3467" s="9"/>
    </row>
    <row r="3468">
      <c r="A3468" s="6" t="s">
        <v>8029</v>
      </c>
      <c r="B3468" s="6" t="s">
        <v>1517</v>
      </c>
      <c r="C3468" s="6" t="s">
        <v>43</v>
      </c>
      <c r="D3468" s="6" t="s">
        <v>8030</v>
      </c>
      <c r="E3468" s="6" t="s">
        <v>135</v>
      </c>
      <c r="F3468" s="6" t="s">
        <v>40</v>
      </c>
      <c r="G3468" s="7">
        <v>0.06</v>
      </c>
      <c r="H3468" s="6" t="s">
        <v>488</v>
      </c>
      <c r="I3468" s="6" t="s">
        <v>20</v>
      </c>
      <c r="J3468" s="6">
        <v>2023.0</v>
      </c>
      <c r="K3468" s="10">
        <v>46055.0</v>
      </c>
      <c r="L3468" s="6">
        <v>1.0</v>
      </c>
      <c r="M3468" s="8">
        <f t="shared" si="4"/>
        <v>0.06</v>
      </c>
      <c r="P3468" s="9"/>
    </row>
    <row r="3469">
      <c r="A3469" s="6" t="s">
        <v>8031</v>
      </c>
      <c r="B3469" s="6" t="s">
        <v>3030</v>
      </c>
      <c r="C3469" s="6" t="s">
        <v>15</v>
      </c>
      <c r="D3469" s="6" t="s">
        <v>8032</v>
      </c>
      <c r="E3469" s="6" t="s">
        <v>7450</v>
      </c>
      <c r="F3469" s="6" t="s">
        <v>18</v>
      </c>
      <c r="G3469" s="7">
        <v>0.06</v>
      </c>
      <c r="H3469" s="6" t="s">
        <v>342</v>
      </c>
      <c r="I3469" s="6" t="s">
        <v>20</v>
      </c>
      <c r="J3469" s="6">
        <v>2014.0</v>
      </c>
      <c r="K3469" s="10">
        <v>46116.0</v>
      </c>
      <c r="L3469" s="6">
        <v>1.0</v>
      </c>
      <c r="M3469" s="8">
        <f t="shared" si="4"/>
        <v>0.06</v>
      </c>
      <c r="P3469" s="9"/>
    </row>
    <row r="3470">
      <c r="A3470" s="6" t="s">
        <v>8033</v>
      </c>
      <c r="B3470" s="6" t="s">
        <v>74</v>
      </c>
      <c r="C3470" s="6" t="s">
        <v>37</v>
      </c>
      <c r="D3470" s="6" t="s">
        <v>8034</v>
      </c>
      <c r="E3470" s="6" t="s">
        <v>224</v>
      </c>
      <c r="F3470" s="6" t="s">
        <v>18</v>
      </c>
      <c r="G3470" s="7">
        <v>0.04</v>
      </c>
      <c r="H3470" s="6" t="s">
        <v>655</v>
      </c>
      <c r="I3470" s="6" t="s">
        <v>20</v>
      </c>
      <c r="J3470" s="6">
        <v>2023.0</v>
      </c>
      <c r="L3470" s="6">
        <v>1.0</v>
      </c>
      <c r="M3470" s="8">
        <f t="shared" si="4"/>
        <v>0.04</v>
      </c>
      <c r="P3470" s="9"/>
    </row>
    <row r="3471">
      <c r="A3471" s="6" t="s">
        <v>8035</v>
      </c>
      <c r="B3471" s="6" t="s">
        <v>1468</v>
      </c>
      <c r="C3471" s="6" t="s">
        <v>43</v>
      </c>
      <c r="E3471" s="6" t="s">
        <v>185</v>
      </c>
      <c r="F3471" s="6" t="s">
        <v>26</v>
      </c>
      <c r="G3471" s="7">
        <v>0.05</v>
      </c>
      <c r="H3471" s="6" t="s">
        <v>415</v>
      </c>
      <c r="I3471" s="6" t="s">
        <v>20</v>
      </c>
      <c r="J3471" s="6">
        <v>2016.0</v>
      </c>
      <c r="K3471" s="10">
        <v>46025.0</v>
      </c>
      <c r="L3471" s="6">
        <v>1.0</v>
      </c>
      <c r="M3471" s="8">
        <f t="shared" si="4"/>
        <v>0.05</v>
      </c>
      <c r="N3471" s="6" t="s">
        <v>374</v>
      </c>
      <c r="P3471" s="9"/>
    </row>
    <row r="3472">
      <c r="A3472" s="6" t="s">
        <v>8036</v>
      </c>
      <c r="B3472" s="6" t="s">
        <v>8037</v>
      </c>
      <c r="C3472" s="6" t="s">
        <v>37</v>
      </c>
      <c r="D3472" s="6" t="s">
        <v>8038</v>
      </c>
      <c r="E3472" s="6" t="s">
        <v>248</v>
      </c>
      <c r="F3472" s="6" t="s">
        <v>77</v>
      </c>
      <c r="G3472" s="7">
        <v>0.1</v>
      </c>
      <c r="H3472" s="6" t="s">
        <v>228</v>
      </c>
      <c r="I3472" s="6" t="s">
        <v>20</v>
      </c>
      <c r="J3472" s="6">
        <v>2025.0</v>
      </c>
      <c r="K3472" s="10">
        <v>46085.0</v>
      </c>
      <c r="L3472" s="6">
        <v>1.0</v>
      </c>
      <c r="M3472" s="8">
        <f t="shared" si="4"/>
        <v>0.1</v>
      </c>
      <c r="P3472" s="9"/>
    </row>
    <row r="3473">
      <c r="A3473" s="6" t="s">
        <v>8039</v>
      </c>
      <c r="B3473" s="6" t="s">
        <v>8040</v>
      </c>
      <c r="C3473" s="6" t="s">
        <v>204</v>
      </c>
      <c r="D3473" s="6" t="s">
        <v>8041</v>
      </c>
      <c r="E3473" s="6" t="s">
        <v>57</v>
      </c>
      <c r="F3473" s="6" t="s">
        <v>40</v>
      </c>
      <c r="G3473" s="7">
        <v>0.09</v>
      </c>
      <c r="H3473" s="6" t="s">
        <v>206</v>
      </c>
      <c r="I3473" s="6" t="s">
        <v>20</v>
      </c>
      <c r="J3473" s="6">
        <v>1996.0</v>
      </c>
      <c r="K3473" s="10">
        <v>46023.0</v>
      </c>
      <c r="L3473" s="6">
        <v>1.0</v>
      </c>
      <c r="M3473" s="8">
        <f t="shared" si="4"/>
        <v>0.09</v>
      </c>
      <c r="P3473" s="9"/>
    </row>
    <row r="3474">
      <c r="A3474" s="6" t="s">
        <v>8042</v>
      </c>
      <c r="B3474" s="6" t="s">
        <v>556</v>
      </c>
      <c r="C3474" s="6" t="s">
        <v>30</v>
      </c>
      <c r="D3474" s="6" t="s">
        <v>8043</v>
      </c>
      <c r="E3474" s="6" t="s">
        <v>329</v>
      </c>
      <c r="F3474" s="6" t="s">
        <v>112</v>
      </c>
      <c r="G3474" s="7">
        <v>0.25</v>
      </c>
      <c r="H3474" s="6" t="s">
        <v>6677</v>
      </c>
      <c r="I3474" s="6" t="s">
        <v>20</v>
      </c>
      <c r="J3474" s="6">
        <v>2016.0</v>
      </c>
      <c r="K3474" s="10">
        <v>46023.0</v>
      </c>
      <c r="L3474" s="6">
        <v>1.0</v>
      </c>
      <c r="M3474" s="8">
        <f t="shared" si="4"/>
        <v>0.25</v>
      </c>
      <c r="P3474" s="9"/>
    </row>
    <row r="3475">
      <c r="A3475" s="6" t="s">
        <v>8044</v>
      </c>
      <c r="B3475" s="6" t="s">
        <v>162</v>
      </c>
      <c r="C3475" s="6" t="s">
        <v>43</v>
      </c>
      <c r="D3475" s="6" t="s">
        <v>8045</v>
      </c>
      <c r="E3475" s="6" t="s">
        <v>5256</v>
      </c>
      <c r="F3475" s="6" t="s">
        <v>112</v>
      </c>
      <c r="G3475" s="7">
        <v>0.06</v>
      </c>
      <c r="H3475" s="6" t="s">
        <v>148</v>
      </c>
      <c r="I3475" s="6" t="s">
        <v>20</v>
      </c>
      <c r="J3475" s="6">
        <v>2026.0</v>
      </c>
      <c r="L3475" s="6">
        <v>1.0</v>
      </c>
      <c r="M3475" s="8">
        <f t="shared" si="4"/>
        <v>0.06</v>
      </c>
      <c r="P3475" s="9"/>
    </row>
    <row r="3476">
      <c r="A3476" s="6" t="s">
        <v>8046</v>
      </c>
      <c r="B3476" s="6" t="s">
        <v>8047</v>
      </c>
      <c r="C3476" s="6" t="s">
        <v>43</v>
      </c>
      <c r="D3476" s="6" t="s">
        <v>8048</v>
      </c>
      <c r="E3476" s="6" t="s">
        <v>863</v>
      </c>
      <c r="F3476" s="6" t="s">
        <v>112</v>
      </c>
      <c r="G3476" s="7">
        <v>0.1</v>
      </c>
      <c r="H3476" s="6" t="s">
        <v>471</v>
      </c>
      <c r="I3476" s="6" t="s">
        <v>20</v>
      </c>
      <c r="J3476" s="6">
        <v>2026.0</v>
      </c>
      <c r="K3476" s="10">
        <v>46148.0</v>
      </c>
      <c r="L3476" s="6">
        <v>1.0</v>
      </c>
      <c r="M3476" s="8">
        <f t="shared" si="4"/>
        <v>0.1</v>
      </c>
      <c r="P3476" s="9"/>
    </row>
    <row r="3477">
      <c r="A3477" s="6" t="s">
        <v>8049</v>
      </c>
      <c r="B3477" s="6" t="s">
        <v>2405</v>
      </c>
      <c r="C3477" s="6" t="s">
        <v>43</v>
      </c>
      <c r="D3477" s="6" t="s">
        <v>8050</v>
      </c>
      <c r="E3477" s="6" t="s">
        <v>179</v>
      </c>
      <c r="F3477" s="6" t="s">
        <v>112</v>
      </c>
      <c r="G3477" s="7">
        <v>0.25</v>
      </c>
      <c r="H3477" s="6" t="s">
        <v>104</v>
      </c>
      <c r="I3477" s="6" t="s">
        <v>45</v>
      </c>
      <c r="J3477" s="6">
        <v>2019.0</v>
      </c>
      <c r="K3477" s="10">
        <v>46023.0</v>
      </c>
      <c r="L3477" s="6">
        <v>1.0</v>
      </c>
      <c r="M3477" s="8">
        <f t="shared" si="4"/>
        <v>0.25</v>
      </c>
      <c r="P3477" s="9"/>
    </row>
    <row r="3478">
      <c r="A3478" s="6" t="s">
        <v>8051</v>
      </c>
      <c r="B3478" s="6" t="s">
        <v>74</v>
      </c>
      <c r="C3478" s="6" t="s">
        <v>37</v>
      </c>
      <c r="D3478" s="6" t="s">
        <v>8052</v>
      </c>
      <c r="E3478" s="6" t="s">
        <v>135</v>
      </c>
      <c r="F3478" s="6" t="s">
        <v>40</v>
      </c>
      <c r="G3478" s="7">
        <v>0.09</v>
      </c>
      <c r="H3478" s="6" t="s">
        <v>336</v>
      </c>
      <c r="I3478" s="6" t="s">
        <v>20</v>
      </c>
      <c r="J3478" s="6">
        <v>2020.0</v>
      </c>
      <c r="L3478" s="6">
        <v>1.0</v>
      </c>
      <c r="M3478" s="8">
        <f t="shared" si="4"/>
        <v>0.09</v>
      </c>
      <c r="P3478" s="9"/>
    </row>
    <row r="3479">
      <c r="A3479" s="6" t="s">
        <v>8053</v>
      </c>
      <c r="B3479" s="6" t="s">
        <v>850</v>
      </c>
      <c r="C3479" s="6" t="s">
        <v>15</v>
      </c>
      <c r="D3479" s="6" t="s">
        <v>8054</v>
      </c>
      <c r="E3479" s="6" t="s">
        <v>852</v>
      </c>
      <c r="F3479" s="6" t="s">
        <v>18</v>
      </c>
      <c r="G3479" s="7">
        <v>0.13</v>
      </c>
      <c r="H3479" s="6" t="s">
        <v>130</v>
      </c>
      <c r="I3479" s="6" t="s">
        <v>20</v>
      </c>
      <c r="J3479" s="6">
        <v>2014.0</v>
      </c>
      <c r="K3479" s="10">
        <v>46054.0</v>
      </c>
      <c r="L3479" s="6">
        <v>1.0</v>
      </c>
      <c r="M3479" s="8">
        <f t="shared" si="4"/>
        <v>0.13</v>
      </c>
      <c r="P3479" s="9"/>
    </row>
    <row r="3480">
      <c r="A3480" s="6" t="s">
        <v>8055</v>
      </c>
      <c r="B3480" s="6" t="s">
        <v>606</v>
      </c>
      <c r="C3480" s="6" t="s">
        <v>23</v>
      </c>
      <c r="D3480" s="6" t="s">
        <v>8056</v>
      </c>
      <c r="E3480" s="6" t="s">
        <v>6856</v>
      </c>
      <c r="F3480" s="6" t="s">
        <v>665</v>
      </c>
      <c r="G3480" s="7">
        <v>0.08</v>
      </c>
      <c r="H3480" s="6" t="s">
        <v>617</v>
      </c>
      <c r="I3480" s="6" t="s">
        <v>20</v>
      </c>
      <c r="J3480" s="6">
        <v>2026.0</v>
      </c>
      <c r="L3480" s="6">
        <v>2.0</v>
      </c>
      <c r="M3480" s="8">
        <f t="shared" si="4"/>
        <v>0.16</v>
      </c>
      <c r="P3480" s="9"/>
    </row>
    <row r="3481">
      <c r="A3481" s="6" t="s">
        <v>8057</v>
      </c>
      <c r="B3481" s="6" t="s">
        <v>1844</v>
      </c>
      <c r="C3481" s="6" t="s">
        <v>43</v>
      </c>
      <c r="D3481" s="6" t="s">
        <v>1500</v>
      </c>
      <c r="E3481" s="6" t="s">
        <v>98</v>
      </c>
      <c r="F3481" s="6" t="s">
        <v>18</v>
      </c>
      <c r="G3481" s="7">
        <v>0.03</v>
      </c>
      <c r="H3481" s="6" t="s">
        <v>506</v>
      </c>
      <c r="I3481" s="6" t="s">
        <v>20</v>
      </c>
      <c r="J3481" s="6">
        <v>2016.0</v>
      </c>
      <c r="K3481" s="10">
        <v>46055.0</v>
      </c>
      <c r="L3481" s="6">
        <v>2.0</v>
      </c>
      <c r="M3481" s="8">
        <f t="shared" si="4"/>
        <v>0.06</v>
      </c>
      <c r="P3481" s="9"/>
    </row>
    <row r="3482">
      <c r="A3482" s="6" t="s">
        <v>8057</v>
      </c>
      <c r="B3482" s="6" t="s">
        <v>1844</v>
      </c>
      <c r="C3482" s="6" t="s">
        <v>43</v>
      </c>
      <c r="D3482" s="6" t="s">
        <v>1500</v>
      </c>
      <c r="E3482" s="6" t="s">
        <v>98</v>
      </c>
      <c r="F3482" s="6" t="s">
        <v>18</v>
      </c>
      <c r="G3482" s="7">
        <v>0.25</v>
      </c>
      <c r="H3482" s="6" t="s">
        <v>8058</v>
      </c>
      <c r="I3482" s="6" t="s">
        <v>45</v>
      </c>
      <c r="J3482" s="6">
        <v>2013.0</v>
      </c>
      <c r="K3482" s="10">
        <v>46055.0</v>
      </c>
      <c r="L3482" s="6">
        <v>1.0</v>
      </c>
      <c r="M3482" s="8">
        <f t="shared" si="4"/>
        <v>0.25</v>
      </c>
      <c r="P3482" s="9"/>
    </row>
    <row r="3483">
      <c r="A3483" s="6" t="s">
        <v>8057</v>
      </c>
      <c r="B3483" s="6" t="s">
        <v>1844</v>
      </c>
      <c r="C3483" s="6" t="s">
        <v>43</v>
      </c>
      <c r="D3483" s="6" t="s">
        <v>1500</v>
      </c>
      <c r="E3483" s="6" t="s">
        <v>98</v>
      </c>
      <c r="F3483" s="6" t="s">
        <v>18</v>
      </c>
      <c r="G3483" s="7">
        <v>0.06</v>
      </c>
      <c r="H3483" s="6" t="s">
        <v>2168</v>
      </c>
      <c r="I3483" s="6" t="s">
        <v>20</v>
      </c>
      <c r="J3483" s="6">
        <v>2019.0</v>
      </c>
      <c r="K3483" s="10">
        <v>46055.0</v>
      </c>
      <c r="L3483" s="6">
        <v>2.0</v>
      </c>
      <c r="M3483" s="8">
        <f t="shared" si="4"/>
        <v>0.12</v>
      </c>
      <c r="P3483" s="9"/>
    </row>
    <row r="3484">
      <c r="A3484" s="6" t="s">
        <v>8059</v>
      </c>
      <c r="B3484" s="6" t="s">
        <v>170</v>
      </c>
      <c r="C3484" s="6" t="s">
        <v>156</v>
      </c>
      <c r="D3484" s="6" t="s">
        <v>8060</v>
      </c>
      <c r="E3484" s="6" t="s">
        <v>172</v>
      </c>
      <c r="F3484" s="6" t="s">
        <v>26</v>
      </c>
      <c r="G3484" s="7">
        <v>0.2</v>
      </c>
      <c r="H3484" s="6" t="s">
        <v>153</v>
      </c>
      <c r="I3484" s="6" t="s">
        <v>20</v>
      </c>
      <c r="J3484" s="6">
        <v>2025.0</v>
      </c>
      <c r="L3484" s="6">
        <v>4.0</v>
      </c>
      <c r="M3484" s="8">
        <f t="shared" si="4"/>
        <v>0.8</v>
      </c>
      <c r="P3484" s="9"/>
    </row>
    <row r="3485">
      <c r="A3485" s="6" t="s">
        <v>8061</v>
      </c>
      <c r="B3485" s="6" t="s">
        <v>8062</v>
      </c>
      <c r="C3485" s="6" t="s">
        <v>37</v>
      </c>
      <c r="D3485" s="6" t="s">
        <v>8063</v>
      </c>
      <c r="E3485" s="6" t="s">
        <v>86</v>
      </c>
      <c r="F3485" s="6" t="s">
        <v>87</v>
      </c>
      <c r="G3485" s="7">
        <v>0.15</v>
      </c>
      <c r="H3485" s="6" t="s">
        <v>136</v>
      </c>
      <c r="I3485" s="6" t="s">
        <v>20</v>
      </c>
      <c r="J3485" s="6">
        <v>2026.0</v>
      </c>
      <c r="K3485" s="10">
        <v>46054.0</v>
      </c>
      <c r="L3485" s="6">
        <v>1.0</v>
      </c>
      <c r="M3485" s="8">
        <f t="shared" si="4"/>
        <v>0.15</v>
      </c>
      <c r="P3485" s="9"/>
    </row>
    <row r="3486">
      <c r="A3486" s="6" t="s">
        <v>8064</v>
      </c>
      <c r="B3486" s="6" t="s">
        <v>254</v>
      </c>
      <c r="C3486" s="6" t="s">
        <v>37</v>
      </c>
      <c r="D3486" s="6" t="s">
        <v>8065</v>
      </c>
      <c r="E3486" s="6" t="s">
        <v>3445</v>
      </c>
      <c r="F3486" s="6" t="s">
        <v>519</v>
      </c>
      <c r="G3486" s="7">
        <v>0.15</v>
      </c>
      <c r="H3486" s="6" t="s">
        <v>187</v>
      </c>
      <c r="I3486" s="6" t="s">
        <v>20</v>
      </c>
      <c r="J3486" s="6">
        <v>1995.0</v>
      </c>
      <c r="L3486" s="6">
        <v>1.0</v>
      </c>
      <c r="M3486" s="8">
        <f t="shared" si="4"/>
        <v>0.15</v>
      </c>
      <c r="P3486" s="9"/>
    </row>
    <row r="3487">
      <c r="A3487" s="6" t="s">
        <v>8066</v>
      </c>
      <c r="B3487" s="6" t="s">
        <v>138</v>
      </c>
      <c r="C3487" s="6" t="s">
        <v>43</v>
      </c>
      <c r="D3487" s="6" t="s">
        <v>8067</v>
      </c>
      <c r="E3487" s="6" t="s">
        <v>76</v>
      </c>
      <c r="F3487" s="6" t="s">
        <v>77</v>
      </c>
      <c r="G3487" s="7">
        <v>0.05</v>
      </c>
      <c r="H3487" s="6" t="s">
        <v>475</v>
      </c>
      <c r="I3487" s="6" t="s">
        <v>20</v>
      </c>
      <c r="J3487" s="6">
        <v>2024.0</v>
      </c>
      <c r="L3487" s="6">
        <v>1.0</v>
      </c>
      <c r="M3487" s="8">
        <f t="shared" si="4"/>
        <v>0.05</v>
      </c>
      <c r="P3487" s="9"/>
    </row>
    <row r="3488">
      <c r="A3488" s="6" t="s">
        <v>8068</v>
      </c>
      <c r="B3488" s="6" t="s">
        <v>8069</v>
      </c>
      <c r="C3488" s="6" t="s">
        <v>183</v>
      </c>
      <c r="D3488" s="6" t="s">
        <v>8070</v>
      </c>
      <c r="E3488" s="6" t="s">
        <v>282</v>
      </c>
      <c r="F3488" s="6" t="s">
        <v>40</v>
      </c>
      <c r="G3488" s="7">
        <v>0.32</v>
      </c>
      <c r="H3488" s="6" t="s">
        <v>3245</v>
      </c>
      <c r="I3488" s="6" t="s">
        <v>20</v>
      </c>
      <c r="J3488" s="6">
        <v>1995.0</v>
      </c>
      <c r="K3488" s="10">
        <v>46023.0</v>
      </c>
      <c r="L3488" s="6">
        <v>1.0</v>
      </c>
      <c r="M3488" s="8">
        <f t="shared" si="4"/>
        <v>0.32</v>
      </c>
      <c r="P3488" s="9"/>
    </row>
    <row r="3489">
      <c r="A3489" s="6" t="s">
        <v>8071</v>
      </c>
      <c r="B3489" s="6" t="s">
        <v>219</v>
      </c>
      <c r="C3489" s="6" t="s">
        <v>43</v>
      </c>
      <c r="D3489" s="6" t="s">
        <v>8072</v>
      </c>
      <c r="E3489" s="6" t="s">
        <v>117</v>
      </c>
      <c r="F3489" s="6" t="s">
        <v>77</v>
      </c>
      <c r="G3489" s="7">
        <v>0.25</v>
      </c>
      <c r="H3489" s="6" t="s">
        <v>113</v>
      </c>
      <c r="I3489" s="6" t="s">
        <v>20</v>
      </c>
      <c r="J3489" s="6">
        <v>2023.0</v>
      </c>
      <c r="L3489" s="6">
        <v>1.0</v>
      </c>
      <c r="M3489" s="8">
        <f t="shared" si="4"/>
        <v>0.25</v>
      </c>
      <c r="P3489" s="9"/>
    </row>
    <row r="3490">
      <c r="A3490" s="6" t="s">
        <v>8073</v>
      </c>
      <c r="B3490" s="6" t="s">
        <v>8074</v>
      </c>
      <c r="C3490" s="6" t="s">
        <v>43</v>
      </c>
      <c r="E3490" s="6" t="s">
        <v>176</v>
      </c>
      <c r="F3490" s="6" t="s">
        <v>77</v>
      </c>
      <c r="G3490" s="7">
        <v>0.06</v>
      </c>
      <c r="H3490" s="6" t="s">
        <v>1392</v>
      </c>
      <c r="I3490" s="6" t="s">
        <v>20</v>
      </c>
      <c r="J3490" s="6">
        <v>2014.0</v>
      </c>
      <c r="K3490" s="10">
        <v>46083.0</v>
      </c>
      <c r="L3490" s="6">
        <v>1.0</v>
      </c>
      <c r="M3490" s="8">
        <f t="shared" si="4"/>
        <v>0.06</v>
      </c>
      <c r="P3490" s="9"/>
    </row>
    <row r="3491">
      <c r="A3491" s="6" t="s">
        <v>8075</v>
      </c>
      <c r="B3491" s="6" t="s">
        <v>74</v>
      </c>
      <c r="C3491" s="6" t="s">
        <v>43</v>
      </c>
      <c r="D3491" s="6" t="s">
        <v>8076</v>
      </c>
      <c r="E3491" s="6" t="s">
        <v>164</v>
      </c>
      <c r="F3491" s="6" t="s">
        <v>112</v>
      </c>
      <c r="G3491" s="7">
        <v>0.08</v>
      </c>
      <c r="H3491" s="6" t="s">
        <v>89</v>
      </c>
      <c r="I3491" s="6" t="s">
        <v>20</v>
      </c>
      <c r="J3491" s="6">
        <v>2021.0</v>
      </c>
      <c r="L3491" s="6">
        <v>3.0</v>
      </c>
      <c r="M3491" s="8">
        <f t="shared" si="4"/>
        <v>0.24</v>
      </c>
      <c r="P3491" s="9"/>
    </row>
    <row r="3492">
      <c r="A3492" s="6" t="s">
        <v>8077</v>
      </c>
      <c r="B3492" s="6" t="s">
        <v>219</v>
      </c>
      <c r="C3492" s="6" t="s">
        <v>43</v>
      </c>
      <c r="D3492" s="6" t="s">
        <v>8078</v>
      </c>
      <c r="E3492" s="6" t="s">
        <v>190</v>
      </c>
      <c r="F3492" s="6" t="s">
        <v>18</v>
      </c>
      <c r="G3492" s="7">
        <v>0.05</v>
      </c>
      <c r="H3492" s="6" t="s">
        <v>104</v>
      </c>
      <c r="I3492" s="6" t="s">
        <v>20</v>
      </c>
      <c r="J3492" s="6">
        <v>2019.0</v>
      </c>
      <c r="L3492" s="6">
        <v>1.0</v>
      </c>
      <c r="M3492" s="8">
        <f t="shared" si="4"/>
        <v>0.05</v>
      </c>
      <c r="P3492" s="9"/>
    </row>
    <row r="3493">
      <c r="A3493" s="6" t="s">
        <v>8079</v>
      </c>
      <c r="B3493" s="6" t="s">
        <v>440</v>
      </c>
      <c r="C3493" s="6" t="s">
        <v>37</v>
      </c>
      <c r="D3493" s="6" t="s">
        <v>8080</v>
      </c>
      <c r="E3493" s="6" t="s">
        <v>1027</v>
      </c>
      <c r="F3493" s="6" t="s">
        <v>77</v>
      </c>
      <c r="G3493" s="7">
        <v>0.86</v>
      </c>
      <c r="H3493" s="6" t="s">
        <v>187</v>
      </c>
      <c r="I3493" s="6" t="s">
        <v>20</v>
      </c>
      <c r="J3493" s="6">
        <v>1995.0</v>
      </c>
      <c r="L3493" s="6">
        <v>1.0</v>
      </c>
      <c r="M3493" s="8">
        <f t="shared" si="4"/>
        <v>0.86</v>
      </c>
      <c r="P3493" s="9"/>
    </row>
    <row r="3494">
      <c r="A3494" s="6" t="s">
        <v>8081</v>
      </c>
      <c r="B3494" s="6" t="s">
        <v>494</v>
      </c>
      <c r="C3494" s="6" t="s">
        <v>43</v>
      </c>
      <c r="D3494" s="6" t="s">
        <v>8082</v>
      </c>
      <c r="E3494" s="6" t="s">
        <v>190</v>
      </c>
      <c r="F3494" s="6" t="s">
        <v>18</v>
      </c>
      <c r="G3494" s="7">
        <v>0.14</v>
      </c>
      <c r="H3494" s="6" t="s">
        <v>88</v>
      </c>
      <c r="I3494" s="6" t="s">
        <v>20</v>
      </c>
      <c r="J3494" s="6">
        <v>2024.0</v>
      </c>
      <c r="L3494" s="6">
        <v>1.0</v>
      </c>
      <c r="M3494" s="8">
        <f t="shared" si="4"/>
        <v>0.14</v>
      </c>
      <c r="P3494" s="9"/>
    </row>
    <row r="3495">
      <c r="A3495" s="6" t="s">
        <v>8083</v>
      </c>
      <c r="B3495" s="6" t="s">
        <v>1002</v>
      </c>
      <c r="C3495" s="6" t="s">
        <v>43</v>
      </c>
      <c r="D3495" s="6" t="s">
        <v>8084</v>
      </c>
      <c r="E3495" s="6" t="s">
        <v>540</v>
      </c>
      <c r="F3495" s="6" t="s">
        <v>40</v>
      </c>
      <c r="G3495" s="7">
        <v>0.05</v>
      </c>
      <c r="H3495" s="6" t="s">
        <v>1048</v>
      </c>
      <c r="I3495" s="6" t="s">
        <v>20</v>
      </c>
      <c r="J3495" s="6">
        <v>2008.0</v>
      </c>
      <c r="K3495" s="10">
        <v>46145.0</v>
      </c>
      <c r="L3495" s="6">
        <v>2.0</v>
      </c>
      <c r="M3495" s="8">
        <f t="shared" si="4"/>
        <v>0.1</v>
      </c>
      <c r="P3495" s="9"/>
    </row>
    <row r="3496">
      <c r="A3496" s="6" t="s">
        <v>8085</v>
      </c>
      <c r="B3496" s="6" t="s">
        <v>8086</v>
      </c>
      <c r="C3496" s="6" t="s">
        <v>37</v>
      </c>
      <c r="D3496" s="6" t="s">
        <v>8087</v>
      </c>
      <c r="E3496" s="6" t="s">
        <v>176</v>
      </c>
      <c r="F3496" s="6" t="s">
        <v>77</v>
      </c>
      <c r="G3496" s="7">
        <v>0.09</v>
      </c>
      <c r="H3496" s="6" t="s">
        <v>34</v>
      </c>
      <c r="I3496" s="6" t="s">
        <v>20</v>
      </c>
      <c r="J3496" s="6">
        <v>2025.0</v>
      </c>
      <c r="K3496" s="10">
        <v>46055.0</v>
      </c>
      <c r="L3496" s="6">
        <v>1.0</v>
      </c>
      <c r="M3496" s="8">
        <f t="shared" si="4"/>
        <v>0.09</v>
      </c>
      <c r="P3496" s="9"/>
    </row>
    <row r="3497">
      <c r="A3497" s="6" t="s">
        <v>8088</v>
      </c>
      <c r="B3497" s="6" t="s">
        <v>7784</v>
      </c>
      <c r="C3497" s="6" t="s">
        <v>30</v>
      </c>
      <c r="D3497" s="6" t="s">
        <v>8089</v>
      </c>
      <c r="E3497" s="6" t="s">
        <v>179</v>
      </c>
      <c r="F3497" s="6" t="s">
        <v>112</v>
      </c>
      <c r="G3497" s="7">
        <v>0.65</v>
      </c>
      <c r="H3497" s="6" t="s">
        <v>1148</v>
      </c>
      <c r="I3497" s="6" t="s">
        <v>20</v>
      </c>
      <c r="J3497" s="6">
        <v>2012.0</v>
      </c>
      <c r="K3497" s="10">
        <v>46023.0</v>
      </c>
      <c r="L3497" s="6">
        <v>1.0</v>
      </c>
      <c r="M3497" s="8">
        <f t="shared" si="4"/>
        <v>0.65</v>
      </c>
      <c r="P3497" s="9"/>
    </row>
    <row r="3498">
      <c r="A3498" s="6" t="s">
        <v>8090</v>
      </c>
      <c r="B3498" s="6" t="s">
        <v>2234</v>
      </c>
      <c r="C3498" s="6" t="s">
        <v>43</v>
      </c>
      <c r="D3498" s="6" t="s">
        <v>8091</v>
      </c>
      <c r="E3498" s="6" t="s">
        <v>329</v>
      </c>
      <c r="F3498" s="6" t="s">
        <v>112</v>
      </c>
      <c r="G3498" s="7">
        <v>2.5</v>
      </c>
      <c r="H3498" s="6" t="s">
        <v>5607</v>
      </c>
      <c r="I3498" s="6" t="s">
        <v>20</v>
      </c>
      <c r="J3498" s="6">
        <v>2014.0</v>
      </c>
      <c r="K3498" s="10">
        <v>46023.0</v>
      </c>
      <c r="L3498" s="6">
        <v>1.0</v>
      </c>
      <c r="M3498" s="8">
        <f t="shared" si="4"/>
        <v>2.5</v>
      </c>
      <c r="P3498" s="9"/>
    </row>
    <row r="3499">
      <c r="A3499" s="6" t="s">
        <v>8092</v>
      </c>
      <c r="B3499" s="6" t="s">
        <v>657</v>
      </c>
      <c r="C3499" s="6" t="s">
        <v>15</v>
      </c>
      <c r="D3499" s="6" t="s">
        <v>8093</v>
      </c>
      <c r="E3499" s="6" t="s">
        <v>201</v>
      </c>
      <c r="F3499" s="6" t="s">
        <v>40</v>
      </c>
      <c r="G3499" s="7">
        <v>0.98</v>
      </c>
      <c r="H3499" s="6" t="s">
        <v>1784</v>
      </c>
      <c r="I3499" s="6" t="s">
        <v>20</v>
      </c>
      <c r="J3499" s="6">
        <v>2026.0</v>
      </c>
      <c r="L3499" s="6">
        <v>2.0</v>
      </c>
      <c r="M3499" s="8">
        <f t="shared" si="4"/>
        <v>1.96</v>
      </c>
      <c r="P3499" s="9"/>
    </row>
    <row r="3500">
      <c r="A3500" s="6" t="s">
        <v>8094</v>
      </c>
      <c r="B3500" s="6" t="s">
        <v>219</v>
      </c>
      <c r="C3500" s="6" t="s">
        <v>37</v>
      </c>
      <c r="D3500" s="6" t="s">
        <v>8095</v>
      </c>
      <c r="E3500" s="6" t="s">
        <v>215</v>
      </c>
      <c r="F3500" s="6" t="s">
        <v>26</v>
      </c>
      <c r="G3500" s="7">
        <v>0.1</v>
      </c>
      <c r="H3500" s="6" t="s">
        <v>324</v>
      </c>
      <c r="I3500" s="6" t="s">
        <v>20</v>
      </c>
      <c r="J3500" s="6">
        <v>1995.0</v>
      </c>
      <c r="L3500" s="6">
        <v>1.0</v>
      </c>
      <c r="M3500" s="8">
        <f t="shared" si="4"/>
        <v>0.1</v>
      </c>
      <c r="P3500" s="9"/>
    </row>
    <row r="3501">
      <c r="A3501" s="6" t="s">
        <v>8094</v>
      </c>
      <c r="B3501" s="6" t="s">
        <v>219</v>
      </c>
      <c r="C3501" s="6" t="s">
        <v>37</v>
      </c>
      <c r="D3501" s="6" t="s">
        <v>8095</v>
      </c>
      <c r="E3501" s="6" t="s">
        <v>215</v>
      </c>
      <c r="F3501" s="6" t="s">
        <v>26</v>
      </c>
      <c r="G3501" s="7">
        <v>0.43</v>
      </c>
      <c r="H3501" s="6" t="s">
        <v>316</v>
      </c>
      <c r="I3501" s="6" t="s">
        <v>20</v>
      </c>
      <c r="J3501" s="6">
        <v>1995.0</v>
      </c>
      <c r="L3501" s="6">
        <v>1.0</v>
      </c>
      <c r="M3501" s="8">
        <f t="shared" si="4"/>
        <v>0.43</v>
      </c>
      <c r="P3501" s="9"/>
    </row>
    <row r="3502">
      <c r="A3502" s="6" t="s">
        <v>8096</v>
      </c>
      <c r="B3502" s="6" t="s">
        <v>462</v>
      </c>
      <c r="C3502" s="6" t="s">
        <v>43</v>
      </c>
      <c r="D3502" s="6" t="s">
        <v>8097</v>
      </c>
      <c r="E3502" s="6" t="s">
        <v>2694</v>
      </c>
      <c r="F3502" s="6" t="s">
        <v>77</v>
      </c>
      <c r="G3502" s="7">
        <v>0.06</v>
      </c>
      <c r="H3502" s="6" t="s">
        <v>83</v>
      </c>
      <c r="I3502" s="6" t="s">
        <v>20</v>
      </c>
      <c r="J3502" s="6">
        <v>1995.0</v>
      </c>
      <c r="L3502" s="6">
        <v>2.0</v>
      </c>
      <c r="M3502" s="8">
        <f t="shared" si="4"/>
        <v>0.12</v>
      </c>
      <c r="P3502" s="9"/>
    </row>
    <row r="3503">
      <c r="A3503" s="6" t="s">
        <v>8096</v>
      </c>
      <c r="B3503" s="6" t="s">
        <v>462</v>
      </c>
      <c r="C3503" s="6" t="s">
        <v>43</v>
      </c>
      <c r="D3503" s="6" t="s">
        <v>8097</v>
      </c>
      <c r="E3503" s="6" t="s">
        <v>2694</v>
      </c>
      <c r="F3503" s="6" t="s">
        <v>77</v>
      </c>
      <c r="G3503" s="7">
        <v>0.08</v>
      </c>
      <c r="H3503" s="6" t="s">
        <v>1064</v>
      </c>
      <c r="I3503" s="6" t="s">
        <v>20</v>
      </c>
      <c r="J3503" s="6">
        <v>1995.0</v>
      </c>
      <c r="L3503" s="6">
        <v>3.0</v>
      </c>
      <c r="M3503" s="8">
        <f t="shared" si="4"/>
        <v>0.24</v>
      </c>
      <c r="P3503" s="9"/>
    </row>
    <row r="3504">
      <c r="A3504" s="6" t="s">
        <v>8098</v>
      </c>
      <c r="B3504" s="6" t="s">
        <v>138</v>
      </c>
      <c r="C3504" s="6" t="s">
        <v>37</v>
      </c>
      <c r="D3504" s="6" t="s">
        <v>8099</v>
      </c>
      <c r="E3504" s="6" t="s">
        <v>86</v>
      </c>
      <c r="F3504" s="6" t="s">
        <v>87</v>
      </c>
      <c r="G3504" s="7">
        <v>0.16</v>
      </c>
      <c r="H3504" s="6" t="s">
        <v>187</v>
      </c>
      <c r="I3504" s="6" t="s">
        <v>20</v>
      </c>
      <c r="J3504" s="6">
        <v>1995.0</v>
      </c>
      <c r="L3504" s="6">
        <v>1.0</v>
      </c>
      <c r="M3504" s="8">
        <f t="shared" si="4"/>
        <v>0.16</v>
      </c>
      <c r="P3504" s="9"/>
    </row>
    <row r="3505">
      <c r="A3505" s="6" t="s">
        <v>8100</v>
      </c>
      <c r="B3505" s="6" t="s">
        <v>192</v>
      </c>
      <c r="C3505" s="6" t="s">
        <v>23</v>
      </c>
      <c r="D3505" s="6" t="s">
        <v>8101</v>
      </c>
      <c r="E3505" s="6">
        <v>1.0</v>
      </c>
      <c r="F3505" s="6" t="s">
        <v>26</v>
      </c>
      <c r="G3505" s="7">
        <v>0.05</v>
      </c>
      <c r="H3505" s="6" t="s">
        <v>8102</v>
      </c>
      <c r="I3505" s="6" t="s">
        <v>20</v>
      </c>
      <c r="J3505" s="6">
        <v>2025.0</v>
      </c>
      <c r="L3505" s="6">
        <v>8.0</v>
      </c>
      <c r="M3505" s="8">
        <f t="shared" si="4"/>
        <v>0.4</v>
      </c>
      <c r="P3505" s="9"/>
    </row>
    <row r="3506">
      <c r="A3506" s="6" t="s">
        <v>8100</v>
      </c>
      <c r="B3506" s="6" t="s">
        <v>192</v>
      </c>
      <c r="C3506" s="6" t="s">
        <v>23</v>
      </c>
      <c r="D3506" s="6" t="s">
        <v>8101</v>
      </c>
      <c r="E3506" s="6">
        <v>1.0</v>
      </c>
      <c r="F3506" s="6" t="s">
        <v>26</v>
      </c>
      <c r="G3506" s="7">
        <v>1.0</v>
      </c>
      <c r="H3506" s="6" t="s">
        <v>8102</v>
      </c>
      <c r="I3506" s="6" t="s">
        <v>45</v>
      </c>
      <c r="J3506" s="6">
        <v>2025.0</v>
      </c>
      <c r="L3506" s="6">
        <v>2.0</v>
      </c>
      <c r="M3506" s="8">
        <f t="shared" si="4"/>
        <v>2</v>
      </c>
      <c r="P3506" s="9"/>
    </row>
    <row r="3507">
      <c r="A3507" s="6" t="s">
        <v>8103</v>
      </c>
      <c r="B3507" s="6" t="s">
        <v>146</v>
      </c>
      <c r="C3507" s="6" t="s">
        <v>30</v>
      </c>
      <c r="D3507" s="6" t="s">
        <v>8104</v>
      </c>
      <c r="E3507" s="6" t="s">
        <v>39</v>
      </c>
      <c r="F3507" s="6" t="s">
        <v>40</v>
      </c>
      <c r="G3507" s="7">
        <v>1.19</v>
      </c>
      <c r="H3507" s="6" t="s">
        <v>8105</v>
      </c>
      <c r="I3507" s="6" t="s">
        <v>20</v>
      </c>
      <c r="J3507" s="6">
        <v>2019.0</v>
      </c>
      <c r="L3507" s="6">
        <v>1.0</v>
      </c>
      <c r="M3507" s="8">
        <f t="shared" si="4"/>
        <v>1.19</v>
      </c>
      <c r="P3507" s="9"/>
    </row>
    <row r="3508">
      <c r="A3508" s="6" t="s">
        <v>8106</v>
      </c>
      <c r="B3508" s="6" t="s">
        <v>102</v>
      </c>
      <c r="C3508" s="6" t="s">
        <v>30</v>
      </c>
      <c r="D3508" s="6" t="s">
        <v>8107</v>
      </c>
      <c r="E3508" s="6" t="s">
        <v>135</v>
      </c>
      <c r="F3508" s="6" t="s">
        <v>40</v>
      </c>
      <c r="G3508" s="7">
        <v>0.4</v>
      </c>
      <c r="H3508" s="6" t="s">
        <v>104</v>
      </c>
      <c r="I3508" s="6" t="s">
        <v>20</v>
      </c>
      <c r="J3508" s="6">
        <v>2019.0</v>
      </c>
      <c r="K3508" s="10">
        <v>46055.0</v>
      </c>
      <c r="L3508" s="6">
        <v>1.0</v>
      </c>
      <c r="M3508" s="8">
        <f t="shared" si="4"/>
        <v>0.4</v>
      </c>
      <c r="P3508" s="9"/>
    </row>
    <row r="3509">
      <c r="A3509" s="6" t="s">
        <v>8106</v>
      </c>
      <c r="B3509" s="6" t="s">
        <v>102</v>
      </c>
      <c r="C3509" s="6" t="s">
        <v>30</v>
      </c>
      <c r="D3509" s="6" t="s">
        <v>8107</v>
      </c>
      <c r="E3509" s="6" t="s">
        <v>135</v>
      </c>
      <c r="F3509" s="6" t="s">
        <v>40</v>
      </c>
      <c r="G3509" s="7">
        <v>0.7</v>
      </c>
      <c r="H3509" s="6" t="s">
        <v>104</v>
      </c>
      <c r="I3509" s="6" t="s">
        <v>45</v>
      </c>
      <c r="J3509" s="6">
        <v>2019.0</v>
      </c>
      <c r="K3509" s="10">
        <v>46055.0</v>
      </c>
      <c r="L3509" s="6">
        <v>1.0</v>
      </c>
      <c r="M3509" s="8">
        <f t="shared" si="4"/>
        <v>0.7</v>
      </c>
      <c r="P3509" s="9"/>
    </row>
    <row r="3510">
      <c r="A3510" s="6" t="s">
        <v>8108</v>
      </c>
      <c r="B3510" s="6" t="s">
        <v>8109</v>
      </c>
      <c r="C3510" s="6" t="s">
        <v>37</v>
      </c>
      <c r="D3510" s="6" t="s">
        <v>8110</v>
      </c>
      <c r="E3510" s="6" t="s">
        <v>125</v>
      </c>
      <c r="F3510" s="6" t="s">
        <v>40</v>
      </c>
      <c r="G3510" s="7">
        <v>0.09</v>
      </c>
      <c r="H3510" s="6" t="s">
        <v>238</v>
      </c>
      <c r="I3510" s="6" t="s">
        <v>20</v>
      </c>
      <c r="J3510" s="6">
        <v>2024.0</v>
      </c>
      <c r="L3510" s="6">
        <v>1.0</v>
      </c>
      <c r="M3510" s="8">
        <f t="shared" si="4"/>
        <v>0.09</v>
      </c>
      <c r="P3510" s="9"/>
    </row>
    <row r="3511">
      <c r="A3511" s="6" t="s">
        <v>8111</v>
      </c>
      <c r="B3511" s="6" t="s">
        <v>8112</v>
      </c>
      <c r="C3511" s="6" t="s">
        <v>43</v>
      </c>
      <c r="D3511" s="6" t="s">
        <v>8113</v>
      </c>
      <c r="E3511" s="6" t="s">
        <v>107</v>
      </c>
      <c r="F3511" s="6" t="s">
        <v>18</v>
      </c>
      <c r="G3511" s="7">
        <v>0.07</v>
      </c>
      <c r="H3511" s="6" t="s">
        <v>89</v>
      </c>
      <c r="I3511" s="6" t="s">
        <v>20</v>
      </c>
      <c r="J3511" s="6">
        <v>2021.0</v>
      </c>
      <c r="K3511" s="10">
        <v>46024.0</v>
      </c>
      <c r="L3511" s="6">
        <v>4.0</v>
      </c>
      <c r="M3511" s="8">
        <f t="shared" si="4"/>
        <v>0.28</v>
      </c>
      <c r="P3511" s="9"/>
    </row>
    <row r="3512">
      <c r="A3512" s="6" t="s">
        <v>8114</v>
      </c>
      <c r="B3512" s="6" t="s">
        <v>8115</v>
      </c>
      <c r="C3512" s="6" t="s">
        <v>43</v>
      </c>
      <c r="D3512" s="6" t="s">
        <v>8116</v>
      </c>
      <c r="E3512" s="6" t="s">
        <v>2052</v>
      </c>
      <c r="F3512" s="6" t="s">
        <v>77</v>
      </c>
      <c r="G3512" s="7">
        <v>0.16</v>
      </c>
      <c r="H3512" s="6" t="s">
        <v>99</v>
      </c>
      <c r="I3512" s="6" t="s">
        <v>20</v>
      </c>
      <c r="J3512" s="6">
        <v>2022.0</v>
      </c>
      <c r="K3512" s="10">
        <v>46147.0</v>
      </c>
      <c r="L3512" s="6">
        <v>1.0</v>
      </c>
      <c r="M3512" s="8">
        <f t="shared" si="4"/>
        <v>0.16</v>
      </c>
      <c r="P3512" s="9"/>
    </row>
    <row r="3513">
      <c r="A3513" s="6" t="s">
        <v>8117</v>
      </c>
      <c r="B3513" s="6" t="s">
        <v>8118</v>
      </c>
      <c r="C3513" s="6" t="s">
        <v>37</v>
      </c>
      <c r="D3513" s="6" t="s">
        <v>8119</v>
      </c>
      <c r="E3513" s="6" t="s">
        <v>579</v>
      </c>
      <c r="F3513" s="6" t="s">
        <v>112</v>
      </c>
      <c r="G3513" s="7">
        <v>0.1</v>
      </c>
      <c r="H3513" s="6" t="s">
        <v>363</v>
      </c>
      <c r="I3513" s="6" t="s">
        <v>20</v>
      </c>
      <c r="J3513" s="6">
        <v>2024.0</v>
      </c>
      <c r="K3513" s="10">
        <v>46179.0</v>
      </c>
      <c r="L3513" s="6">
        <v>1.0</v>
      </c>
      <c r="M3513" s="8">
        <f t="shared" si="4"/>
        <v>0.1</v>
      </c>
      <c r="P3513" s="9"/>
    </row>
    <row r="3514">
      <c r="A3514" s="6" t="s">
        <v>8120</v>
      </c>
      <c r="B3514" s="6" t="s">
        <v>8121</v>
      </c>
      <c r="C3514" s="6" t="s">
        <v>377</v>
      </c>
      <c r="D3514" s="6" t="s">
        <v>8122</v>
      </c>
      <c r="E3514" s="6" t="s">
        <v>25</v>
      </c>
      <c r="F3514" s="6" t="s">
        <v>312</v>
      </c>
      <c r="G3514" s="7">
        <v>0.07</v>
      </c>
      <c r="H3514" s="6" t="s">
        <v>1563</v>
      </c>
      <c r="I3514" s="6" t="s">
        <v>20</v>
      </c>
      <c r="J3514" s="6">
        <v>2025.0</v>
      </c>
      <c r="K3514" s="10">
        <v>46055.0</v>
      </c>
      <c r="L3514" s="6">
        <v>1.0</v>
      </c>
      <c r="M3514" s="8">
        <f t="shared" si="4"/>
        <v>0.07</v>
      </c>
      <c r="P3514" s="9"/>
    </row>
    <row r="3515">
      <c r="A3515" s="6" t="s">
        <v>8123</v>
      </c>
      <c r="B3515" s="6" t="s">
        <v>2565</v>
      </c>
      <c r="C3515" s="6" t="s">
        <v>23</v>
      </c>
      <c r="D3515" s="6" t="s">
        <v>8124</v>
      </c>
      <c r="E3515" s="6" t="s">
        <v>25</v>
      </c>
      <c r="F3515" s="6" t="s">
        <v>26</v>
      </c>
      <c r="G3515" s="7">
        <v>0.07</v>
      </c>
      <c r="H3515" s="6" t="s">
        <v>780</v>
      </c>
      <c r="I3515" s="6" t="s">
        <v>20</v>
      </c>
      <c r="J3515" s="6">
        <v>2025.0</v>
      </c>
      <c r="K3515" s="10">
        <v>46055.0</v>
      </c>
      <c r="L3515" s="6">
        <v>1.0</v>
      </c>
      <c r="M3515" s="8">
        <f t="shared" si="4"/>
        <v>0.07</v>
      </c>
      <c r="P3515" s="9"/>
    </row>
    <row r="3516">
      <c r="A3516" s="6" t="s">
        <v>8125</v>
      </c>
      <c r="B3516" s="6" t="s">
        <v>8126</v>
      </c>
      <c r="C3516" s="6" t="s">
        <v>309</v>
      </c>
      <c r="D3516" s="6" t="s">
        <v>8127</v>
      </c>
      <c r="E3516" s="6" t="s">
        <v>1027</v>
      </c>
      <c r="F3516" s="6" t="s">
        <v>77</v>
      </c>
      <c r="G3516" s="7">
        <v>0.71</v>
      </c>
      <c r="H3516" s="6" t="s">
        <v>347</v>
      </c>
      <c r="I3516" s="6" t="s">
        <v>20</v>
      </c>
      <c r="J3516" s="6">
        <v>2025.0</v>
      </c>
      <c r="K3516" s="10">
        <v>46083.0</v>
      </c>
      <c r="L3516" s="6">
        <v>1.0</v>
      </c>
      <c r="M3516" s="8">
        <f t="shared" si="4"/>
        <v>0.71</v>
      </c>
      <c r="P3516" s="9"/>
    </row>
    <row r="3517">
      <c r="A3517" s="6" t="s">
        <v>8128</v>
      </c>
      <c r="B3517" s="6" t="s">
        <v>8129</v>
      </c>
      <c r="C3517" s="6" t="s">
        <v>37</v>
      </c>
      <c r="D3517" s="6" t="s">
        <v>8130</v>
      </c>
      <c r="E3517" s="6" t="s">
        <v>176</v>
      </c>
      <c r="F3517" s="6" t="s">
        <v>77</v>
      </c>
      <c r="G3517" s="7">
        <v>1.7</v>
      </c>
      <c r="H3517" s="6" t="s">
        <v>113</v>
      </c>
      <c r="I3517" s="6" t="s">
        <v>20</v>
      </c>
      <c r="J3517" s="6">
        <v>2023.0</v>
      </c>
      <c r="K3517" s="10">
        <v>46055.0</v>
      </c>
      <c r="L3517" s="6">
        <v>1.0</v>
      </c>
      <c r="M3517" s="8">
        <f t="shared" si="4"/>
        <v>1.7</v>
      </c>
      <c r="N3517" s="6" t="s">
        <v>122</v>
      </c>
      <c r="P3517" s="9"/>
    </row>
    <row r="3518">
      <c r="A3518" s="6" t="s">
        <v>8131</v>
      </c>
      <c r="B3518" s="6" t="s">
        <v>162</v>
      </c>
      <c r="C3518" s="6" t="s">
        <v>30</v>
      </c>
      <c r="D3518" s="6" t="s">
        <v>8132</v>
      </c>
      <c r="E3518" s="6" t="s">
        <v>93</v>
      </c>
      <c r="F3518" s="6" t="s">
        <v>77</v>
      </c>
      <c r="G3518" s="7">
        <v>2.0</v>
      </c>
      <c r="H3518" s="6" t="s">
        <v>1776</v>
      </c>
      <c r="I3518" s="6" t="s">
        <v>20</v>
      </c>
      <c r="J3518" s="6">
        <v>2017.0</v>
      </c>
      <c r="L3518" s="6">
        <v>1.0</v>
      </c>
      <c r="M3518" s="8">
        <f t="shared" si="4"/>
        <v>2</v>
      </c>
      <c r="N3518" s="6" t="s">
        <v>122</v>
      </c>
      <c r="P3518" s="9"/>
    </row>
    <row r="3519">
      <c r="A3519" s="6" t="s">
        <v>8133</v>
      </c>
      <c r="B3519" s="6" t="s">
        <v>8134</v>
      </c>
      <c r="C3519" s="6" t="s">
        <v>37</v>
      </c>
      <c r="E3519" s="6" t="s">
        <v>891</v>
      </c>
      <c r="F3519" s="6" t="s">
        <v>77</v>
      </c>
      <c r="G3519" s="7">
        <v>0.15</v>
      </c>
      <c r="H3519" s="6" t="s">
        <v>113</v>
      </c>
      <c r="I3519" s="6" t="s">
        <v>20</v>
      </c>
      <c r="J3519" s="6">
        <v>2023.0</v>
      </c>
      <c r="K3519" s="10">
        <v>46090.0</v>
      </c>
      <c r="L3519" s="6">
        <v>1.0</v>
      </c>
      <c r="M3519" s="8">
        <f t="shared" si="4"/>
        <v>0.15</v>
      </c>
      <c r="P3519" s="9"/>
    </row>
    <row r="3520">
      <c r="A3520" s="6" t="s">
        <v>8133</v>
      </c>
      <c r="B3520" s="6" t="s">
        <v>8134</v>
      </c>
      <c r="C3520" s="6" t="s">
        <v>37</v>
      </c>
      <c r="E3520" s="6" t="s">
        <v>891</v>
      </c>
      <c r="F3520" s="6" t="s">
        <v>77</v>
      </c>
      <c r="G3520" s="7">
        <v>0.02</v>
      </c>
      <c r="H3520" s="6" t="s">
        <v>2903</v>
      </c>
      <c r="I3520" s="6" t="s">
        <v>45</v>
      </c>
      <c r="J3520" s="6">
        <v>2023.0</v>
      </c>
      <c r="K3520" s="10">
        <v>46090.0</v>
      </c>
      <c r="L3520" s="6">
        <v>1.0</v>
      </c>
      <c r="M3520" s="8">
        <f t="shared" si="4"/>
        <v>0.02</v>
      </c>
      <c r="P3520" s="9"/>
    </row>
    <row r="3521">
      <c r="A3521" s="6" t="s">
        <v>8135</v>
      </c>
      <c r="B3521" s="6" t="s">
        <v>2568</v>
      </c>
      <c r="C3521" s="6" t="s">
        <v>37</v>
      </c>
      <c r="D3521" s="6" t="s">
        <v>8136</v>
      </c>
      <c r="E3521" s="6" t="s">
        <v>2647</v>
      </c>
      <c r="F3521" s="6" t="s">
        <v>112</v>
      </c>
      <c r="G3521" s="7">
        <v>0.17</v>
      </c>
      <c r="H3521" s="6" t="s">
        <v>121</v>
      </c>
      <c r="I3521" s="6" t="s">
        <v>20</v>
      </c>
      <c r="J3521" s="6">
        <v>2021.0</v>
      </c>
      <c r="K3521" s="10">
        <v>46024.0</v>
      </c>
      <c r="L3521" s="6">
        <v>1.0</v>
      </c>
      <c r="M3521" s="8">
        <f t="shared" si="4"/>
        <v>0.17</v>
      </c>
      <c r="P3521" s="9"/>
    </row>
    <row r="3522">
      <c r="A3522" s="6" t="s">
        <v>8137</v>
      </c>
      <c r="B3522" s="6" t="s">
        <v>8138</v>
      </c>
      <c r="C3522" s="6" t="s">
        <v>37</v>
      </c>
      <c r="D3522" s="6" t="s">
        <v>8139</v>
      </c>
      <c r="E3522" s="6" t="s">
        <v>164</v>
      </c>
      <c r="F3522" s="6" t="s">
        <v>112</v>
      </c>
      <c r="G3522" s="7">
        <v>0.08</v>
      </c>
      <c r="H3522" s="6" t="s">
        <v>99</v>
      </c>
      <c r="I3522" s="6" t="s">
        <v>20</v>
      </c>
      <c r="J3522" s="6">
        <v>2022.0</v>
      </c>
      <c r="K3522" s="10">
        <v>46056.0</v>
      </c>
      <c r="L3522" s="6">
        <v>1.0</v>
      </c>
      <c r="M3522" s="8">
        <f t="shared" si="4"/>
        <v>0.08</v>
      </c>
      <c r="P3522" s="9"/>
    </row>
    <row r="3523">
      <c r="A3523" s="6" t="s">
        <v>8140</v>
      </c>
      <c r="B3523" s="6" t="s">
        <v>4138</v>
      </c>
      <c r="C3523" s="6" t="s">
        <v>30</v>
      </c>
      <c r="D3523" s="6" t="s">
        <v>8141</v>
      </c>
      <c r="E3523" s="6" t="s">
        <v>891</v>
      </c>
      <c r="F3523" s="6" t="s">
        <v>77</v>
      </c>
      <c r="G3523" s="7">
        <v>1.98</v>
      </c>
      <c r="H3523" s="6" t="s">
        <v>144</v>
      </c>
      <c r="I3523" s="6" t="s">
        <v>45</v>
      </c>
      <c r="J3523" s="6">
        <v>2018.0</v>
      </c>
      <c r="L3523" s="6">
        <v>1.0</v>
      </c>
      <c r="M3523" s="8">
        <f t="shared" si="4"/>
        <v>1.98</v>
      </c>
      <c r="N3523" s="6" t="s">
        <v>122</v>
      </c>
      <c r="P3523" s="9"/>
    </row>
    <row r="3524">
      <c r="A3524" s="6" t="s">
        <v>8142</v>
      </c>
      <c r="B3524" s="6" t="s">
        <v>47</v>
      </c>
      <c r="C3524" s="6" t="s">
        <v>43</v>
      </c>
      <c r="D3524" s="6" t="s">
        <v>8143</v>
      </c>
      <c r="E3524" s="6" t="s">
        <v>125</v>
      </c>
      <c r="F3524" s="6" t="s">
        <v>40</v>
      </c>
      <c r="G3524" s="7">
        <v>0.06</v>
      </c>
      <c r="H3524" s="6" t="s">
        <v>34</v>
      </c>
      <c r="I3524" s="6" t="s">
        <v>20</v>
      </c>
      <c r="J3524" s="6">
        <v>2025.0</v>
      </c>
      <c r="L3524" s="6">
        <v>1.0</v>
      </c>
      <c r="M3524" s="8">
        <f t="shared" si="4"/>
        <v>0.06</v>
      </c>
      <c r="P3524" s="9"/>
    </row>
    <row r="3525">
      <c r="A3525" s="6" t="s">
        <v>8142</v>
      </c>
      <c r="B3525" s="6" t="s">
        <v>47</v>
      </c>
      <c r="C3525" s="6" t="s">
        <v>43</v>
      </c>
      <c r="D3525" s="6" t="s">
        <v>8143</v>
      </c>
      <c r="E3525" s="6" t="s">
        <v>125</v>
      </c>
      <c r="F3525" s="6" t="s">
        <v>40</v>
      </c>
      <c r="G3525" s="7">
        <v>0.06</v>
      </c>
      <c r="H3525" s="6" t="s">
        <v>34</v>
      </c>
      <c r="I3525" s="6" t="s">
        <v>20</v>
      </c>
      <c r="J3525" s="6">
        <v>2025.0</v>
      </c>
      <c r="L3525" s="6">
        <v>3.0</v>
      </c>
      <c r="M3525" s="8">
        <f t="shared" si="4"/>
        <v>0.18</v>
      </c>
      <c r="P3525" s="9"/>
    </row>
    <row r="3526">
      <c r="A3526" s="6" t="s">
        <v>8144</v>
      </c>
      <c r="B3526" s="6" t="s">
        <v>504</v>
      </c>
      <c r="C3526" s="6" t="s">
        <v>43</v>
      </c>
      <c r="D3526" s="6" t="s">
        <v>8145</v>
      </c>
      <c r="E3526" s="6" t="s">
        <v>4584</v>
      </c>
      <c r="F3526" s="6" t="s">
        <v>40</v>
      </c>
      <c r="G3526" s="7">
        <v>0.09</v>
      </c>
      <c r="H3526" s="6" t="s">
        <v>3781</v>
      </c>
      <c r="I3526" s="6" t="s">
        <v>20</v>
      </c>
      <c r="J3526" s="6">
        <v>2008.0</v>
      </c>
      <c r="K3526" s="10">
        <v>46147.0</v>
      </c>
      <c r="L3526" s="6">
        <v>1.0</v>
      </c>
      <c r="M3526" s="8">
        <f t="shared" si="4"/>
        <v>0.09</v>
      </c>
      <c r="P3526" s="9"/>
    </row>
    <row r="3527">
      <c r="A3527" s="6" t="s">
        <v>8146</v>
      </c>
      <c r="B3527" s="6" t="s">
        <v>6690</v>
      </c>
      <c r="C3527" s="6" t="s">
        <v>37</v>
      </c>
      <c r="D3527" s="6" t="s">
        <v>8147</v>
      </c>
      <c r="E3527" s="6" t="s">
        <v>86</v>
      </c>
      <c r="F3527" s="6" t="s">
        <v>87</v>
      </c>
      <c r="G3527" s="7">
        <v>0.04</v>
      </c>
      <c r="H3527" s="6" t="s">
        <v>99</v>
      </c>
      <c r="I3527" s="6" t="s">
        <v>20</v>
      </c>
      <c r="J3527" s="6">
        <v>2022.0</v>
      </c>
      <c r="L3527" s="6">
        <v>1.0</v>
      </c>
      <c r="M3527" s="8">
        <f t="shared" si="4"/>
        <v>0.04</v>
      </c>
      <c r="P3527" s="9"/>
    </row>
    <row r="3528">
      <c r="A3528" s="6" t="s">
        <v>8148</v>
      </c>
      <c r="B3528" s="6" t="s">
        <v>521</v>
      </c>
      <c r="C3528" s="6" t="s">
        <v>43</v>
      </c>
      <c r="D3528" s="6" t="s">
        <v>8149</v>
      </c>
      <c r="E3528" s="6" t="s">
        <v>185</v>
      </c>
      <c r="F3528" s="6" t="s">
        <v>26</v>
      </c>
      <c r="G3528" s="7">
        <v>0.05</v>
      </c>
      <c r="H3528" s="6" t="s">
        <v>324</v>
      </c>
      <c r="I3528" s="6" t="s">
        <v>20</v>
      </c>
      <c r="J3528" s="6">
        <v>1995.0</v>
      </c>
      <c r="K3528" s="10">
        <v>46113.0</v>
      </c>
      <c r="L3528" s="6">
        <v>2.0</v>
      </c>
      <c r="M3528" s="8">
        <f t="shared" si="4"/>
        <v>0.1</v>
      </c>
      <c r="P3528" s="9"/>
    </row>
    <row r="3529">
      <c r="A3529" s="6" t="s">
        <v>8148</v>
      </c>
      <c r="B3529" s="6" t="s">
        <v>521</v>
      </c>
      <c r="C3529" s="6" t="s">
        <v>43</v>
      </c>
      <c r="D3529" s="6" t="s">
        <v>8149</v>
      </c>
      <c r="E3529" s="6" t="s">
        <v>185</v>
      </c>
      <c r="F3529" s="6" t="s">
        <v>26</v>
      </c>
      <c r="G3529" s="7">
        <v>0.08</v>
      </c>
      <c r="H3529" s="6" t="s">
        <v>316</v>
      </c>
      <c r="I3529" s="6" t="s">
        <v>20</v>
      </c>
      <c r="J3529" s="6">
        <v>1995.0</v>
      </c>
      <c r="K3529" s="10">
        <v>46113.0</v>
      </c>
      <c r="L3529" s="6">
        <v>3.0</v>
      </c>
      <c r="M3529" s="8">
        <f t="shared" si="4"/>
        <v>0.24</v>
      </c>
      <c r="P3529" s="9"/>
    </row>
    <row r="3530">
      <c r="A3530" s="6" t="s">
        <v>8150</v>
      </c>
      <c r="B3530" s="6" t="s">
        <v>74</v>
      </c>
      <c r="C3530" s="6" t="s">
        <v>43</v>
      </c>
      <c r="D3530" s="6" t="s">
        <v>8151</v>
      </c>
      <c r="E3530" s="6" t="s">
        <v>135</v>
      </c>
      <c r="F3530" s="6" t="s">
        <v>40</v>
      </c>
      <c r="G3530" s="7">
        <v>0.14</v>
      </c>
      <c r="H3530" s="6" t="s">
        <v>1287</v>
      </c>
      <c r="I3530" s="6" t="s">
        <v>45</v>
      </c>
      <c r="J3530" s="6">
        <v>2021.0</v>
      </c>
      <c r="L3530" s="6">
        <v>4.0</v>
      </c>
      <c r="M3530" s="8">
        <f t="shared" si="4"/>
        <v>0.56</v>
      </c>
      <c r="P3530" s="9"/>
    </row>
    <row r="3531">
      <c r="A3531" s="6" t="s">
        <v>8152</v>
      </c>
      <c r="B3531" s="6" t="s">
        <v>162</v>
      </c>
      <c r="C3531" s="6" t="s">
        <v>37</v>
      </c>
      <c r="D3531" s="6" t="s">
        <v>8153</v>
      </c>
      <c r="E3531" s="6" t="s">
        <v>708</v>
      </c>
      <c r="F3531" s="6" t="s">
        <v>112</v>
      </c>
      <c r="G3531" s="7">
        <v>0.18</v>
      </c>
      <c r="H3531" s="6" t="s">
        <v>1287</v>
      </c>
      <c r="I3531" s="6" t="s">
        <v>20</v>
      </c>
      <c r="J3531" s="6">
        <v>2021.0</v>
      </c>
      <c r="L3531" s="6">
        <v>2.0</v>
      </c>
      <c r="M3531" s="8">
        <f t="shared" si="4"/>
        <v>0.36</v>
      </c>
      <c r="P3531" s="9"/>
    </row>
    <row r="3532">
      <c r="A3532" s="6" t="s">
        <v>8154</v>
      </c>
      <c r="B3532" s="6" t="s">
        <v>138</v>
      </c>
      <c r="C3532" s="6" t="s">
        <v>23</v>
      </c>
      <c r="D3532" s="6" t="s">
        <v>8155</v>
      </c>
      <c r="E3532" s="6" t="s">
        <v>3973</v>
      </c>
      <c r="F3532" s="6" t="s">
        <v>40</v>
      </c>
      <c r="G3532" s="7">
        <v>0.1</v>
      </c>
      <c r="H3532" s="6" t="s">
        <v>278</v>
      </c>
      <c r="I3532" s="6" t="s">
        <v>20</v>
      </c>
      <c r="J3532" s="6">
        <v>2025.0</v>
      </c>
      <c r="L3532" s="6">
        <v>8.0</v>
      </c>
      <c r="M3532" s="8">
        <f t="shared" si="4"/>
        <v>0.8</v>
      </c>
      <c r="P3532" s="9"/>
    </row>
    <row r="3533">
      <c r="A3533" s="6" t="s">
        <v>8156</v>
      </c>
      <c r="B3533" s="6" t="s">
        <v>556</v>
      </c>
      <c r="C3533" s="6" t="s">
        <v>37</v>
      </c>
      <c r="D3533" s="6" t="s">
        <v>8157</v>
      </c>
      <c r="E3533" s="6" t="s">
        <v>86</v>
      </c>
      <c r="F3533" s="6" t="s">
        <v>87</v>
      </c>
      <c r="G3533" s="7">
        <v>1.89</v>
      </c>
      <c r="H3533" s="6" t="s">
        <v>180</v>
      </c>
      <c r="I3533" s="6" t="s">
        <v>20</v>
      </c>
      <c r="J3533" s="6">
        <v>2024.0</v>
      </c>
      <c r="K3533" s="10">
        <v>46024.0</v>
      </c>
      <c r="L3533" s="6">
        <v>1.0</v>
      </c>
      <c r="M3533" s="8">
        <f t="shared" si="4"/>
        <v>1.89</v>
      </c>
      <c r="N3533" s="6" t="s">
        <v>122</v>
      </c>
      <c r="P3533" s="9"/>
    </row>
    <row r="3534">
      <c r="A3534" s="6" t="s">
        <v>8158</v>
      </c>
      <c r="B3534" s="6" t="s">
        <v>74</v>
      </c>
      <c r="C3534" s="6" t="s">
        <v>43</v>
      </c>
      <c r="D3534" s="6" t="s">
        <v>8159</v>
      </c>
      <c r="E3534" s="6" t="s">
        <v>57</v>
      </c>
      <c r="F3534" s="6" t="s">
        <v>40</v>
      </c>
      <c r="G3534" s="7">
        <v>3.15</v>
      </c>
      <c r="H3534" s="6" t="s">
        <v>651</v>
      </c>
      <c r="I3534" s="6" t="s">
        <v>20</v>
      </c>
      <c r="J3534" s="6">
        <v>2022.0</v>
      </c>
      <c r="L3534" s="6">
        <v>1.0</v>
      </c>
      <c r="M3534" s="8">
        <f t="shared" si="4"/>
        <v>3.15</v>
      </c>
      <c r="P3534" s="9"/>
    </row>
    <row r="3535">
      <c r="A3535" s="6" t="s">
        <v>8160</v>
      </c>
      <c r="B3535" s="6" t="s">
        <v>8161</v>
      </c>
      <c r="C3535" s="6" t="s">
        <v>43</v>
      </c>
      <c r="D3535" s="6" t="s">
        <v>8162</v>
      </c>
      <c r="E3535" s="6" t="s">
        <v>86</v>
      </c>
      <c r="F3535" s="6" t="s">
        <v>87</v>
      </c>
      <c r="G3535" s="7">
        <v>0.09</v>
      </c>
      <c r="H3535" s="6" t="s">
        <v>34</v>
      </c>
      <c r="I3535" s="6" t="s">
        <v>20</v>
      </c>
      <c r="J3535" s="6">
        <v>2025.0</v>
      </c>
      <c r="K3535" s="10">
        <v>46025.0</v>
      </c>
      <c r="L3535" s="6">
        <v>2.0</v>
      </c>
      <c r="M3535" s="8">
        <f t="shared" si="4"/>
        <v>0.18</v>
      </c>
      <c r="P3535" s="9"/>
    </row>
    <row r="3536">
      <c r="A3536" s="6" t="s">
        <v>8163</v>
      </c>
      <c r="B3536" s="6" t="s">
        <v>3491</v>
      </c>
      <c r="C3536" s="6" t="s">
        <v>15</v>
      </c>
      <c r="D3536" s="6" t="s">
        <v>8164</v>
      </c>
      <c r="E3536" s="6" t="s">
        <v>125</v>
      </c>
      <c r="F3536" s="6" t="s">
        <v>40</v>
      </c>
      <c r="G3536" s="7">
        <v>0.45</v>
      </c>
      <c r="H3536" s="6" t="s">
        <v>153</v>
      </c>
      <c r="I3536" s="6" t="s">
        <v>20</v>
      </c>
      <c r="J3536" s="6">
        <v>2025.0</v>
      </c>
      <c r="K3536" s="6" t="s">
        <v>301</v>
      </c>
      <c r="L3536" s="6">
        <v>2.0</v>
      </c>
      <c r="M3536" s="8">
        <f t="shared" si="4"/>
        <v>0.9</v>
      </c>
      <c r="P3536" s="9"/>
    </row>
    <row r="3537">
      <c r="A3537" s="6" t="s">
        <v>8163</v>
      </c>
      <c r="B3537" s="6" t="s">
        <v>3491</v>
      </c>
      <c r="C3537" s="6" t="s">
        <v>15</v>
      </c>
      <c r="D3537" s="6" t="s">
        <v>8164</v>
      </c>
      <c r="E3537" s="6" t="s">
        <v>125</v>
      </c>
      <c r="F3537" s="6" t="s">
        <v>40</v>
      </c>
      <c r="G3537" s="7">
        <v>0.1</v>
      </c>
      <c r="H3537" s="6" t="s">
        <v>153</v>
      </c>
      <c r="I3537" s="6" t="s">
        <v>20</v>
      </c>
      <c r="J3537" s="6">
        <v>2025.0</v>
      </c>
      <c r="K3537" s="6" t="s">
        <v>301</v>
      </c>
      <c r="L3537" s="6">
        <v>4.0</v>
      </c>
      <c r="M3537" s="8">
        <f t="shared" si="4"/>
        <v>0.4</v>
      </c>
      <c r="P3537" s="9"/>
    </row>
    <row r="3538">
      <c r="A3538" s="6" t="s">
        <v>8165</v>
      </c>
      <c r="B3538" s="6" t="s">
        <v>8166</v>
      </c>
      <c r="C3538" s="6" t="s">
        <v>30</v>
      </c>
      <c r="D3538" s="6" t="s">
        <v>8167</v>
      </c>
      <c r="E3538" s="6" t="s">
        <v>7815</v>
      </c>
      <c r="F3538" s="6" t="s">
        <v>50</v>
      </c>
      <c r="G3538" s="7">
        <v>0.89</v>
      </c>
      <c r="H3538" s="6" t="s">
        <v>72</v>
      </c>
      <c r="I3538" s="6" t="s">
        <v>20</v>
      </c>
      <c r="J3538" s="6">
        <v>2026.0</v>
      </c>
      <c r="K3538" s="10">
        <v>46208.0</v>
      </c>
      <c r="L3538" s="6">
        <v>1.0</v>
      </c>
      <c r="M3538" s="8">
        <f t="shared" si="4"/>
        <v>0.89</v>
      </c>
      <c r="P3538" s="9"/>
    </row>
    <row r="3539">
      <c r="A3539" s="6" t="s">
        <v>8168</v>
      </c>
      <c r="B3539" s="6" t="s">
        <v>8169</v>
      </c>
      <c r="C3539" s="6" t="s">
        <v>30</v>
      </c>
      <c r="D3539" s="6" t="s">
        <v>8170</v>
      </c>
      <c r="E3539" s="6" t="s">
        <v>237</v>
      </c>
      <c r="F3539" s="6" t="s">
        <v>18</v>
      </c>
      <c r="G3539" s="7">
        <v>0.2</v>
      </c>
      <c r="H3539" s="6" t="s">
        <v>144</v>
      </c>
      <c r="I3539" s="6" t="s">
        <v>45</v>
      </c>
      <c r="J3539" s="6">
        <v>2018.0</v>
      </c>
      <c r="K3539" s="10">
        <v>46178.0</v>
      </c>
      <c r="L3539" s="6">
        <v>3.0</v>
      </c>
      <c r="M3539" s="8">
        <f t="shared" si="4"/>
        <v>0.6</v>
      </c>
      <c r="P3539" s="9"/>
    </row>
    <row r="3540">
      <c r="A3540" s="6" t="s">
        <v>8171</v>
      </c>
      <c r="B3540" s="6" t="s">
        <v>8172</v>
      </c>
      <c r="C3540" s="6" t="s">
        <v>43</v>
      </c>
      <c r="D3540" s="6" t="s">
        <v>8173</v>
      </c>
      <c r="E3540" s="6" t="s">
        <v>1486</v>
      </c>
      <c r="F3540" s="6" t="s">
        <v>87</v>
      </c>
      <c r="G3540" s="7">
        <v>0.06</v>
      </c>
      <c r="H3540" s="6" t="s">
        <v>148</v>
      </c>
      <c r="I3540" s="6" t="s">
        <v>20</v>
      </c>
      <c r="J3540" s="6">
        <v>2026.0</v>
      </c>
      <c r="K3540" s="10">
        <v>46116.0</v>
      </c>
      <c r="L3540" s="6">
        <v>2.0</v>
      </c>
      <c r="M3540" s="8">
        <f t="shared" si="4"/>
        <v>0.12</v>
      </c>
      <c r="P3540" s="9"/>
    </row>
    <row r="3541">
      <c r="A3541" s="6" t="s">
        <v>8174</v>
      </c>
      <c r="B3541" s="6" t="s">
        <v>74</v>
      </c>
      <c r="C3541" s="6" t="s">
        <v>37</v>
      </c>
      <c r="D3541" s="6" t="s">
        <v>8175</v>
      </c>
      <c r="E3541" s="6" t="s">
        <v>1417</v>
      </c>
      <c r="F3541" s="6" t="s">
        <v>71</v>
      </c>
      <c r="G3541" s="7">
        <v>0.09</v>
      </c>
      <c r="H3541" s="6" t="s">
        <v>2892</v>
      </c>
      <c r="I3541" s="6" t="s">
        <v>20</v>
      </c>
      <c r="J3541" s="6">
        <v>2016.0</v>
      </c>
      <c r="L3541" s="6">
        <v>2.0</v>
      </c>
      <c r="M3541" s="8">
        <f t="shared" si="4"/>
        <v>0.18</v>
      </c>
      <c r="P3541" s="9"/>
    </row>
    <row r="3542">
      <c r="A3542" s="6" t="s">
        <v>8176</v>
      </c>
      <c r="B3542" s="6" t="s">
        <v>74</v>
      </c>
      <c r="C3542" s="6" t="s">
        <v>43</v>
      </c>
      <c r="D3542" s="6" t="s">
        <v>8177</v>
      </c>
      <c r="E3542" s="6" t="s">
        <v>135</v>
      </c>
      <c r="F3542" s="6" t="s">
        <v>40</v>
      </c>
      <c r="G3542" s="7">
        <v>0.05</v>
      </c>
      <c r="H3542" s="6" t="s">
        <v>444</v>
      </c>
      <c r="I3542" s="6" t="s">
        <v>20</v>
      </c>
      <c r="J3542" s="6">
        <v>2012.0</v>
      </c>
      <c r="L3542" s="6">
        <v>1.0</v>
      </c>
      <c r="M3542" s="8">
        <f t="shared" si="4"/>
        <v>0.05</v>
      </c>
      <c r="P3542" s="9"/>
    </row>
    <row r="3543">
      <c r="A3543" s="6" t="s">
        <v>8178</v>
      </c>
      <c r="B3543" s="6" t="s">
        <v>219</v>
      </c>
      <c r="C3543" s="6" t="s">
        <v>30</v>
      </c>
      <c r="D3543" s="6" t="s">
        <v>8179</v>
      </c>
      <c r="E3543" s="6" t="s">
        <v>185</v>
      </c>
      <c r="F3543" s="6" t="s">
        <v>26</v>
      </c>
      <c r="G3543" s="7">
        <v>4.0</v>
      </c>
      <c r="H3543" s="6" t="s">
        <v>194</v>
      </c>
      <c r="I3543" s="6" t="s">
        <v>20</v>
      </c>
      <c r="J3543" s="6">
        <v>1994.0</v>
      </c>
      <c r="L3543" s="6">
        <v>1.0</v>
      </c>
      <c r="M3543" s="8">
        <f t="shared" si="4"/>
        <v>4</v>
      </c>
      <c r="N3543" s="6" t="s">
        <v>122</v>
      </c>
      <c r="P3543" s="9"/>
    </row>
    <row r="3544">
      <c r="A3544" s="6" t="s">
        <v>8180</v>
      </c>
      <c r="B3544" s="6" t="s">
        <v>115</v>
      </c>
      <c r="C3544" s="6" t="s">
        <v>156</v>
      </c>
      <c r="D3544" s="6" t="s">
        <v>8181</v>
      </c>
      <c r="E3544" s="6" t="s">
        <v>3827</v>
      </c>
      <c r="F3544" s="6" t="s">
        <v>77</v>
      </c>
      <c r="G3544" s="7">
        <v>0.95</v>
      </c>
      <c r="H3544" s="6" t="s">
        <v>780</v>
      </c>
      <c r="I3544" s="6" t="s">
        <v>20</v>
      </c>
      <c r="J3544" s="6">
        <v>2025.0</v>
      </c>
      <c r="L3544" s="6">
        <v>1.0</v>
      </c>
      <c r="M3544" s="8">
        <f t="shared" si="4"/>
        <v>0.95</v>
      </c>
      <c r="P3544" s="9"/>
    </row>
    <row r="3545">
      <c r="A3545" s="6" t="s">
        <v>8182</v>
      </c>
      <c r="B3545" s="6" t="s">
        <v>371</v>
      </c>
      <c r="C3545" s="6" t="s">
        <v>37</v>
      </c>
      <c r="D3545" s="6" t="s">
        <v>8183</v>
      </c>
      <c r="E3545" s="6" t="s">
        <v>135</v>
      </c>
      <c r="F3545" s="6" t="s">
        <v>40</v>
      </c>
      <c r="G3545" s="7">
        <v>0.04</v>
      </c>
      <c r="H3545" s="6" t="s">
        <v>2033</v>
      </c>
      <c r="I3545" s="6" t="s">
        <v>20</v>
      </c>
      <c r="J3545" s="6">
        <v>2019.0</v>
      </c>
      <c r="K3545" s="10">
        <v>46082.0</v>
      </c>
      <c r="L3545" s="6">
        <v>1.0</v>
      </c>
      <c r="M3545" s="8">
        <f t="shared" si="4"/>
        <v>0.04</v>
      </c>
      <c r="P3545" s="9"/>
    </row>
    <row r="3546">
      <c r="A3546" s="6" t="s">
        <v>8184</v>
      </c>
      <c r="B3546" s="6" t="s">
        <v>1577</v>
      </c>
      <c r="C3546" s="6" t="s">
        <v>37</v>
      </c>
      <c r="D3546" s="6" t="s">
        <v>8185</v>
      </c>
      <c r="F3546" s="6" t="s">
        <v>26</v>
      </c>
      <c r="G3546" s="7">
        <v>0.21</v>
      </c>
      <c r="H3546" s="6" t="s">
        <v>144</v>
      </c>
      <c r="I3546" s="6" t="s">
        <v>20</v>
      </c>
      <c r="J3546" s="6">
        <v>2018.0</v>
      </c>
      <c r="L3546" s="6">
        <v>1.0</v>
      </c>
      <c r="M3546" s="8">
        <f t="shared" si="4"/>
        <v>0.21</v>
      </c>
      <c r="P3546" s="9"/>
    </row>
    <row r="3547">
      <c r="A3547" s="6" t="s">
        <v>8186</v>
      </c>
      <c r="B3547" s="6" t="s">
        <v>8187</v>
      </c>
      <c r="C3547" s="6" t="s">
        <v>43</v>
      </c>
      <c r="D3547" s="6" t="s">
        <v>8188</v>
      </c>
      <c r="E3547" s="6" t="s">
        <v>76</v>
      </c>
      <c r="F3547" s="6" t="s">
        <v>77</v>
      </c>
      <c r="G3547" s="7">
        <v>0.09</v>
      </c>
      <c r="H3547" s="6" t="s">
        <v>651</v>
      </c>
      <c r="I3547" s="6" t="s">
        <v>20</v>
      </c>
      <c r="J3547" s="6">
        <v>2022.0</v>
      </c>
      <c r="K3547" s="10">
        <v>46024.0</v>
      </c>
      <c r="L3547" s="6">
        <v>1.0</v>
      </c>
      <c r="M3547" s="8">
        <f t="shared" si="4"/>
        <v>0.09</v>
      </c>
      <c r="P3547" s="9"/>
    </row>
    <row r="3548">
      <c r="A3548" s="6" t="s">
        <v>8189</v>
      </c>
      <c r="B3548" s="6" t="s">
        <v>3397</v>
      </c>
      <c r="C3548" s="6" t="s">
        <v>37</v>
      </c>
      <c r="D3548" s="6" t="s">
        <v>8190</v>
      </c>
      <c r="E3548" s="6" t="s">
        <v>880</v>
      </c>
      <c r="F3548" s="6" t="s">
        <v>636</v>
      </c>
      <c r="G3548" s="7">
        <v>0.7</v>
      </c>
      <c r="H3548" s="6" t="s">
        <v>431</v>
      </c>
      <c r="I3548" s="6" t="s">
        <v>45</v>
      </c>
      <c r="J3548" s="6">
        <v>2019.0</v>
      </c>
      <c r="K3548" s="10">
        <v>46055.0</v>
      </c>
      <c r="L3548" s="6">
        <v>1.0</v>
      </c>
      <c r="M3548" s="8">
        <f t="shared" si="4"/>
        <v>0.7</v>
      </c>
      <c r="P3548" s="9"/>
    </row>
    <row r="3549">
      <c r="A3549" s="6" t="s">
        <v>8191</v>
      </c>
      <c r="B3549" s="6" t="s">
        <v>8192</v>
      </c>
      <c r="C3549" s="6" t="s">
        <v>43</v>
      </c>
      <c r="D3549" s="6" t="s">
        <v>8193</v>
      </c>
      <c r="E3549" s="6" t="s">
        <v>25</v>
      </c>
      <c r="F3549" s="6" t="s">
        <v>26</v>
      </c>
      <c r="G3549" s="7">
        <v>0.06</v>
      </c>
      <c r="H3549" s="6" t="s">
        <v>1392</v>
      </c>
      <c r="I3549" s="6" t="s">
        <v>20</v>
      </c>
      <c r="J3549" s="6">
        <v>2014.0</v>
      </c>
      <c r="K3549" s="10">
        <v>46024.0</v>
      </c>
      <c r="L3549" s="6">
        <v>1.0</v>
      </c>
      <c r="M3549" s="8">
        <f t="shared" si="4"/>
        <v>0.06</v>
      </c>
      <c r="P3549" s="9"/>
    </row>
    <row r="3550">
      <c r="A3550" s="6" t="s">
        <v>8194</v>
      </c>
      <c r="B3550" s="6" t="s">
        <v>8195</v>
      </c>
      <c r="C3550" s="6" t="s">
        <v>15</v>
      </c>
      <c r="D3550" s="6" t="s">
        <v>8196</v>
      </c>
      <c r="E3550" s="6" t="s">
        <v>8197</v>
      </c>
      <c r="F3550" s="6" t="s">
        <v>6381</v>
      </c>
      <c r="G3550" s="7">
        <v>31.9</v>
      </c>
      <c r="H3550" s="6" t="s">
        <v>153</v>
      </c>
      <c r="I3550" s="6" t="s">
        <v>20</v>
      </c>
      <c r="J3550" s="6">
        <v>2025.0</v>
      </c>
      <c r="K3550" s="10">
        <v>46084.0</v>
      </c>
      <c r="L3550" s="6">
        <v>1.0</v>
      </c>
      <c r="M3550" s="8">
        <f t="shared" si="4"/>
        <v>31.9</v>
      </c>
      <c r="P3550" s="9"/>
    </row>
    <row r="3551">
      <c r="A3551" s="6" t="s">
        <v>8194</v>
      </c>
      <c r="B3551" s="6" t="s">
        <v>8195</v>
      </c>
      <c r="C3551" s="6" t="s">
        <v>15</v>
      </c>
      <c r="D3551" s="6" t="s">
        <v>8196</v>
      </c>
      <c r="E3551" s="6" t="s">
        <v>8197</v>
      </c>
      <c r="F3551" s="6" t="s">
        <v>6381</v>
      </c>
      <c r="G3551" s="7">
        <v>1.0</v>
      </c>
      <c r="H3551" s="6" t="s">
        <v>153</v>
      </c>
      <c r="I3551" s="6" t="s">
        <v>45</v>
      </c>
      <c r="J3551" s="6">
        <v>2025.0</v>
      </c>
      <c r="K3551" s="10">
        <v>46084.0</v>
      </c>
      <c r="L3551" s="6">
        <v>1.0</v>
      </c>
      <c r="M3551" s="8">
        <f t="shared" si="4"/>
        <v>1</v>
      </c>
      <c r="P3551" s="9"/>
    </row>
    <row r="3552">
      <c r="A3552" s="6" t="s">
        <v>8194</v>
      </c>
      <c r="B3552" s="6" t="s">
        <v>8195</v>
      </c>
      <c r="C3552" s="6" t="s">
        <v>15</v>
      </c>
      <c r="D3552" s="6" t="s">
        <v>8196</v>
      </c>
      <c r="E3552" s="6" t="s">
        <v>8197</v>
      </c>
      <c r="F3552" s="6" t="s">
        <v>6381</v>
      </c>
      <c r="G3552" s="7">
        <v>0.27</v>
      </c>
      <c r="H3552" s="6" t="s">
        <v>153</v>
      </c>
      <c r="I3552" s="6" t="s">
        <v>20</v>
      </c>
      <c r="J3552" s="6">
        <v>2025.0</v>
      </c>
      <c r="K3552" s="10">
        <v>46084.0</v>
      </c>
      <c r="L3552" s="6">
        <v>1.0</v>
      </c>
      <c r="M3552" s="8">
        <f t="shared" si="4"/>
        <v>0.27</v>
      </c>
      <c r="P3552" s="9"/>
    </row>
    <row r="3553">
      <c r="A3553" s="6" t="s">
        <v>8198</v>
      </c>
      <c r="B3553" s="6" t="s">
        <v>1577</v>
      </c>
      <c r="C3553" s="6" t="s">
        <v>37</v>
      </c>
      <c r="D3553" s="6" t="s">
        <v>8199</v>
      </c>
      <c r="F3553" s="6" t="s">
        <v>26</v>
      </c>
      <c r="G3553" s="7">
        <v>0.5</v>
      </c>
      <c r="H3553" s="6" t="s">
        <v>1833</v>
      </c>
      <c r="I3553" s="6" t="s">
        <v>45</v>
      </c>
      <c r="J3553" s="6">
        <v>2018.0</v>
      </c>
      <c r="L3553" s="6">
        <v>1.0</v>
      </c>
      <c r="M3553" s="8">
        <f t="shared" si="4"/>
        <v>0.5</v>
      </c>
      <c r="P3553" s="9"/>
    </row>
    <row r="3554">
      <c r="A3554" s="6" t="s">
        <v>8200</v>
      </c>
      <c r="B3554" s="6" t="s">
        <v>8201</v>
      </c>
      <c r="C3554" s="6" t="s">
        <v>43</v>
      </c>
      <c r="D3554" s="6" t="s">
        <v>8202</v>
      </c>
      <c r="E3554" s="6" t="s">
        <v>356</v>
      </c>
      <c r="F3554" s="6" t="s">
        <v>87</v>
      </c>
      <c r="G3554" s="7">
        <v>0.1</v>
      </c>
      <c r="H3554" s="6" t="s">
        <v>136</v>
      </c>
      <c r="I3554" s="6" t="s">
        <v>20</v>
      </c>
      <c r="J3554" s="6">
        <v>2026.0</v>
      </c>
      <c r="K3554" s="10">
        <v>46117.0</v>
      </c>
      <c r="L3554" s="6">
        <v>3.0</v>
      </c>
      <c r="M3554" s="8">
        <f t="shared" si="4"/>
        <v>0.3</v>
      </c>
      <c r="P3554" s="9"/>
    </row>
    <row r="3555">
      <c r="A3555" s="6" t="s">
        <v>8203</v>
      </c>
      <c r="B3555" s="6" t="s">
        <v>8115</v>
      </c>
      <c r="C3555" s="6" t="s">
        <v>43</v>
      </c>
      <c r="E3555" s="6" t="s">
        <v>891</v>
      </c>
      <c r="F3555" s="6" t="s">
        <v>77</v>
      </c>
      <c r="G3555" s="7">
        <v>0.05</v>
      </c>
      <c r="H3555" s="6" t="s">
        <v>1090</v>
      </c>
      <c r="I3555" s="6" t="s">
        <v>20</v>
      </c>
      <c r="J3555" s="6">
        <v>2011.0</v>
      </c>
      <c r="K3555" s="10">
        <v>46085.0</v>
      </c>
      <c r="L3555" s="6">
        <v>1.0</v>
      </c>
      <c r="M3555" s="8">
        <f t="shared" si="4"/>
        <v>0.05</v>
      </c>
      <c r="P3555" s="9"/>
    </row>
    <row r="3556">
      <c r="A3556" s="6" t="s">
        <v>8204</v>
      </c>
      <c r="B3556" s="6" t="s">
        <v>8205</v>
      </c>
      <c r="C3556" s="6" t="s">
        <v>204</v>
      </c>
      <c r="D3556" s="6" t="s">
        <v>8206</v>
      </c>
      <c r="E3556" s="6" t="s">
        <v>248</v>
      </c>
      <c r="F3556" s="6" t="s">
        <v>77</v>
      </c>
      <c r="G3556" s="7">
        <v>0.09</v>
      </c>
      <c r="H3556" s="6" t="s">
        <v>1527</v>
      </c>
      <c r="I3556" s="6" t="s">
        <v>20</v>
      </c>
      <c r="J3556" s="6">
        <v>2006.0</v>
      </c>
      <c r="K3556" s="10">
        <v>46083.0</v>
      </c>
      <c r="L3556" s="6">
        <v>3.0</v>
      </c>
      <c r="M3556" s="8">
        <f t="shared" si="4"/>
        <v>0.27</v>
      </c>
      <c r="P3556" s="9"/>
    </row>
    <row r="3557">
      <c r="A3557" s="6" t="s">
        <v>8207</v>
      </c>
      <c r="B3557" s="6" t="s">
        <v>8208</v>
      </c>
      <c r="C3557" s="6" t="s">
        <v>43</v>
      </c>
      <c r="D3557" s="6" t="s">
        <v>8209</v>
      </c>
      <c r="E3557" s="6" t="s">
        <v>164</v>
      </c>
      <c r="F3557" s="6" t="s">
        <v>112</v>
      </c>
      <c r="G3557" s="7">
        <v>0.05</v>
      </c>
      <c r="H3557" s="6" t="s">
        <v>136</v>
      </c>
      <c r="I3557" s="6" t="s">
        <v>20</v>
      </c>
      <c r="J3557" s="6">
        <v>2026.0</v>
      </c>
      <c r="K3557" s="10">
        <v>46055.0</v>
      </c>
      <c r="L3557" s="6">
        <v>5.0</v>
      </c>
      <c r="M3557" s="8">
        <f t="shared" si="4"/>
        <v>0.25</v>
      </c>
      <c r="P3557" s="9"/>
    </row>
    <row r="3558">
      <c r="A3558" s="6" t="s">
        <v>8210</v>
      </c>
      <c r="B3558" s="6" t="s">
        <v>1482</v>
      </c>
      <c r="C3558" s="6" t="s">
        <v>30</v>
      </c>
      <c r="D3558" s="6" t="s">
        <v>8211</v>
      </c>
      <c r="E3558" s="6" t="s">
        <v>1117</v>
      </c>
      <c r="F3558" s="6" t="s">
        <v>1118</v>
      </c>
      <c r="G3558" s="7">
        <v>0.99</v>
      </c>
      <c r="H3558" s="6" t="s">
        <v>34</v>
      </c>
      <c r="I3558" s="6" t="s">
        <v>20</v>
      </c>
      <c r="J3558" s="6">
        <v>2025.0</v>
      </c>
      <c r="K3558" s="10">
        <v>46083.0</v>
      </c>
      <c r="L3558" s="6">
        <v>1.0</v>
      </c>
      <c r="M3558" s="8">
        <f t="shared" si="4"/>
        <v>0.99</v>
      </c>
      <c r="P3558" s="9"/>
    </row>
    <row r="3559">
      <c r="A3559" s="6" t="s">
        <v>8212</v>
      </c>
      <c r="B3559" s="6" t="s">
        <v>4681</v>
      </c>
      <c r="C3559" s="6" t="s">
        <v>37</v>
      </c>
      <c r="D3559" s="6" t="s">
        <v>8213</v>
      </c>
      <c r="E3559" s="6" t="s">
        <v>389</v>
      </c>
      <c r="F3559" s="6" t="s">
        <v>87</v>
      </c>
      <c r="G3559" s="7">
        <v>0.2</v>
      </c>
      <c r="H3559" s="6" t="s">
        <v>34</v>
      </c>
      <c r="I3559" s="6" t="s">
        <v>20</v>
      </c>
      <c r="J3559" s="6">
        <v>2025.0</v>
      </c>
      <c r="K3559" s="10">
        <v>46085.0</v>
      </c>
      <c r="L3559" s="6">
        <v>1.0</v>
      </c>
      <c r="M3559" s="8">
        <f t="shared" si="4"/>
        <v>0.2</v>
      </c>
      <c r="P3559" s="9"/>
    </row>
    <row r="3560">
      <c r="A3560" s="6" t="s">
        <v>8214</v>
      </c>
      <c r="B3560" s="6" t="s">
        <v>8215</v>
      </c>
      <c r="C3560" s="6" t="s">
        <v>662</v>
      </c>
      <c r="D3560" s="6" t="s">
        <v>8216</v>
      </c>
      <c r="E3560" s="6" t="s">
        <v>8217</v>
      </c>
      <c r="F3560" s="6" t="s">
        <v>665</v>
      </c>
      <c r="G3560" s="7">
        <v>3.48</v>
      </c>
      <c r="H3560" s="6" t="s">
        <v>130</v>
      </c>
      <c r="I3560" s="6" t="s">
        <v>20</v>
      </c>
      <c r="J3560" s="6">
        <v>2014.0</v>
      </c>
      <c r="K3560" s="10">
        <v>46060.0</v>
      </c>
      <c r="L3560" s="6">
        <v>1.0</v>
      </c>
      <c r="M3560" s="8">
        <f t="shared" si="4"/>
        <v>3.48</v>
      </c>
      <c r="P3560" s="9"/>
    </row>
    <row r="3561">
      <c r="A3561" s="6" t="s">
        <v>8218</v>
      </c>
      <c r="B3561" s="6" t="s">
        <v>8219</v>
      </c>
      <c r="C3561" s="6" t="s">
        <v>43</v>
      </c>
      <c r="E3561" s="6" t="s">
        <v>579</v>
      </c>
      <c r="F3561" s="6" t="s">
        <v>112</v>
      </c>
      <c r="G3561" s="7">
        <v>0.05</v>
      </c>
      <c r="H3561" s="6" t="s">
        <v>444</v>
      </c>
      <c r="I3561" s="6" t="s">
        <v>20</v>
      </c>
      <c r="J3561" s="6">
        <v>2012.0</v>
      </c>
      <c r="K3561" s="10">
        <v>46085.0</v>
      </c>
      <c r="L3561" s="6">
        <v>1.0</v>
      </c>
      <c r="M3561" s="8">
        <f t="shared" si="4"/>
        <v>0.05</v>
      </c>
      <c r="P3561" s="9"/>
    </row>
    <row r="3562">
      <c r="A3562" s="6" t="s">
        <v>8220</v>
      </c>
      <c r="B3562" s="6" t="s">
        <v>1095</v>
      </c>
      <c r="C3562" s="6" t="s">
        <v>43</v>
      </c>
      <c r="D3562" s="6" t="s">
        <v>3448</v>
      </c>
      <c r="E3562" s="6" t="s">
        <v>164</v>
      </c>
      <c r="F3562" s="6" t="s">
        <v>112</v>
      </c>
      <c r="G3562" s="7">
        <v>0.03</v>
      </c>
      <c r="H3562" s="6" t="s">
        <v>1776</v>
      </c>
      <c r="I3562" s="6" t="s">
        <v>20</v>
      </c>
      <c r="J3562" s="6">
        <v>2017.0</v>
      </c>
      <c r="K3562" s="10">
        <v>46082.0</v>
      </c>
      <c r="L3562" s="6">
        <v>3.0</v>
      </c>
      <c r="M3562" s="8">
        <f t="shared" si="4"/>
        <v>0.09</v>
      </c>
      <c r="P3562" s="9"/>
    </row>
    <row r="3563">
      <c r="A3563" s="6" t="s">
        <v>8221</v>
      </c>
      <c r="B3563" s="6" t="s">
        <v>8222</v>
      </c>
      <c r="C3563" s="6" t="s">
        <v>43</v>
      </c>
      <c r="D3563" s="6" t="s">
        <v>8223</v>
      </c>
      <c r="E3563" s="6" t="s">
        <v>329</v>
      </c>
      <c r="F3563" s="6" t="s">
        <v>112</v>
      </c>
      <c r="G3563" s="7">
        <v>0.03</v>
      </c>
      <c r="H3563" s="6" t="s">
        <v>144</v>
      </c>
      <c r="I3563" s="6" t="s">
        <v>20</v>
      </c>
      <c r="J3563" s="6">
        <v>2018.0</v>
      </c>
      <c r="K3563" s="10">
        <v>46083.0</v>
      </c>
      <c r="L3563" s="6">
        <v>1.0</v>
      </c>
      <c r="M3563" s="8">
        <f t="shared" si="4"/>
        <v>0.03</v>
      </c>
      <c r="P3563" s="9"/>
    </row>
    <row r="3564">
      <c r="A3564" s="6" t="s">
        <v>8224</v>
      </c>
      <c r="B3564" s="6" t="s">
        <v>504</v>
      </c>
      <c r="C3564" s="6" t="s">
        <v>43</v>
      </c>
      <c r="D3564" s="6" t="s">
        <v>8225</v>
      </c>
      <c r="E3564" s="6" t="s">
        <v>708</v>
      </c>
      <c r="F3564" s="6" t="s">
        <v>112</v>
      </c>
      <c r="G3564" s="7">
        <v>0.03</v>
      </c>
      <c r="H3564" s="6" t="s">
        <v>144</v>
      </c>
      <c r="I3564" s="6" t="s">
        <v>20</v>
      </c>
      <c r="J3564" s="6">
        <v>2018.0</v>
      </c>
      <c r="K3564" s="10">
        <v>46116.0</v>
      </c>
      <c r="L3564" s="6">
        <v>1.0</v>
      </c>
      <c r="M3564" s="8">
        <f t="shared" si="4"/>
        <v>0.03</v>
      </c>
      <c r="P3564" s="9"/>
    </row>
    <row r="3565">
      <c r="A3565" s="6" t="s">
        <v>8226</v>
      </c>
      <c r="B3565" s="6" t="s">
        <v>109</v>
      </c>
      <c r="C3565" s="6" t="s">
        <v>43</v>
      </c>
      <c r="D3565" s="6" t="s">
        <v>8227</v>
      </c>
      <c r="E3565" s="6" t="s">
        <v>164</v>
      </c>
      <c r="F3565" s="6" t="s">
        <v>112</v>
      </c>
      <c r="G3565" s="7">
        <v>0.03</v>
      </c>
      <c r="H3565" s="6" t="s">
        <v>144</v>
      </c>
      <c r="I3565" s="6" t="s">
        <v>20</v>
      </c>
      <c r="J3565" s="6">
        <v>2018.0</v>
      </c>
      <c r="K3565" s="10">
        <v>46055.0</v>
      </c>
      <c r="L3565" s="6">
        <v>1.0</v>
      </c>
      <c r="M3565" s="8">
        <f t="shared" si="4"/>
        <v>0.03</v>
      </c>
      <c r="P3565" s="9"/>
    </row>
    <row r="3566">
      <c r="A3566" s="6" t="s">
        <v>8228</v>
      </c>
      <c r="B3566" s="6" t="s">
        <v>504</v>
      </c>
      <c r="C3566" s="6" t="s">
        <v>43</v>
      </c>
      <c r="E3566" s="6" t="s">
        <v>579</v>
      </c>
      <c r="F3566" s="6" t="s">
        <v>112</v>
      </c>
      <c r="G3566" s="7">
        <v>0.03</v>
      </c>
      <c r="H3566" s="6" t="s">
        <v>431</v>
      </c>
      <c r="I3566" s="6" t="s">
        <v>20</v>
      </c>
      <c r="J3566" s="6">
        <v>2019.0</v>
      </c>
      <c r="K3566" s="10">
        <v>46115.0</v>
      </c>
      <c r="L3566" s="6">
        <v>1.0</v>
      </c>
      <c r="M3566" s="8">
        <f t="shared" si="4"/>
        <v>0.03</v>
      </c>
      <c r="P3566" s="9"/>
    </row>
    <row r="3567">
      <c r="A3567" s="6" t="s">
        <v>8229</v>
      </c>
      <c r="B3567" s="6" t="s">
        <v>162</v>
      </c>
      <c r="C3567" s="6" t="s">
        <v>43</v>
      </c>
      <c r="D3567" s="6" t="s">
        <v>8230</v>
      </c>
      <c r="E3567" s="6" t="s">
        <v>164</v>
      </c>
      <c r="F3567" s="6" t="s">
        <v>112</v>
      </c>
      <c r="G3567" s="7">
        <v>7.58</v>
      </c>
      <c r="H3567" s="6" t="s">
        <v>2033</v>
      </c>
      <c r="I3567" s="6" t="s">
        <v>20</v>
      </c>
      <c r="J3567" s="6">
        <v>2019.0</v>
      </c>
      <c r="L3567" s="6">
        <v>1.0</v>
      </c>
      <c r="M3567" s="8">
        <f t="shared" si="4"/>
        <v>7.58</v>
      </c>
      <c r="N3567" s="6" t="s">
        <v>122</v>
      </c>
      <c r="P3567" s="9"/>
    </row>
    <row r="3568">
      <c r="A3568" s="6" t="s">
        <v>5561</v>
      </c>
      <c r="B3568" s="6" t="s">
        <v>74</v>
      </c>
      <c r="C3568" s="6" t="s">
        <v>43</v>
      </c>
      <c r="D3568" s="6" t="s">
        <v>5562</v>
      </c>
      <c r="E3568" s="6" t="s">
        <v>164</v>
      </c>
      <c r="F3568" s="6" t="s">
        <v>112</v>
      </c>
      <c r="G3568" s="7">
        <v>0.13</v>
      </c>
      <c r="H3568" s="6" t="s">
        <v>1076</v>
      </c>
      <c r="I3568" s="6" t="s">
        <v>20</v>
      </c>
      <c r="J3568" s="6">
        <v>2018.0</v>
      </c>
      <c r="L3568" s="6">
        <v>1.0</v>
      </c>
      <c r="M3568" s="8">
        <f t="shared" si="4"/>
        <v>0.13</v>
      </c>
      <c r="P3568" s="9"/>
    </row>
    <row r="3569">
      <c r="A3569" s="6" t="s">
        <v>8231</v>
      </c>
      <c r="B3569" s="6" t="s">
        <v>361</v>
      </c>
      <c r="C3569" s="6" t="s">
        <v>43</v>
      </c>
      <c r="E3569" s="6" t="s">
        <v>6549</v>
      </c>
      <c r="F3569" s="6" t="s">
        <v>112</v>
      </c>
      <c r="G3569" s="7">
        <v>0.03</v>
      </c>
      <c r="H3569" s="6" t="s">
        <v>709</v>
      </c>
      <c r="I3569" s="6" t="s">
        <v>20</v>
      </c>
      <c r="J3569" s="6">
        <v>2017.0</v>
      </c>
      <c r="K3569" s="10">
        <v>46274.0</v>
      </c>
      <c r="L3569" s="6">
        <v>2.0</v>
      </c>
      <c r="M3569" s="8">
        <f t="shared" si="4"/>
        <v>0.06</v>
      </c>
      <c r="P3569" s="9"/>
    </row>
    <row r="3570">
      <c r="A3570" s="6" t="s">
        <v>8232</v>
      </c>
      <c r="B3570" s="6" t="s">
        <v>74</v>
      </c>
      <c r="C3570" s="6" t="s">
        <v>43</v>
      </c>
      <c r="D3570" s="6" t="s">
        <v>8233</v>
      </c>
      <c r="E3570" s="6" t="s">
        <v>164</v>
      </c>
      <c r="F3570" s="6" t="s">
        <v>112</v>
      </c>
      <c r="G3570" s="7">
        <v>0.03</v>
      </c>
      <c r="H3570" s="6" t="s">
        <v>709</v>
      </c>
      <c r="I3570" s="6" t="s">
        <v>20</v>
      </c>
      <c r="J3570" s="6">
        <v>2017.0</v>
      </c>
      <c r="L3570" s="6">
        <v>1.0</v>
      </c>
      <c r="M3570" s="8">
        <f t="shared" si="4"/>
        <v>0.03</v>
      </c>
      <c r="P3570" s="9"/>
    </row>
    <row r="3571">
      <c r="A3571" s="6" t="s">
        <v>8234</v>
      </c>
      <c r="B3571" s="6" t="s">
        <v>2079</v>
      </c>
      <c r="C3571" s="6" t="s">
        <v>43</v>
      </c>
      <c r="D3571" s="6" t="s">
        <v>8235</v>
      </c>
      <c r="E3571" s="6" t="s">
        <v>179</v>
      </c>
      <c r="F3571" s="6" t="s">
        <v>112</v>
      </c>
      <c r="G3571" s="7">
        <v>0.03</v>
      </c>
      <c r="H3571" s="6" t="s">
        <v>709</v>
      </c>
      <c r="I3571" s="6" t="s">
        <v>20</v>
      </c>
      <c r="J3571" s="6">
        <v>2017.0</v>
      </c>
      <c r="K3571" s="10">
        <v>46023.0</v>
      </c>
      <c r="L3571" s="6">
        <v>1.0</v>
      </c>
      <c r="M3571" s="8">
        <f t="shared" si="4"/>
        <v>0.03</v>
      </c>
      <c r="P3571" s="9"/>
    </row>
    <row r="3572">
      <c r="A3572" s="6" t="s">
        <v>8236</v>
      </c>
      <c r="B3572" s="6" t="s">
        <v>2568</v>
      </c>
      <c r="C3572" s="6" t="s">
        <v>43</v>
      </c>
      <c r="D3572" s="6" t="s">
        <v>8237</v>
      </c>
      <c r="E3572" s="6" t="s">
        <v>164</v>
      </c>
      <c r="F3572" s="6" t="s">
        <v>112</v>
      </c>
      <c r="G3572" s="7">
        <v>0.03</v>
      </c>
      <c r="H3572" s="6" t="s">
        <v>709</v>
      </c>
      <c r="I3572" s="6" t="s">
        <v>20</v>
      </c>
      <c r="J3572" s="6">
        <v>2017.0</v>
      </c>
      <c r="K3572" s="6" t="s">
        <v>1924</v>
      </c>
      <c r="L3572" s="6">
        <v>1.0</v>
      </c>
      <c r="M3572" s="8">
        <f t="shared" si="4"/>
        <v>0.03</v>
      </c>
      <c r="P3572" s="9"/>
    </row>
    <row r="3573">
      <c r="A3573" s="6" t="s">
        <v>8238</v>
      </c>
      <c r="B3573" s="6" t="s">
        <v>8239</v>
      </c>
      <c r="C3573" s="6" t="s">
        <v>43</v>
      </c>
      <c r="D3573" s="6" t="s">
        <v>8240</v>
      </c>
      <c r="E3573" s="6" t="s">
        <v>329</v>
      </c>
      <c r="F3573" s="6" t="s">
        <v>112</v>
      </c>
      <c r="G3573" s="7">
        <v>0.03</v>
      </c>
      <c r="H3573" s="6" t="s">
        <v>709</v>
      </c>
      <c r="I3573" s="6" t="s">
        <v>20</v>
      </c>
      <c r="J3573" s="6">
        <v>2017.0</v>
      </c>
      <c r="K3573" s="10">
        <v>46055.0</v>
      </c>
      <c r="L3573" s="6">
        <v>1.0</v>
      </c>
      <c r="M3573" s="8">
        <f t="shared" si="4"/>
        <v>0.03</v>
      </c>
      <c r="P3573" s="9"/>
    </row>
    <row r="3574">
      <c r="A3574" s="6" t="s">
        <v>8241</v>
      </c>
      <c r="B3574" s="6" t="s">
        <v>74</v>
      </c>
      <c r="C3574" s="6" t="s">
        <v>43</v>
      </c>
      <c r="D3574" s="6" t="s">
        <v>8242</v>
      </c>
      <c r="E3574" s="6" t="s">
        <v>329</v>
      </c>
      <c r="F3574" s="6" t="s">
        <v>112</v>
      </c>
      <c r="G3574" s="7">
        <v>0.06</v>
      </c>
      <c r="H3574" s="6" t="s">
        <v>586</v>
      </c>
      <c r="I3574" s="6" t="s">
        <v>20</v>
      </c>
      <c r="J3574" s="6">
        <v>2012.0</v>
      </c>
      <c r="L3574" s="6">
        <v>2.0</v>
      </c>
      <c r="M3574" s="8">
        <f t="shared" si="4"/>
        <v>0.12</v>
      </c>
      <c r="P3574" s="9"/>
    </row>
    <row r="3575">
      <c r="A3575" s="6" t="s">
        <v>8243</v>
      </c>
      <c r="B3575" s="6" t="s">
        <v>494</v>
      </c>
      <c r="C3575" s="6" t="s">
        <v>43</v>
      </c>
      <c r="D3575" s="6" t="s">
        <v>8244</v>
      </c>
      <c r="E3575" s="6" t="s">
        <v>329</v>
      </c>
      <c r="F3575" s="6" t="s">
        <v>112</v>
      </c>
      <c r="G3575" s="7">
        <v>0.05</v>
      </c>
      <c r="H3575" s="6" t="s">
        <v>1090</v>
      </c>
      <c r="I3575" s="6" t="s">
        <v>20</v>
      </c>
      <c r="J3575" s="6">
        <v>2011.0</v>
      </c>
      <c r="L3575" s="6">
        <v>3.0</v>
      </c>
      <c r="M3575" s="8">
        <f t="shared" si="4"/>
        <v>0.15</v>
      </c>
      <c r="P3575" s="9"/>
    </row>
    <row r="3576">
      <c r="A3576" s="6" t="s">
        <v>8245</v>
      </c>
      <c r="B3576" s="6" t="s">
        <v>8246</v>
      </c>
      <c r="C3576" s="6" t="s">
        <v>43</v>
      </c>
      <c r="D3576" s="6" t="s">
        <v>8247</v>
      </c>
      <c r="E3576" s="6" t="s">
        <v>329</v>
      </c>
      <c r="F3576" s="6" t="s">
        <v>112</v>
      </c>
      <c r="G3576" s="7">
        <v>0.04</v>
      </c>
      <c r="H3576" s="6" t="s">
        <v>586</v>
      </c>
      <c r="I3576" s="6" t="s">
        <v>20</v>
      </c>
      <c r="J3576" s="6">
        <v>2012.0</v>
      </c>
      <c r="K3576" s="10">
        <v>46056.0</v>
      </c>
      <c r="L3576" s="6">
        <v>1.0</v>
      </c>
      <c r="M3576" s="8">
        <f t="shared" si="4"/>
        <v>0.04</v>
      </c>
      <c r="P3576" s="9"/>
    </row>
    <row r="3577">
      <c r="A3577" s="6" t="s">
        <v>8248</v>
      </c>
      <c r="B3577" s="6" t="s">
        <v>74</v>
      </c>
      <c r="C3577" s="6" t="s">
        <v>43</v>
      </c>
      <c r="D3577" s="6" t="s">
        <v>8249</v>
      </c>
      <c r="E3577" s="6" t="s">
        <v>329</v>
      </c>
      <c r="F3577" s="6" t="s">
        <v>112</v>
      </c>
      <c r="G3577" s="7">
        <v>0.08</v>
      </c>
      <c r="H3577" s="6" t="s">
        <v>65</v>
      </c>
      <c r="I3577" s="6" t="s">
        <v>20</v>
      </c>
      <c r="J3577" s="6">
        <v>2013.0</v>
      </c>
      <c r="L3577" s="6">
        <v>1.0</v>
      </c>
      <c r="M3577" s="8">
        <f t="shared" si="4"/>
        <v>0.08</v>
      </c>
      <c r="P3577" s="9"/>
    </row>
    <row r="3578">
      <c r="A3578" s="6" t="s">
        <v>8250</v>
      </c>
      <c r="B3578" s="6" t="s">
        <v>1095</v>
      </c>
      <c r="C3578" s="6" t="s">
        <v>43</v>
      </c>
      <c r="D3578" s="6" t="s">
        <v>8251</v>
      </c>
      <c r="E3578" s="6" t="s">
        <v>164</v>
      </c>
      <c r="F3578" s="6" t="s">
        <v>112</v>
      </c>
      <c r="G3578" s="7">
        <v>0.05</v>
      </c>
      <c r="H3578" s="6" t="s">
        <v>65</v>
      </c>
      <c r="I3578" s="6" t="s">
        <v>20</v>
      </c>
      <c r="J3578" s="6">
        <v>2013.0</v>
      </c>
      <c r="K3578" s="10">
        <v>46024.0</v>
      </c>
      <c r="L3578" s="6">
        <v>1.0</v>
      </c>
      <c r="M3578" s="8">
        <f t="shared" si="4"/>
        <v>0.05</v>
      </c>
      <c r="P3578" s="9"/>
    </row>
    <row r="3579">
      <c r="A3579" s="6" t="s">
        <v>8252</v>
      </c>
      <c r="B3579" s="6" t="s">
        <v>504</v>
      </c>
      <c r="C3579" s="6" t="s">
        <v>43</v>
      </c>
      <c r="D3579" s="6" t="s">
        <v>8253</v>
      </c>
      <c r="E3579" s="6" t="s">
        <v>579</v>
      </c>
      <c r="F3579" s="6" t="s">
        <v>112</v>
      </c>
      <c r="G3579" s="7">
        <v>0.05</v>
      </c>
      <c r="H3579" s="6" t="s">
        <v>1071</v>
      </c>
      <c r="I3579" s="6" t="s">
        <v>20</v>
      </c>
      <c r="J3579" s="6">
        <v>2012.0</v>
      </c>
      <c r="K3579" s="10">
        <v>46057.0</v>
      </c>
      <c r="L3579" s="6">
        <v>2.0</v>
      </c>
      <c r="M3579" s="8">
        <f t="shared" si="4"/>
        <v>0.1</v>
      </c>
      <c r="P3579" s="9"/>
    </row>
    <row r="3580">
      <c r="A3580" s="6" t="s">
        <v>8254</v>
      </c>
      <c r="B3580" s="6" t="s">
        <v>706</v>
      </c>
      <c r="C3580" s="6" t="s">
        <v>43</v>
      </c>
      <c r="D3580" s="6" t="s">
        <v>8255</v>
      </c>
      <c r="E3580" s="6" t="s">
        <v>179</v>
      </c>
      <c r="F3580" s="6" t="s">
        <v>112</v>
      </c>
      <c r="G3580" s="7">
        <v>0.03</v>
      </c>
      <c r="H3580" s="6" t="s">
        <v>1076</v>
      </c>
      <c r="I3580" s="6" t="s">
        <v>20</v>
      </c>
      <c r="J3580" s="6">
        <v>2018.0</v>
      </c>
      <c r="K3580" s="10">
        <v>46023.0</v>
      </c>
      <c r="L3580" s="6">
        <v>2.0</v>
      </c>
      <c r="M3580" s="8">
        <f t="shared" si="4"/>
        <v>0.06</v>
      </c>
      <c r="P3580" s="9"/>
    </row>
    <row r="3581">
      <c r="A3581" s="6" t="s">
        <v>5336</v>
      </c>
      <c r="B3581" s="6" t="s">
        <v>361</v>
      </c>
      <c r="C3581" s="6" t="s">
        <v>43</v>
      </c>
      <c r="E3581" s="6" t="s">
        <v>329</v>
      </c>
      <c r="F3581" s="6" t="s">
        <v>112</v>
      </c>
      <c r="G3581" s="7">
        <v>0.03</v>
      </c>
      <c r="H3581" s="6" t="s">
        <v>1076</v>
      </c>
      <c r="I3581" s="6" t="s">
        <v>20</v>
      </c>
      <c r="J3581" s="6">
        <v>2018.0</v>
      </c>
      <c r="K3581" s="10">
        <v>46057.0</v>
      </c>
      <c r="L3581" s="6">
        <v>1.0</v>
      </c>
      <c r="M3581" s="8">
        <f t="shared" si="4"/>
        <v>0.03</v>
      </c>
      <c r="P3581" s="9"/>
    </row>
    <row r="3582">
      <c r="A3582" s="6" t="s">
        <v>1703</v>
      </c>
      <c r="B3582" s="6" t="s">
        <v>361</v>
      </c>
      <c r="C3582" s="6" t="s">
        <v>43</v>
      </c>
      <c r="D3582" s="6" t="s">
        <v>1705</v>
      </c>
      <c r="E3582" s="6" t="s">
        <v>1702</v>
      </c>
      <c r="F3582" s="6" t="s">
        <v>112</v>
      </c>
      <c r="G3582" s="7">
        <v>0.05</v>
      </c>
      <c r="H3582" s="6" t="s">
        <v>1076</v>
      </c>
      <c r="I3582" s="6" t="s">
        <v>20</v>
      </c>
      <c r="J3582" s="6">
        <v>2018.0</v>
      </c>
      <c r="K3582" s="10">
        <v>46179.0</v>
      </c>
      <c r="L3582" s="6">
        <v>1.0</v>
      </c>
      <c r="M3582" s="8">
        <f t="shared" si="4"/>
        <v>0.05</v>
      </c>
      <c r="P3582" s="9"/>
    </row>
    <row r="3583">
      <c r="A3583" s="6" t="s">
        <v>8256</v>
      </c>
      <c r="B3583" s="6" t="s">
        <v>162</v>
      </c>
      <c r="C3583" s="6" t="s">
        <v>43</v>
      </c>
      <c r="D3583" s="6" t="s">
        <v>8257</v>
      </c>
      <c r="E3583" s="6" t="s">
        <v>579</v>
      </c>
      <c r="F3583" s="6" t="s">
        <v>112</v>
      </c>
      <c r="G3583" s="7">
        <v>0.03</v>
      </c>
      <c r="H3583" s="6" t="s">
        <v>1076</v>
      </c>
      <c r="I3583" s="6" t="s">
        <v>20</v>
      </c>
      <c r="J3583" s="6">
        <v>2018.0</v>
      </c>
      <c r="L3583" s="6">
        <v>2.0</v>
      </c>
      <c r="M3583" s="8">
        <f t="shared" si="4"/>
        <v>0.06</v>
      </c>
      <c r="P3583" s="9"/>
    </row>
    <row r="3584">
      <c r="A3584" s="6" t="s">
        <v>8258</v>
      </c>
      <c r="B3584" s="6" t="s">
        <v>74</v>
      </c>
      <c r="C3584" s="6" t="s">
        <v>43</v>
      </c>
      <c r="D3584" s="6" t="s">
        <v>8259</v>
      </c>
      <c r="E3584" s="6" t="s">
        <v>164</v>
      </c>
      <c r="F3584" s="6" t="s">
        <v>112</v>
      </c>
      <c r="G3584" s="7">
        <v>0.03</v>
      </c>
      <c r="H3584" s="6" t="s">
        <v>1076</v>
      </c>
      <c r="I3584" s="6" t="s">
        <v>20</v>
      </c>
      <c r="J3584" s="6">
        <v>2018.0</v>
      </c>
      <c r="L3584" s="6">
        <v>2.0</v>
      </c>
      <c r="M3584" s="8">
        <f t="shared" si="4"/>
        <v>0.06</v>
      </c>
      <c r="P3584" s="9"/>
    </row>
    <row r="3585">
      <c r="A3585" s="6" t="s">
        <v>8260</v>
      </c>
      <c r="B3585" s="6" t="s">
        <v>2079</v>
      </c>
      <c r="C3585" s="6" t="s">
        <v>43</v>
      </c>
      <c r="D3585" s="6" t="s">
        <v>8261</v>
      </c>
      <c r="E3585" s="6" t="s">
        <v>164</v>
      </c>
      <c r="F3585" s="6" t="s">
        <v>112</v>
      </c>
      <c r="G3585" s="7">
        <v>0.03</v>
      </c>
      <c r="H3585" s="6" t="s">
        <v>1076</v>
      </c>
      <c r="I3585" s="6" t="s">
        <v>20</v>
      </c>
      <c r="J3585" s="6">
        <v>2018.0</v>
      </c>
      <c r="K3585" s="10">
        <v>46024.0</v>
      </c>
      <c r="L3585" s="6">
        <v>1.0</v>
      </c>
      <c r="M3585" s="8">
        <f t="shared" si="4"/>
        <v>0.03</v>
      </c>
      <c r="P3585" s="9"/>
    </row>
    <row r="3586">
      <c r="A3586" s="6" t="s">
        <v>8262</v>
      </c>
      <c r="B3586" s="6" t="s">
        <v>162</v>
      </c>
      <c r="C3586" s="6" t="s">
        <v>43</v>
      </c>
      <c r="D3586" s="6" t="s">
        <v>8263</v>
      </c>
      <c r="E3586" s="6" t="s">
        <v>164</v>
      </c>
      <c r="F3586" s="6" t="s">
        <v>112</v>
      </c>
      <c r="G3586" s="7">
        <v>0.15</v>
      </c>
      <c r="H3586" s="6" t="s">
        <v>160</v>
      </c>
      <c r="I3586" s="6" t="s">
        <v>20</v>
      </c>
      <c r="J3586" s="6">
        <v>2024.0</v>
      </c>
      <c r="L3586" s="6">
        <v>1.0</v>
      </c>
      <c r="M3586" s="8">
        <f t="shared" si="4"/>
        <v>0.15</v>
      </c>
      <c r="P3586" s="9"/>
    </row>
    <row r="3587">
      <c r="A3587" s="6" t="s">
        <v>8264</v>
      </c>
      <c r="B3587" s="6" t="s">
        <v>8265</v>
      </c>
      <c r="C3587" s="6" t="s">
        <v>43</v>
      </c>
      <c r="D3587" s="6" t="s">
        <v>8266</v>
      </c>
      <c r="E3587" s="6" t="s">
        <v>579</v>
      </c>
      <c r="F3587" s="6" t="s">
        <v>112</v>
      </c>
      <c r="G3587" s="7">
        <v>0.06</v>
      </c>
      <c r="H3587" s="6" t="s">
        <v>415</v>
      </c>
      <c r="I3587" s="6" t="s">
        <v>20</v>
      </c>
      <c r="J3587" s="6">
        <v>2016.0</v>
      </c>
      <c r="K3587" s="10">
        <v>46115.0</v>
      </c>
      <c r="L3587" s="6">
        <v>1.0</v>
      </c>
      <c r="M3587" s="8">
        <f t="shared" si="4"/>
        <v>0.06</v>
      </c>
      <c r="P3587" s="9"/>
    </row>
    <row r="3588">
      <c r="A3588" s="6" t="s">
        <v>8267</v>
      </c>
      <c r="B3588" s="6" t="s">
        <v>74</v>
      </c>
      <c r="C3588" s="6" t="s">
        <v>43</v>
      </c>
      <c r="D3588" s="6" t="s">
        <v>8268</v>
      </c>
      <c r="E3588" s="6" t="s">
        <v>329</v>
      </c>
      <c r="F3588" s="6" t="s">
        <v>112</v>
      </c>
      <c r="G3588" s="7">
        <v>0.03</v>
      </c>
      <c r="H3588" s="6" t="s">
        <v>496</v>
      </c>
      <c r="I3588" s="6" t="s">
        <v>20</v>
      </c>
      <c r="J3588" s="6">
        <v>2013.0</v>
      </c>
      <c r="L3588" s="6">
        <v>1.0</v>
      </c>
      <c r="M3588" s="8">
        <f t="shared" si="4"/>
        <v>0.03</v>
      </c>
      <c r="P3588" s="9"/>
    </row>
    <row r="3589">
      <c r="A3589" s="6" t="s">
        <v>8269</v>
      </c>
      <c r="B3589" s="6" t="s">
        <v>494</v>
      </c>
      <c r="C3589" s="6" t="s">
        <v>43</v>
      </c>
      <c r="D3589" s="6" t="s">
        <v>8270</v>
      </c>
      <c r="E3589" s="6" t="s">
        <v>179</v>
      </c>
      <c r="F3589" s="6" t="s">
        <v>112</v>
      </c>
      <c r="G3589" s="7">
        <v>0.05</v>
      </c>
      <c r="H3589" s="6" t="s">
        <v>586</v>
      </c>
      <c r="I3589" s="6" t="s">
        <v>20</v>
      </c>
      <c r="J3589" s="6">
        <v>2012.0</v>
      </c>
      <c r="L3589" s="6">
        <v>3.0</v>
      </c>
      <c r="M3589" s="8">
        <f t="shared" si="4"/>
        <v>0.15</v>
      </c>
      <c r="P3589" s="9"/>
    </row>
    <row r="3590">
      <c r="A3590" s="6" t="s">
        <v>8267</v>
      </c>
      <c r="B3590" s="6" t="s">
        <v>74</v>
      </c>
      <c r="C3590" s="6" t="s">
        <v>43</v>
      </c>
      <c r="D3590" s="6" t="s">
        <v>8268</v>
      </c>
      <c r="E3590" s="6" t="s">
        <v>329</v>
      </c>
      <c r="F3590" s="6" t="s">
        <v>112</v>
      </c>
      <c r="G3590" s="7">
        <v>0.03</v>
      </c>
      <c r="H3590" s="6" t="s">
        <v>496</v>
      </c>
      <c r="I3590" s="6" t="s">
        <v>20</v>
      </c>
      <c r="J3590" s="6">
        <v>2013.0</v>
      </c>
      <c r="L3590" s="6">
        <v>1.0</v>
      </c>
      <c r="M3590" s="8">
        <f t="shared" si="4"/>
        <v>0.03</v>
      </c>
      <c r="P3590" s="9"/>
    </row>
    <row r="3591">
      <c r="A3591" s="6" t="s">
        <v>6208</v>
      </c>
      <c r="B3591" s="6" t="s">
        <v>494</v>
      </c>
      <c r="C3591" s="6" t="s">
        <v>43</v>
      </c>
      <c r="D3591" s="6" t="s">
        <v>6209</v>
      </c>
      <c r="E3591" s="6" t="s">
        <v>329</v>
      </c>
      <c r="F3591" s="6" t="s">
        <v>112</v>
      </c>
      <c r="G3591" s="7">
        <v>0.03</v>
      </c>
      <c r="H3591" s="6" t="s">
        <v>3781</v>
      </c>
      <c r="I3591" s="6" t="s">
        <v>20</v>
      </c>
      <c r="J3591" s="6">
        <v>2008.0</v>
      </c>
      <c r="L3591" s="6">
        <v>1.0</v>
      </c>
      <c r="M3591" s="8">
        <f t="shared" si="4"/>
        <v>0.03</v>
      </c>
      <c r="P3591" s="9"/>
    </row>
    <row r="3592">
      <c r="A3592" s="6" t="s">
        <v>1644</v>
      </c>
      <c r="B3592" s="6" t="s">
        <v>74</v>
      </c>
      <c r="C3592" s="6" t="s">
        <v>43</v>
      </c>
      <c r="D3592" s="6" t="s">
        <v>1645</v>
      </c>
      <c r="E3592" s="6" t="s">
        <v>329</v>
      </c>
      <c r="F3592" s="6" t="s">
        <v>112</v>
      </c>
      <c r="G3592" s="7">
        <v>0.05</v>
      </c>
      <c r="H3592" s="6" t="s">
        <v>1148</v>
      </c>
      <c r="I3592" s="6" t="s">
        <v>20</v>
      </c>
      <c r="J3592" s="6">
        <v>2012.0</v>
      </c>
      <c r="L3592" s="6">
        <v>1.0</v>
      </c>
      <c r="M3592" s="8">
        <f t="shared" si="4"/>
        <v>0.05</v>
      </c>
      <c r="P3592" s="9"/>
    </row>
    <row r="3593">
      <c r="A3593" s="6" t="s">
        <v>8271</v>
      </c>
      <c r="B3593" s="6" t="s">
        <v>3929</v>
      </c>
      <c r="C3593" s="6" t="s">
        <v>43</v>
      </c>
      <c r="D3593" s="6" t="s">
        <v>8272</v>
      </c>
      <c r="E3593" s="6" t="s">
        <v>2647</v>
      </c>
      <c r="F3593" s="6" t="s">
        <v>112</v>
      </c>
      <c r="G3593" s="7">
        <v>0.04</v>
      </c>
      <c r="H3593" s="6" t="s">
        <v>687</v>
      </c>
      <c r="I3593" s="6" t="s">
        <v>20</v>
      </c>
      <c r="J3593" s="6">
        <v>2011.0</v>
      </c>
      <c r="K3593" s="10">
        <v>46115.0</v>
      </c>
      <c r="L3593" s="6">
        <v>1.0</v>
      </c>
      <c r="M3593" s="8">
        <f t="shared" si="4"/>
        <v>0.04</v>
      </c>
      <c r="P3593" s="9"/>
    </row>
    <row r="3594">
      <c r="A3594" s="6" t="s">
        <v>8273</v>
      </c>
      <c r="B3594" s="6" t="s">
        <v>504</v>
      </c>
      <c r="C3594" s="6" t="s">
        <v>43</v>
      </c>
      <c r="E3594" s="6" t="s">
        <v>111</v>
      </c>
      <c r="F3594" s="6" t="s">
        <v>112</v>
      </c>
      <c r="G3594" s="7">
        <v>0.03</v>
      </c>
      <c r="H3594" s="6" t="s">
        <v>1148</v>
      </c>
      <c r="I3594" s="6" t="s">
        <v>20</v>
      </c>
      <c r="J3594" s="6">
        <v>2012.0</v>
      </c>
      <c r="K3594" s="10">
        <v>46147.0</v>
      </c>
      <c r="L3594" s="6">
        <v>1.0</v>
      </c>
      <c r="M3594" s="8">
        <f t="shared" si="4"/>
        <v>0.03</v>
      </c>
      <c r="P3594" s="9"/>
    </row>
    <row r="3595">
      <c r="A3595" s="6" t="s">
        <v>8274</v>
      </c>
      <c r="B3595" s="6" t="s">
        <v>854</v>
      </c>
      <c r="C3595" s="6" t="s">
        <v>43</v>
      </c>
      <c r="D3595" s="6" t="s">
        <v>8275</v>
      </c>
      <c r="E3595" s="6" t="s">
        <v>329</v>
      </c>
      <c r="F3595" s="6" t="s">
        <v>112</v>
      </c>
      <c r="G3595" s="7">
        <v>0.05</v>
      </c>
      <c r="H3595" s="6" t="s">
        <v>687</v>
      </c>
      <c r="I3595" s="6" t="s">
        <v>20</v>
      </c>
      <c r="J3595" s="6">
        <v>2011.0</v>
      </c>
      <c r="K3595" s="10">
        <v>46055.0</v>
      </c>
      <c r="L3595" s="6">
        <v>1.0</v>
      </c>
      <c r="M3595" s="8">
        <f t="shared" si="4"/>
        <v>0.05</v>
      </c>
      <c r="P3595" s="9"/>
    </row>
    <row r="3596">
      <c r="A3596" s="6" t="s">
        <v>8276</v>
      </c>
      <c r="B3596" s="6" t="s">
        <v>4706</v>
      </c>
      <c r="C3596" s="6" t="s">
        <v>43</v>
      </c>
      <c r="D3596" s="6" t="s">
        <v>6591</v>
      </c>
      <c r="E3596" s="6" t="s">
        <v>579</v>
      </c>
      <c r="F3596" s="6" t="s">
        <v>112</v>
      </c>
      <c r="G3596" s="7">
        <v>0.05</v>
      </c>
      <c r="H3596" s="6" t="s">
        <v>283</v>
      </c>
      <c r="I3596" s="6" t="s">
        <v>20</v>
      </c>
      <c r="J3596" s="6">
        <v>2013.0</v>
      </c>
      <c r="K3596" s="10">
        <v>46114.0</v>
      </c>
      <c r="L3596" s="6">
        <v>1.0</v>
      </c>
      <c r="M3596" s="8">
        <f t="shared" si="4"/>
        <v>0.05</v>
      </c>
      <c r="P3596" s="9"/>
    </row>
    <row r="3597">
      <c r="A3597" s="6" t="s">
        <v>8277</v>
      </c>
      <c r="B3597" s="6" t="s">
        <v>1012</v>
      </c>
      <c r="C3597" s="6" t="s">
        <v>43</v>
      </c>
      <c r="D3597" s="6" t="s">
        <v>8278</v>
      </c>
      <c r="E3597" s="6" t="s">
        <v>329</v>
      </c>
      <c r="F3597" s="6" t="s">
        <v>112</v>
      </c>
      <c r="G3597" s="7">
        <v>0.06</v>
      </c>
      <c r="H3597" s="6" t="s">
        <v>283</v>
      </c>
      <c r="I3597" s="6" t="s">
        <v>20</v>
      </c>
      <c r="J3597" s="6">
        <v>2013.0</v>
      </c>
      <c r="K3597" s="10">
        <v>46055.0</v>
      </c>
      <c r="L3597" s="6">
        <v>1.0</v>
      </c>
      <c r="M3597" s="8">
        <f t="shared" si="4"/>
        <v>0.06</v>
      </c>
      <c r="P3597" s="9"/>
    </row>
    <row r="3598">
      <c r="A3598" s="6" t="s">
        <v>8279</v>
      </c>
      <c r="B3598" s="6" t="s">
        <v>504</v>
      </c>
      <c r="C3598" s="6" t="s">
        <v>43</v>
      </c>
      <c r="E3598" s="6" t="s">
        <v>708</v>
      </c>
      <c r="F3598" s="6" t="s">
        <v>112</v>
      </c>
      <c r="G3598" s="7">
        <v>0.05</v>
      </c>
      <c r="H3598" s="6" t="s">
        <v>283</v>
      </c>
      <c r="I3598" s="6" t="s">
        <v>20</v>
      </c>
      <c r="J3598" s="6">
        <v>2013.0</v>
      </c>
      <c r="K3598" s="10">
        <v>46116.0</v>
      </c>
      <c r="L3598" s="6">
        <v>2.0</v>
      </c>
      <c r="M3598" s="8">
        <f t="shared" si="4"/>
        <v>0.1</v>
      </c>
      <c r="P3598" s="9"/>
    </row>
    <row r="3599">
      <c r="A3599" s="6" t="s">
        <v>8280</v>
      </c>
      <c r="B3599" s="6" t="s">
        <v>3097</v>
      </c>
      <c r="C3599" s="6" t="s">
        <v>43</v>
      </c>
      <c r="D3599" s="6" t="s">
        <v>8281</v>
      </c>
      <c r="E3599" s="6" t="s">
        <v>579</v>
      </c>
      <c r="F3599" s="6" t="s">
        <v>112</v>
      </c>
      <c r="G3599" s="7">
        <v>0.05</v>
      </c>
      <c r="H3599" s="6" t="s">
        <v>687</v>
      </c>
      <c r="I3599" s="6" t="s">
        <v>20</v>
      </c>
      <c r="J3599" s="6">
        <v>2011.0</v>
      </c>
      <c r="K3599" s="10">
        <v>46083.0</v>
      </c>
      <c r="L3599" s="6">
        <v>5.0</v>
      </c>
      <c r="M3599" s="8">
        <f t="shared" si="4"/>
        <v>0.25</v>
      </c>
      <c r="P3599" s="9"/>
    </row>
    <row r="3600">
      <c r="A3600" s="6" t="s">
        <v>8282</v>
      </c>
      <c r="B3600" s="6" t="s">
        <v>6201</v>
      </c>
      <c r="C3600" s="6" t="s">
        <v>43</v>
      </c>
      <c r="D3600" s="6" t="s">
        <v>8283</v>
      </c>
      <c r="E3600" s="6" t="s">
        <v>164</v>
      </c>
      <c r="F3600" s="6" t="s">
        <v>112</v>
      </c>
      <c r="G3600" s="7">
        <v>0.09</v>
      </c>
      <c r="H3600" s="6" t="s">
        <v>1148</v>
      </c>
      <c r="I3600" s="6" t="s">
        <v>20</v>
      </c>
      <c r="J3600" s="6">
        <v>2012.0</v>
      </c>
      <c r="K3600" s="10">
        <v>46055.0</v>
      </c>
      <c r="L3600" s="6">
        <v>2.0</v>
      </c>
      <c r="M3600" s="8">
        <f t="shared" si="4"/>
        <v>0.18</v>
      </c>
      <c r="P3600" s="9"/>
    </row>
    <row r="3601">
      <c r="A3601" s="6" t="s">
        <v>8284</v>
      </c>
      <c r="B3601" s="6" t="s">
        <v>8285</v>
      </c>
      <c r="C3601" s="6" t="s">
        <v>204</v>
      </c>
      <c r="D3601" s="6" t="s">
        <v>8286</v>
      </c>
      <c r="E3601" s="6" t="s">
        <v>125</v>
      </c>
      <c r="F3601" s="6" t="s">
        <v>40</v>
      </c>
      <c r="G3601" s="7">
        <v>0.07</v>
      </c>
      <c r="H3601" s="6" t="s">
        <v>464</v>
      </c>
      <c r="I3601" s="6" t="s">
        <v>20</v>
      </c>
      <c r="J3601" s="6">
        <v>2002.0</v>
      </c>
      <c r="K3601" s="10">
        <v>46023.0</v>
      </c>
      <c r="L3601" s="6">
        <v>1.0</v>
      </c>
      <c r="M3601" s="8">
        <f t="shared" si="4"/>
        <v>0.07</v>
      </c>
      <c r="P3601" s="9"/>
    </row>
    <row r="3602">
      <c r="A3602" s="6" t="s">
        <v>8287</v>
      </c>
      <c r="B3602" s="6" t="s">
        <v>8288</v>
      </c>
      <c r="C3602" s="6" t="s">
        <v>43</v>
      </c>
      <c r="D3602" s="6" t="s">
        <v>8289</v>
      </c>
      <c r="E3602" s="6" t="s">
        <v>39</v>
      </c>
      <c r="F3602" s="6" t="s">
        <v>40</v>
      </c>
      <c r="G3602" s="7">
        <v>0.05</v>
      </c>
      <c r="H3602" s="6" t="s">
        <v>464</v>
      </c>
      <c r="I3602" s="6" t="s">
        <v>20</v>
      </c>
      <c r="J3602" s="6">
        <v>2002.0</v>
      </c>
      <c r="K3602" s="10">
        <v>46055.0</v>
      </c>
      <c r="L3602" s="6">
        <v>1.0</v>
      </c>
      <c r="M3602" s="8">
        <f t="shared" si="4"/>
        <v>0.05</v>
      </c>
      <c r="P3602" s="9"/>
    </row>
    <row r="3603">
      <c r="A3603" s="6" t="s">
        <v>8290</v>
      </c>
      <c r="B3603" s="6" t="s">
        <v>462</v>
      </c>
      <c r="C3603" s="6" t="s">
        <v>37</v>
      </c>
      <c r="D3603" s="6" t="s">
        <v>8291</v>
      </c>
      <c r="E3603" s="6" t="s">
        <v>39</v>
      </c>
      <c r="F3603" s="6" t="s">
        <v>40</v>
      </c>
      <c r="G3603" s="7">
        <v>0.18</v>
      </c>
      <c r="H3603" s="6" t="s">
        <v>8292</v>
      </c>
      <c r="I3603" s="6" t="s">
        <v>20</v>
      </c>
      <c r="J3603" s="6">
        <v>2017.0</v>
      </c>
      <c r="L3603" s="6">
        <v>1.0</v>
      </c>
      <c r="M3603" s="8">
        <f t="shared" si="4"/>
        <v>0.18</v>
      </c>
      <c r="P3603" s="9"/>
    </row>
    <row r="3604">
      <c r="A3604" s="6" t="s">
        <v>8293</v>
      </c>
      <c r="B3604" s="6" t="s">
        <v>8294</v>
      </c>
      <c r="C3604" s="6" t="s">
        <v>37</v>
      </c>
      <c r="D3604" s="6" t="s">
        <v>8295</v>
      </c>
      <c r="E3604" s="6" t="s">
        <v>1448</v>
      </c>
      <c r="F3604" s="6" t="s">
        <v>40</v>
      </c>
      <c r="G3604" s="7">
        <v>0.3</v>
      </c>
      <c r="H3604" s="6" t="s">
        <v>8292</v>
      </c>
      <c r="I3604" s="6" t="s">
        <v>20</v>
      </c>
      <c r="J3604" s="6">
        <v>2017.0</v>
      </c>
      <c r="K3604" s="10">
        <v>46055.0</v>
      </c>
      <c r="L3604" s="6">
        <v>5.0</v>
      </c>
      <c r="M3604" s="8">
        <f t="shared" si="4"/>
        <v>1.5</v>
      </c>
      <c r="P3604" s="9"/>
    </row>
    <row r="3605">
      <c r="A3605" s="6" t="s">
        <v>8296</v>
      </c>
      <c r="B3605" s="6" t="s">
        <v>8297</v>
      </c>
      <c r="C3605" s="6" t="s">
        <v>37</v>
      </c>
      <c r="D3605" s="6" t="s">
        <v>8298</v>
      </c>
      <c r="E3605" s="6" t="s">
        <v>185</v>
      </c>
      <c r="F3605" s="6" t="s">
        <v>26</v>
      </c>
      <c r="G3605" s="7">
        <v>0.07</v>
      </c>
      <c r="H3605" s="6" t="s">
        <v>506</v>
      </c>
      <c r="I3605" s="6" t="s">
        <v>20</v>
      </c>
      <c r="J3605" s="6">
        <v>2016.0</v>
      </c>
      <c r="K3605" s="10">
        <v>46055.0</v>
      </c>
      <c r="L3605" s="6">
        <v>2.0</v>
      </c>
      <c r="M3605" s="8">
        <f t="shared" si="4"/>
        <v>0.14</v>
      </c>
      <c r="P3605" s="9"/>
    </row>
    <row r="3606">
      <c r="A3606" s="6" t="s">
        <v>8299</v>
      </c>
      <c r="B3606" s="6" t="s">
        <v>1468</v>
      </c>
      <c r="C3606" s="6" t="s">
        <v>37</v>
      </c>
      <c r="D3606" s="6" t="s">
        <v>8300</v>
      </c>
      <c r="E3606" s="6" t="s">
        <v>185</v>
      </c>
      <c r="F3606" s="6" t="s">
        <v>26</v>
      </c>
      <c r="G3606" s="7">
        <v>0.05</v>
      </c>
      <c r="H3606" s="6" t="s">
        <v>415</v>
      </c>
      <c r="I3606" s="6" t="s">
        <v>20</v>
      </c>
      <c r="J3606" s="6">
        <v>2016.0</v>
      </c>
      <c r="K3606" s="10">
        <v>46055.0</v>
      </c>
      <c r="L3606" s="6">
        <v>2.0</v>
      </c>
      <c r="M3606" s="8">
        <f t="shared" si="4"/>
        <v>0.1</v>
      </c>
      <c r="P3606" s="9"/>
    </row>
    <row r="3607">
      <c r="A3607" s="6" t="s">
        <v>8301</v>
      </c>
      <c r="B3607" s="6" t="s">
        <v>396</v>
      </c>
      <c r="C3607" s="6" t="s">
        <v>37</v>
      </c>
      <c r="D3607" s="6" t="s">
        <v>8302</v>
      </c>
      <c r="E3607" s="6" t="s">
        <v>185</v>
      </c>
      <c r="F3607" s="6" t="s">
        <v>26</v>
      </c>
      <c r="G3607" s="7">
        <v>0.06</v>
      </c>
      <c r="H3607" s="6" t="s">
        <v>903</v>
      </c>
      <c r="I3607" s="6" t="s">
        <v>20</v>
      </c>
      <c r="J3607" s="6">
        <v>2016.0</v>
      </c>
      <c r="L3607" s="6">
        <v>4.0</v>
      </c>
      <c r="M3607" s="8">
        <f t="shared" si="4"/>
        <v>0.24</v>
      </c>
      <c r="P3607" s="9"/>
    </row>
    <row r="3608">
      <c r="A3608" s="6" t="s">
        <v>8303</v>
      </c>
      <c r="B3608" s="6" t="s">
        <v>219</v>
      </c>
      <c r="C3608" s="6" t="s">
        <v>37</v>
      </c>
      <c r="D3608" s="6" t="s">
        <v>8304</v>
      </c>
      <c r="E3608" s="6" t="s">
        <v>185</v>
      </c>
      <c r="F3608" s="6" t="s">
        <v>26</v>
      </c>
      <c r="G3608" s="7">
        <v>0.35</v>
      </c>
      <c r="H3608" s="6" t="s">
        <v>903</v>
      </c>
      <c r="I3608" s="6" t="s">
        <v>20</v>
      </c>
      <c r="J3608" s="6">
        <v>2016.0</v>
      </c>
      <c r="L3608" s="6">
        <v>2.0</v>
      </c>
      <c r="M3608" s="8">
        <f t="shared" si="4"/>
        <v>0.7</v>
      </c>
      <c r="P3608" s="9"/>
    </row>
    <row r="3609">
      <c r="A3609" s="6" t="s">
        <v>8305</v>
      </c>
      <c r="B3609" s="6" t="s">
        <v>8306</v>
      </c>
      <c r="C3609" s="6" t="s">
        <v>37</v>
      </c>
      <c r="D3609" s="6" t="s">
        <v>8307</v>
      </c>
      <c r="E3609" s="6" t="s">
        <v>1716</v>
      </c>
      <c r="F3609" s="6" t="s">
        <v>18</v>
      </c>
      <c r="G3609" s="7">
        <v>0.05</v>
      </c>
      <c r="H3609" s="6" t="s">
        <v>903</v>
      </c>
      <c r="I3609" s="6" t="s">
        <v>20</v>
      </c>
      <c r="J3609" s="6">
        <v>2016.0</v>
      </c>
      <c r="K3609" s="10">
        <v>46208.0</v>
      </c>
      <c r="L3609" s="6">
        <v>2.0</v>
      </c>
      <c r="M3609" s="8">
        <f t="shared" si="4"/>
        <v>0.1</v>
      </c>
      <c r="P3609" s="9"/>
    </row>
    <row r="3610">
      <c r="A3610" s="6" t="s">
        <v>8308</v>
      </c>
      <c r="B3610" s="6" t="s">
        <v>8309</v>
      </c>
      <c r="C3610" s="6" t="s">
        <v>37</v>
      </c>
      <c r="D3610" s="6" t="s">
        <v>8310</v>
      </c>
      <c r="E3610" s="6" t="s">
        <v>319</v>
      </c>
      <c r="F3610" s="6" t="s">
        <v>977</v>
      </c>
      <c r="G3610" s="7">
        <v>0.06</v>
      </c>
      <c r="H3610" s="6" t="s">
        <v>903</v>
      </c>
      <c r="I3610" s="6" t="s">
        <v>20</v>
      </c>
      <c r="J3610" s="6">
        <v>2016.0</v>
      </c>
      <c r="K3610" s="10">
        <v>46117.0</v>
      </c>
      <c r="L3610" s="6">
        <v>2.0</v>
      </c>
      <c r="M3610" s="8">
        <f t="shared" si="4"/>
        <v>0.12</v>
      </c>
      <c r="P3610" s="9"/>
    </row>
    <row r="3611">
      <c r="A3611" s="6" t="s">
        <v>8311</v>
      </c>
      <c r="B3611" s="6" t="s">
        <v>8306</v>
      </c>
      <c r="C3611" s="6" t="s">
        <v>37</v>
      </c>
      <c r="D3611" s="6" t="s">
        <v>8312</v>
      </c>
      <c r="E3611" s="6" t="s">
        <v>319</v>
      </c>
      <c r="F3611" s="6" t="s">
        <v>18</v>
      </c>
      <c r="G3611" s="7">
        <v>0.06</v>
      </c>
      <c r="H3611" s="6" t="s">
        <v>903</v>
      </c>
      <c r="I3611" s="6" t="s">
        <v>20</v>
      </c>
      <c r="J3611" s="6">
        <v>2016.0</v>
      </c>
      <c r="K3611" s="10">
        <v>46146.0</v>
      </c>
      <c r="L3611" s="6">
        <v>3.0</v>
      </c>
      <c r="M3611" s="8">
        <f t="shared" si="4"/>
        <v>0.18</v>
      </c>
      <c r="P3611" s="9"/>
    </row>
    <row r="3612">
      <c r="A3612" s="6" t="s">
        <v>8313</v>
      </c>
      <c r="B3612" s="6" t="s">
        <v>647</v>
      </c>
      <c r="C3612" s="6" t="s">
        <v>37</v>
      </c>
      <c r="D3612" s="6" t="s">
        <v>8314</v>
      </c>
      <c r="E3612" s="6" t="s">
        <v>994</v>
      </c>
      <c r="F3612" s="6" t="s">
        <v>26</v>
      </c>
      <c r="G3612" s="7">
        <v>0.05</v>
      </c>
      <c r="H3612" s="6" t="s">
        <v>415</v>
      </c>
      <c r="I3612" s="6" t="s">
        <v>20</v>
      </c>
      <c r="J3612" s="6">
        <v>2016.0</v>
      </c>
      <c r="K3612" s="10">
        <v>46178.0</v>
      </c>
      <c r="L3612" s="6">
        <v>3.0</v>
      </c>
      <c r="M3612" s="8">
        <f t="shared" si="4"/>
        <v>0.15</v>
      </c>
      <c r="P3612" s="9"/>
    </row>
    <row r="3613">
      <c r="A3613" s="6" t="s">
        <v>8315</v>
      </c>
      <c r="B3613" s="6" t="s">
        <v>396</v>
      </c>
      <c r="C3613" s="6" t="s">
        <v>37</v>
      </c>
      <c r="D3613" s="6" t="s">
        <v>8316</v>
      </c>
      <c r="E3613" s="6" t="s">
        <v>185</v>
      </c>
      <c r="F3613" s="6" t="s">
        <v>26</v>
      </c>
      <c r="G3613" s="7">
        <v>0.05</v>
      </c>
      <c r="H3613" s="6" t="s">
        <v>903</v>
      </c>
      <c r="I3613" s="6" t="s">
        <v>20</v>
      </c>
      <c r="J3613" s="6">
        <v>2016.0</v>
      </c>
      <c r="L3613" s="6">
        <v>2.0</v>
      </c>
      <c r="M3613" s="8">
        <f t="shared" si="4"/>
        <v>0.1</v>
      </c>
      <c r="P3613" s="9"/>
    </row>
    <row r="3614">
      <c r="A3614" s="6" t="s">
        <v>8317</v>
      </c>
      <c r="B3614" s="6" t="s">
        <v>1468</v>
      </c>
      <c r="C3614" s="6" t="s">
        <v>37</v>
      </c>
      <c r="D3614" s="6" t="s">
        <v>8318</v>
      </c>
      <c r="E3614" s="6" t="s">
        <v>994</v>
      </c>
      <c r="F3614" s="6" t="s">
        <v>26</v>
      </c>
      <c r="G3614" s="7">
        <v>0.07</v>
      </c>
      <c r="H3614" s="6" t="s">
        <v>903</v>
      </c>
      <c r="I3614" s="6" t="s">
        <v>20</v>
      </c>
      <c r="J3614" s="6">
        <v>2016.0</v>
      </c>
      <c r="K3614" s="10">
        <v>46116.0</v>
      </c>
      <c r="L3614" s="6">
        <v>1.0</v>
      </c>
      <c r="M3614" s="8">
        <f t="shared" si="4"/>
        <v>0.07</v>
      </c>
      <c r="P3614" s="9"/>
    </row>
    <row r="3615">
      <c r="A3615" s="6" t="s">
        <v>8319</v>
      </c>
      <c r="B3615" s="6" t="s">
        <v>642</v>
      </c>
      <c r="C3615" s="6" t="s">
        <v>37</v>
      </c>
      <c r="D3615" s="6" t="s">
        <v>8320</v>
      </c>
      <c r="E3615" s="6" t="s">
        <v>185</v>
      </c>
      <c r="F3615" s="6" t="s">
        <v>26</v>
      </c>
      <c r="G3615" s="7">
        <v>0.03</v>
      </c>
      <c r="H3615" s="6" t="s">
        <v>1776</v>
      </c>
      <c r="I3615" s="6" t="s">
        <v>20</v>
      </c>
      <c r="J3615" s="6">
        <v>2017.0</v>
      </c>
      <c r="K3615" s="10">
        <v>46083.0</v>
      </c>
      <c r="L3615" s="6">
        <v>1.0</v>
      </c>
      <c r="M3615" s="8">
        <f t="shared" si="4"/>
        <v>0.03</v>
      </c>
      <c r="P3615" s="9"/>
    </row>
    <row r="3616">
      <c r="A3616" s="6" t="s">
        <v>8321</v>
      </c>
      <c r="B3616" s="6" t="s">
        <v>74</v>
      </c>
      <c r="C3616" s="6" t="s">
        <v>37</v>
      </c>
      <c r="D3616" s="6" t="s">
        <v>8322</v>
      </c>
      <c r="E3616" s="6" t="s">
        <v>8323</v>
      </c>
      <c r="F3616" s="6" t="s">
        <v>26</v>
      </c>
      <c r="G3616" s="7">
        <v>0.08</v>
      </c>
      <c r="H3616" s="6" t="s">
        <v>407</v>
      </c>
      <c r="I3616" s="6" t="s">
        <v>20</v>
      </c>
      <c r="J3616" s="6">
        <v>2016.0</v>
      </c>
      <c r="L3616" s="6">
        <v>2.0</v>
      </c>
      <c r="M3616" s="8">
        <f t="shared" si="4"/>
        <v>0.16</v>
      </c>
      <c r="P3616" s="9"/>
    </row>
    <row r="3617">
      <c r="A3617" s="6" t="s">
        <v>8324</v>
      </c>
      <c r="B3617" s="6" t="s">
        <v>219</v>
      </c>
      <c r="C3617" s="6" t="s">
        <v>43</v>
      </c>
      <c r="D3617" s="6" t="s">
        <v>8325</v>
      </c>
      <c r="E3617" s="6" t="s">
        <v>185</v>
      </c>
      <c r="F3617" s="6" t="s">
        <v>1244</v>
      </c>
      <c r="G3617" s="7">
        <v>0.08</v>
      </c>
      <c r="H3617" s="6" t="s">
        <v>4785</v>
      </c>
      <c r="I3617" s="6" t="s">
        <v>20</v>
      </c>
      <c r="J3617" s="6">
        <v>2013.0</v>
      </c>
      <c r="L3617" s="6">
        <v>1.0</v>
      </c>
      <c r="M3617" s="8">
        <f t="shared" si="4"/>
        <v>0.08</v>
      </c>
      <c r="P3617" s="9"/>
    </row>
    <row r="3618">
      <c r="A3618" s="6" t="s">
        <v>8326</v>
      </c>
      <c r="B3618" s="6" t="s">
        <v>8327</v>
      </c>
      <c r="C3618" s="6" t="s">
        <v>37</v>
      </c>
      <c r="D3618" s="6" t="s">
        <v>8328</v>
      </c>
      <c r="E3618" s="6" t="s">
        <v>107</v>
      </c>
      <c r="F3618" s="6" t="s">
        <v>18</v>
      </c>
      <c r="G3618" s="7">
        <v>0.28</v>
      </c>
      <c r="H3618" s="6" t="s">
        <v>903</v>
      </c>
      <c r="I3618" s="6" t="s">
        <v>20</v>
      </c>
      <c r="J3618" s="6">
        <v>2016.0</v>
      </c>
      <c r="K3618" s="10">
        <v>46023.0</v>
      </c>
      <c r="L3618" s="6">
        <v>1.0</v>
      </c>
      <c r="M3618" s="8">
        <f t="shared" si="4"/>
        <v>0.28</v>
      </c>
      <c r="P3618" s="9"/>
    </row>
    <row r="3619">
      <c r="A3619" s="6" t="s">
        <v>8329</v>
      </c>
      <c r="B3619" s="6" t="s">
        <v>396</v>
      </c>
      <c r="C3619" s="6" t="s">
        <v>37</v>
      </c>
      <c r="D3619" s="6" t="s">
        <v>8330</v>
      </c>
      <c r="E3619" s="6" t="s">
        <v>994</v>
      </c>
      <c r="F3619" s="6" t="s">
        <v>26</v>
      </c>
      <c r="G3619" s="7">
        <v>0.05</v>
      </c>
      <c r="H3619" s="6" t="s">
        <v>415</v>
      </c>
      <c r="I3619" s="6" t="s">
        <v>20</v>
      </c>
      <c r="J3619" s="6">
        <v>2016.0</v>
      </c>
      <c r="L3619" s="6">
        <v>1.0</v>
      </c>
      <c r="M3619" s="8">
        <f t="shared" si="4"/>
        <v>0.05</v>
      </c>
      <c r="P3619" s="9"/>
    </row>
    <row r="3620">
      <c r="A3620" s="6" t="s">
        <v>8331</v>
      </c>
      <c r="B3620" s="6" t="s">
        <v>219</v>
      </c>
      <c r="C3620" s="6" t="s">
        <v>37</v>
      </c>
      <c r="D3620" s="6" t="s">
        <v>8332</v>
      </c>
      <c r="E3620" s="6" t="s">
        <v>185</v>
      </c>
      <c r="F3620" s="6" t="s">
        <v>26</v>
      </c>
      <c r="G3620" s="7">
        <v>0.03</v>
      </c>
      <c r="H3620" s="6" t="s">
        <v>415</v>
      </c>
      <c r="I3620" s="6" t="s">
        <v>20</v>
      </c>
      <c r="J3620" s="6">
        <v>2016.0</v>
      </c>
      <c r="L3620" s="6">
        <v>1.0</v>
      </c>
      <c r="M3620" s="8">
        <f t="shared" si="4"/>
        <v>0.03</v>
      </c>
      <c r="P3620" s="9"/>
    </row>
    <row r="3621">
      <c r="A3621" s="6" t="s">
        <v>8333</v>
      </c>
      <c r="B3621" s="6" t="s">
        <v>524</v>
      </c>
      <c r="C3621" s="6" t="s">
        <v>37</v>
      </c>
      <c r="D3621" s="6" t="s">
        <v>8334</v>
      </c>
      <c r="E3621" s="6" t="s">
        <v>681</v>
      </c>
      <c r="F3621" s="6" t="s">
        <v>26</v>
      </c>
      <c r="G3621" s="7">
        <v>0.05</v>
      </c>
      <c r="H3621" s="6" t="s">
        <v>415</v>
      </c>
      <c r="I3621" s="6" t="s">
        <v>20</v>
      </c>
      <c r="J3621" s="6">
        <v>2016.0</v>
      </c>
      <c r="K3621" s="10">
        <v>46145.0</v>
      </c>
      <c r="L3621" s="6">
        <v>1.0</v>
      </c>
      <c r="M3621" s="8">
        <f t="shared" si="4"/>
        <v>0.05</v>
      </c>
      <c r="P3621" s="9"/>
    </row>
    <row r="3622">
      <c r="A3622" s="6" t="s">
        <v>8335</v>
      </c>
      <c r="B3622" s="6" t="s">
        <v>1468</v>
      </c>
      <c r="C3622" s="6" t="s">
        <v>37</v>
      </c>
      <c r="D3622" s="6" t="s">
        <v>8336</v>
      </c>
      <c r="E3622" s="6" t="s">
        <v>185</v>
      </c>
      <c r="F3622" s="6" t="s">
        <v>26</v>
      </c>
      <c r="G3622" s="7">
        <v>0.09</v>
      </c>
      <c r="H3622" s="6" t="s">
        <v>415</v>
      </c>
      <c r="I3622" s="6" t="s">
        <v>20</v>
      </c>
      <c r="J3622" s="6">
        <v>2016.0</v>
      </c>
      <c r="K3622" s="10">
        <v>46113.0</v>
      </c>
      <c r="L3622" s="6">
        <v>1.0</v>
      </c>
      <c r="M3622" s="8">
        <f t="shared" si="4"/>
        <v>0.09</v>
      </c>
      <c r="P3622" s="9"/>
    </row>
    <row r="3623">
      <c r="A3623" s="6" t="s">
        <v>8337</v>
      </c>
      <c r="B3623" s="6" t="s">
        <v>647</v>
      </c>
      <c r="C3623" s="6" t="s">
        <v>37</v>
      </c>
      <c r="D3623" s="6" t="s">
        <v>8338</v>
      </c>
      <c r="E3623" s="6" t="s">
        <v>994</v>
      </c>
      <c r="F3623" s="6" t="s">
        <v>26</v>
      </c>
      <c r="G3623" s="7">
        <v>0.03</v>
      </c>
      <c r="H3623" s="6" t="s">
        <v>1776</v>
      </c>
      <c r="I3623" s="6" t="s">
        <v>20</v>
      </c>
      <c r="J3623" s="6">
        <v>2017.0</v>
      </c>
      <c r="K3623" s="10">
        <v>46055.0</v>
      </c>
      <c r="L3623" s="6">
        <v>1.0</v>
      </c>
      <c r="M3623" s="8">
        <f t="shared" si="4"/>
        <v>0.03</v>
      </c>
      <c r="P3623" s="9"/>
    </row>
    <row r="3624">
      <c r="A3624" s="6" t="s">
        <v>8339</v>
      </c>
      <c r="B3624" s="6" t="s">
        <v>219</v>
      </c>
      <c r="C3624" s="6" t="s">
        <v>37</v>
      </c>
      <c r="D3624" s="6" t="s">
        <v>8340</v>
      </c>
      <c r="E3624" s="6" t="s">
        <v>25</v>
      </c>
      <c r="F3624" s="6" t="s">
        <v>26</v>
      </c>
      <c r="G3624" s="7">
        <v>0.09</v>
      </c>
      <c r="H3624" s="6" t="s">
        <v>506</v>
      </c>
      <c r="I3624" s="6" t="s">
        <v>20</v>
      </c>
      <c r="J3624" s="6">
        <v>2016.0</v>
      </c>
      <c r="L3624" s="6">
        <v>1.0</v>
      </c>
      <c r="M3624" s="8">
        <f t="shared" si="4"/>
        <v>0.09</v>
      </c>
      <c r="P3624" s="9"/>
    </row>
    <row r="3625">
      <c r="A3625" s="6" t="s">
        <v>8341</v>
      </c>
      <c r="B3625" s="6" t="s">
        <v>953</v>
      </c>
      <c r="C3625" s="6" t="s">
        <v>37</v>
      </c>
      <c r="D3625" s="6" t="s">
        <v>8342</v>
      </c>
      <c r="E3625" s="6" t="s">
        <v>526</v>
      </c>
      <c r="F3625" s="6" t="s">
        <v>26</v>
      </c>
      <c r="G3625" s="7">
        <v>0.03</v>
      </c>
      <c r="H3625" s="6" t="s">
        <v>506</v>
      </c>
      <c r="I3625" s="6" t="s">
        <v>20</v>
      </c>
      <c r="J3625" s="6">
        <v>2016.0</v>
      </c>
      <c r="K3625" s="10">
        <v>46213.0</v>
      </c>
      <c r="L3625" s="6">
        <v>1.0</v>
      </c>
      <c r="M3625" s="8">
        <f t="shared" si="4"/>
        <v>0.03</v>
      </c>
      <c r="P3625" s="9"/>
    </row>
    <row r="3626">
      <c r="A3626" s="6" t="s">
        <v>8343</v>
      </c>
      <c r="B3626" s="6" t="s">
        <v>953</v>
      </c>
      <c r="C3626" s="6" t="s">
        <v>37</v>
      </c>
      <c r="D3626" s="6" t="s">
        <v>8344</v>
      </c>
      <c r="E3626" s="6" t="s">
        <v>681</v>
      </c>
      <c r="F3626" s="6" t="s">
        <v>26</v>
      </c>
      <c r="G3626" s="7">
        <v>0.03</v>
      </c>
      <c r="H3626" s="6" t="s">
        <v>506</v>
      </c>
      <c r="I3626" s="6" t="s">
        <v>20</v>
      </c>
      <c r="J3626" s="6">
        <v>2016.0</v>
      </c>
      <c r="K3626" s="10">
        <v>46179.0</v>
      </c>
      <c r="L3626" s="6">
        <v>1.0</v>
      </c>
      <c r="M3626" s="8">
        <f t="shared" si="4"/>
        <v>0.03</v>
      </c>
      <c r="P3626" s="9"/>
    </row>
    <row r="3627">
      <c r="A3627" s="6" t="s">
        <v>8345</v>
      </c>
      <c r="B3627" s="6" t="s">
        <v>396</v>
      </c>
      <c r="C3627" s="6" t="s">
        <v>37</v>
      </c>
      <c r="D3627" s="6" t="s">
        <v>8346</v>
      </c>
      <c r="E3627" s="6" t="s">
        <v>185</v>
      </c>
      <c r="F3627" s="6" t="s">
        <v>26</v>
      </c>
      <c r="G3627" s="7">
        <v>0.05</v>
      </c>
      <c r="H3627" s="6" t="s">
        <v>407</v>
      </c>
      <c r="I3627" s="6" t="s">
        <v>20</v>
      </c>
      <c r="J3627" s="6">
        <v>2016.0</v>
      </c>
      <c r="L3627" s="6">
        <v>1.0</v>
      </c>
      <c r="M3627" s="8">
        <f t="shared" si="4"/>
        <v>0.05</v>
      </c>
      <c r="P3627" s="9"/>
    </row>
    <row r="3628">
      <c r="A3628" s="6" t="s">
        <v>8347</v>
      </c>
      <c r="B3628" s="6" t="s">
        <v>6184</v>
      </c>
      <c r="C3628" s="6" t="s">
        <v>37</v>
      </c>
      <c r="D3628" s="6" t="s">
        <v>8348</v>
      </c>
      <c r="E3628" s="6" t="s">
        <v>1713</v>
      </c>
      <c r="F3628" s="6" t="s">
        <v>2657</v>
      </c>
      <c r="G3628" s="7">
        <v>0.03</v>
      </c>
      <c r="H3628" s="6" t="s">
        <v>431</v>
      </c>
      <c r="I3628" s="6" t="s">
        <v>20</v>
      </c>
      <c r="J3628" s="6">
        <v>2019.0</v>
      </c>
      <c r="K3628" s="10">
        <v>46147.0</v>
      </c>
      <c r="L3628" s="6">
        <v>1.0</v>
      </c>
      <c r="M3628" s="8">
        <f t="shared" si="4"/>
        <v>0.03</v>
      </c>
      <c r="P3628" s="9"/>
    </row>
    <row r="3629">
      <c r="A3629" s="6" t="s">
        <v>8349</v>
      </c>
      <c r="B3629" s="6" t="s">
        <v>1206</v>
      </c>
      <c r="C3629" s="6" t="s">
        <v>43</v>
      </c>
      <c r="D3629" s="6" t="s">
        <v>8350</v>
      </c>
      <c r="E3629" s="6" t="s">
        <v>994</v>
      </c>
      <c r="F3629" s="6" t="s">
        <v>26</v>
      </c>
      <c r="G3629" s="7">
        <v>0.2</v>
      </c>
      <c r="H3629" s="6" t="s">
        <v>228</v>
      </c>
      <c r="I3629" s="6" t="s">
        <v>45</v>
      </c>
      <c r="J3629" s="6">
        <v>2025.0</v>
      </c>
      <c r="K3629" s="10">
        <v>46115.0</v>
      </c>
      <c r="L3629" s="6">
        <v>1.0</v>
      </c>
      <c r="M3629" s="8">
        <f t="shared" si="4"/>
        <v>0.2</v>
      </c>
      <c r="P3629" s="9"/>
    </row>
    <row r="3630">
      <c r="A3630" s="6" t="s">
        <v>8351</v>
      </c>
      <c r="B3630" s="6" t="s">
        <v>8352</v>
      </c>
      <c r="C3630" s="6" t="s">
        <v>30</v>
      </c>
      <c r="D3630" s="6" t="s">
        <v>8353</v>
      </c>
      <c r="E3630" s="6" t="s">
        <v>319</v>
      </c>
      <c r="F3630" s="6" t="s">
        <v>87</v>
      </c>
      <c r="G3630" s="7">
        <v>0.64</v>
      </c>
      <c r="H3630" s="6" t="s">
        <v>8354</v>
      </c>
      <c r="I3630" s="6" t="s">
        <v>45</v>
      </c>
      <c r="J3630" s="6">
        <v>2018.0</v>
      </c>
      <c r="K3630" s="10">
        <v>46209.0</v>
      </c>
      <c r="L3630" s="6">
        <v>1.0</v>
      </c>
      <c r="M3630" s="8">
        <f t="shared" si="4"/>
        <v>0.64</v>
      </c>
      <c r="N3630" s="6" t="s">
        <v>122</v>
      </c>
      <c r="P3630" s="9"/>
    </row>
    <row r="3631">
      <c r="A3631" s="6" t="s">
        <v>8355</v>
      </c>
      <c r="B3631" s="6" t="s">
        <v>953</v>
      </c>
      <c r="C3631" s="6" t="s">
        <v>37</v>
      </c>
      <c r="D3631" s="6" t="s">
        <v>8356</v>
      </c>
      <c r="E3631" s="6" t="s">
        <v>994</v>
      </c>
      <c r="F3631" s="6" t="s">
        <v>26</v>
      </c>
      <c r="G3631" s="7">
        <v>0.09</v>
      </c>
      <c r="H3631" s="6" t="s">
        <v>1776</v>
      </c>
      <c r="I3631" s="6" t="s">
        <v>20</v>
      </c>
      <c r="J3631" s="6">
        <v>2017.0</v>
      </c>
      <c r="K3631" s="10">
        <v>46116.0</v>
      </c>
      <c r="L3631" s="6">
        <v>1.0</v>
      </c>
      <c r="M3631" s="8">
        <f t="shared" si="4"/>
        <v>0.09</v>
      </c>
      <c r="P3631" s="9"/>
    </row>
    <row r="3632">
      <c r="A3632" s="6" t="s">
        <v>5360</v>
      </c>
      <c r="B3632" s="6" t="s">
        <v>5361</v>
      </c>
      <c r="C3632" s="6" t="s">
        <v>37</v>
      </c>
      <c r="D3632" s="6" t="s">
        <v>5362</v>
      </c>
      <c r="E3632" s="6" t="s">
        <v>1137</v>
      </c>
      <c r="F3632" s="6" t="s">
        <v>26</v>
      </c>
      <c r="G3632" s="7">
        <v>0.5</v>
      </c>
      <c r="H3632" s="6" t="s">
        <v>1776</v>
      </c>
      <c r="I3632" s="6" t="s">
        <v>20</v>
      </c>
      <c r="J3632" s="6">
        <v>2017.0</v>
      </c>
      <c r="K3632" s="6" t="s">
        <v>233</v>
      </c>
      <c r="L3632" s="6">
        <v>1.0</v>
      </c>
      <c r="M3632" s="8">
        <f t="shared" si="4"/>
        <v>0.5</v>
      </c>
      <c r="P3632" s="9"/>
    </row>
    <row r="3633">
      <c r="A3633" s="6" t="s">
        <v>8357</v>
      </c>
      <c r="B3633" s="6" t="s">
        <v>219</v>
      </c>
      <c r="C3633" s="6" t="s">
        <v>37</v>
      </c>
      <c r="D3633" s="6" t="s">
        <v>8358</v>
      </c>
      <c r="E3633" s="6" t="s">
        <v>25</v>
      </c>
      <c r="F3633" s="6" t="s">
        <v>26</v>
      </c>
      <c r="G3633" s="7">
        <v>0.03</v>
      </c>
      <c r="H3633" s="6" t="s">
        <v>1776</v>
      </c>
      <c r="I3633" s="6" t="s">
        <v>20</v>
      </c>
      <c r="J3633" s="6">
        <v>2017.0</v>
      </c>
      <c r="L3633" s="6">
        <v>1.0</v>
      </c>
      <c r="M3633" s="8">
        <f t="shared" si="4"/>
        <v>0.03</v>
      </c>
      <c r="P3633" s="9"/>
    </row>
    <row r="3634">
      <c r="A3634" s="6" t="s">
        <v>8359</v>
      </c>
      <c r="B3634" s="6" t="s">
        <v>219</v>
      </c>
      <c r="C3634" s="6" t="s">
        <v>37</v>
      </c>
      <c r="D3634" s="6" t="s">
        <v>8360</v>
      </c>
      <c r="E3634" s="6" t="s">
        <v>215</v>
      </c>
      <c r="F3634" s="6" t="s">
        <v>26</v>
      </c>
      <c r="G3634" s="7">
        <v>0.05</v>
      </c>
      <c r="H3634" s="6" t="s">
        <v>1776</v>
      </c>
      <c r="I3634" s="6" t="s">
        <v>20</v>
      </c>
      <c r="J3634" s="6">
        <v>2017.0</v>
      </c>
      <c r="L3634" s="6">
        <v>1.0</v>
      </c>
      <c r="M3634" s="8">
        <f t="shared" si="4"/>
        <v>0.05</v>
      </c>
      <c r="P3634" s="9"/>
    </row>
    <row r="3635">
      <c r="A3635" s="6" t="s">
        <v>8361</v>
      </c>
      <c r="B3635" s="6" t="s">
        <v>524</v>
      </c>
      <c r="C3635" s="6" t="s">
        <v>37</v>
      </c>
      <c r="D3635" s="6" t="s">
        <v>8362</v>
      </c>
      <c r="E3635" s="6" t="s">
        <v>526</v>
      </c>
      <c r="F3635" s="6" t="s">
        <v>26</v>
      </c>
      <c r="G3635" s="7">
        <v>0.1</v>
      </c>
      <c r="H3635" s="6" t="s">
        <v>217</v>
      </c>
      <c r="I3635" s="6" t="s">
        <v>20</v>
      </c>
      <c r="J3635" s="6">
        <v>2003.0</v>
      </c>
      <c r="K3635" s="10">
        <v>46115.0</v>
      </c>
      <c r="L3635" s="6">
        <v>1.0</v>
      </c>
      <c r="M3635" s="8">
        <f t="shared" si="4"/>
        <v>0.1</v>
      </c>
      <c r="P3635" s="9"/>
    </row>
    <row r="3636">
      <c r="A3636" s="6" t="s">
        <v>8363</v>
      </c>
      <c r="B3636" s="6" t="s">
        <v>219</v>
      </c>
      <c r="C3636" s="6" t="s">
        <v>37</v>
      </c>
      <c r="D3636" s="6" t="s">
        <v>8364</v>
      </c>
      <c r="E3636" s="6" t="s">
        <v>185</v>
      </c>
      <c r="F3636" s="6" t="s">
        <v>26</v>
      </c>
      <c r="G3636" s="7">
        <v>0.03</v>
      </c>
      <c r="H3636" s="6" t="s">
        <v>506</v>
      </c>
      <c r="I3636" s="6" t="s">
        <v>20</v>
      </c>
      <c r="J3636" s="6">
        <v>2016.0</v>
      </c>
      <c r="L3636" s="6">
        <v>1.0</v>
      </c>
      <c r="M3636" s="8">
        <f t="shared" si="4"/>
        <v>0.03</v>
      </c>
      <c r="P3636" s="9"/>
    </row>
    <row r="3637">
      <c r="A3637" s="6" t="s">
        <v>8339</v>
      </c>
      <c r="B3637" s="6" t="s">
        <v>219</v>
      </c>
      <c r="C3637" s="6" t="s">
        <v>37</v>
      </c>
      <c r="D3637" s="6" t="s">
        <v>8340</v>
      </c>
      <c r="E3637" s="6" t="s">
        <v>25</v>
      </c>
      <c r="F3637" s="6" t="s">
        <v>26</v>
      </c>
      <c r="G3637" s="7">
        <v>0.09</v>
      </c>
      <c r="H3637" s="6" t="s">
        <v>506</v>
      </c>
      <c r="I3637" s="6" t="s">
        <v>20</v>
      </c>
      <c r="J3637" s="6">
        <v>2016.0</v>
      </c>
      <c r="L3637" s="6">
        <v>1.0</v>
      </c>
      <c r="M3637" s="8">
        <f t="shared" si="4"/>
        <v>0.09</v>
      </c>
      <c r="P3637" s="9"/>
    </row>
    <row r="3638">
      <c r="A3638" s="6" t="s">
        <v>8365</v>
      </c>
      <c r="B3638" s="6" t="s">
        <v>1577</v>
      </c>
      <c r="C3638" s="6" t="s">
        <v>37</v>
      </c>
      <c r="D3638" s="6" t="s">
        <v>8366</v>
      </c>
      <c r="F3638" s="6" t="s">
        <v>636</v>
      </c>
      <c r="G3638" s="7">
        <v>0.05</v>
      </c>
      <c r="H3638" s="6" t="s">
        <v>407</v>
      </c>
      <c r="I3638" s="6" t="s">
        <v>20</v>
      </c>
      <c r="J3638" s="6">
        <v>2016.0</v>
      </c>
      <c r="L3638" s="6">
        <v>2.0</v>
      </c>
      <c r="M3638" s="8">
        <f t="shared" si="4"/>
        <v>0.1</v>
      </c>
      <c r="P3638" s="9"/>
    </row>
    <row r="3639">
      <c r="A3639" s="6" t="s">
        <v>1576</v>
      </c>
      <c r="B3639" s="6" t="s">
        <v>1577</v>
      </c>
      <c r="C3639" s="6" t="s">
        <v>37</v>
      </c>
      <c r="D3639" s="6" t="s">
        <v>1578</v>
      </c>
      <c r="F3639" s="6" t="s">
        <v>1118</v>
      </c>
      <c r="G3639" s="7">
        <v>0.2</v>
      </c>
      <c r="H3639" s="6" t="s">
        <v>407</v>
      </c>
      <c r="I3639" s="6" t="s">
        <v>20</v>
      </c>
      <c r="J3639" s="6">
        <v>2016.0</v>
      </c>
      <c r="L3639" s="6">
        <v>2.0</v>
      </c>
      <c r="M3639" s="8">
        <f t="shared" si="4"/>
        <v>0.4</v>
      </c>
      <c r="P3639" s="9"/>
    </row>
    <row r="3640">
      <c r="A3640" s="6" t="s">
        <v>8367</v>
      </c>
      <c r="B3640" s="6" t="s">
        <v>8368</v>
      </c>
      <c r="C3640" s="6" t="s">
        <v>43</v>
      </c>
      <c r="D3640" s="6" t="s">
        <v>8369</v>
      </c>
      <c r="E3640" s="6" t="s">
        <v>3084</v>
      </c>
      <c r="F3640" s="6" t="s">
        <v>1244</v>
      </c>
      <c r="G3640" s="7">
        <v>0.1</v>
      </c>
      <c r="H3640" s="6" t="s">
        <v>3781</v>
      </c>
      <c r="I3640" s="6" t="s">
        <v>20</v>
      </c>
      <c r="J3640" s="6">
        <v>2008.0</v>
      </c>
      <c r="K3640" s="10">
        <v>46055.0</v>
      </c>
      <c r="L3640" s="6">
        <v>1.0</v>
      </c>
      <c r="M3640" s="8">
        <f t="shared" si="4"/>
        <v>0.1</v>
      </c>
      <c r="P3640" s="9"/>
    </row>
    <row r="3641">
      <c r="A3641" s="6" t="s">
        <v>7830</v>
      </c>
      <c r="B3641" s="6" t="s">
        <v>331</v>
      </c>
      <c r="C3641" s="6" t="s">
        <v>43</v>
      </c>
      <c r="D3641" s="6" t="s">
        <v>6918</v>
      </c>
      <c r="E3641" s="6" t="s">
        <v>3021</v>
      </c>
      <c r="F3641" s="6" t="s">
        <v>71</v>
      </c>
      <c r="G3641" s="7">
        <v>0.05</v>
      </c>
      <c r="H3641" s="6" t="s">
        <v>431</v>
      </c>
      <c r="I3641" s="6" t="s">
        <v>20</v>
      </c>
      <c r="J3641" s="6">
        <v>2019.0</v>
      </c>
      <c r="K3641" s="10">
        <v>46025.0</v>
      </c>
      <c r="L3641" s="6">
        <v>2.0</v>
      </c>
      <c r="M3641" s="8">
        <f t="shared" si="4"/>
        <v>0.1</v>
      </c>
      <c r="P3641" s="9"/>
    </row>
    <row r="3642">
      <c r="A3642" s="6" t="s">
        <v>8370</v>
      </c>
      <c r="B3642" s="6" t="s">
        <v>556</v>
      </c>
      <c r="C3642" s="6" t="s">
        <v>37</v>
      </c>
      <c r="D3642" s="6" t="s">
        <v>8371</v>
      </c>
      <c r="E3642" s="6" t="s">
        <v>880</v>
      </c>
      <c r="F3642" s="6" t="s">
        <v>636</v>
      </c>
      <c r="G3642" s="7">
        <v>0.03</v>
      </c>
      <c r="H3642" s="6" t="s">
        <v>431</v>
      </c>
      <c r="I3642" s="6" t="s">
        <v>20</v>
      </c>
      <c r="J3642" s="6">
        <v>2019.0</v>
      </c>
      <c r="K3642" s="10">
        <v>46055.0</v>
      </c>
      <c r="L3642" s="6">
        <v>1.0</v>
      </c>
      <c r="M3642" s="8">
        <f t="shared" si="4"/>
        <v>0.03</v>
      </c>
      <c r="P3642" s="9"/>
    </row>
    <row r="3643">
      <c r="A3643" s="6" t="s">
        <v>8372</v>
      </c>
      <c r="B3643" s="6" t="s">
        <v>3328</v>
      </c>
      <c r="C3643" s="6" t="s">
        <v>37</v>
      </c>
      <c r="D3643" s="6" t="s">
        <v>8373</v>
      </c>
      <c r="E3643" s="6" t="s">
        <v>158</v>
      </c>
      <c r="F3643" s="6" t="s">
        <v>159</v>
      </c>
      <c r="G3643" s="7">
        <v>0.03</v>
      </c>
      <c r="H3643" s="6" t="s">
        <v>1344</v>
      </c>
      <c r="I3643" s="6" t="s">
        <v>20</v>
      </c>
      <c r="J3643" s="6">
        <v>2018.0</v>
      </c>
      <c r="K3643" s="10">
        <v>46055.0</v>
      </c>
      <c r="L3643" s="6">
        <v>2.0</v>
      </c>
      <c r="M3643" s="8">
        <f t="shared" si="4"/>
        <v>0.06</v>
      </c>
      <c r="P3643" s="9"/>
    </row>
    <row r="3644">
      <c r="A3644" s="6" t="s">
        <v>6912</v>
      </c>
      <c r="B3644" s="6" t="s">
        <v>208</v>
      </c>
      <c r="C3644" s="6" t="s">
        <v>37</v>
      </c>
      <c r="D3644" s="6" t="s">
        <v>6913</v>
      </c>
      <c r="E3644" s="6" t="s">
        <v>3303</v>
      </c>
      <c r="F3644" s="6" t="s">
        <v>50</v>
      </c>
      <c r="G3644" s="7">
        <v>0.05</v>
      </c>
      <c r="H3644" s="6" t="s">
        <v>407</v>
      </c>
      <c r="I3644" s="6" t="s">
        <v>20</v>
      </c>
      <c r="J3644" s="6">
        <v>2016.0</v>
      </c>
      <c r="K3644" s="10">
        <v>46082.0</v>
      </c>
      <c r="L3644" s="6">
        <v>2.0</v>
      </c>
      <c r="M3644" s="8">
        <f t="shared" si="4"/>
        <v>0.1</v>
      </c>
      <c r="P3644" s="9"/>
    </row>
    <row r="3645">
      <c r="A3645" s="6" t="s">
        <v>7068</v>
      </c>
      <c r="B3645" s="6" t="s">
        <v>685</v>
      </c>
      <c r="C3645" s="6" t="s">
        <v>37</v>
      </c>
      <c r="D3645" s="6" t="s">
        <v>7069</v>
      </c>
      <c r="E3645" s="6" t="s">
        <v>1417</v>
      </c>
      <c r="F3645" s="6" t="s">
        <v>71</v>
      </c>
      <c r="G3645" s="7">
        <v>0.03</v>
      </c>
      <c r="H3645" s="6" t="s">
        <v>431</v>
      </c>
      <c r="I3645" s="6" t="s">
        <v>20</v>
      </c>
      <c r="J3645" s="6">
        <v>2019.0</v>
      </c>
      <c r="K3645" s="10">
        <v>46055.0</v>
      </c>
      <c r="L3645" s="6">
        <v>2.0</v>
      </c>
      <c r="M3645" s="8">
        <f t="shared" si="4"/>
        <v>0.06</v>
      </c>
      <c r="P3645" s="9"/>
    </row>
    <row r="3646">
      <c r="A3646" s="6" t="s">
        <v>8374</v>
      </c>
      <c r="B3646" s="6" t="s">
        <v>516</v>
      </c>
      <c r="C3646" s="6" t="s">
        <v>43</v>
      </c>
      <c r="D3646" s="6" t="s">
        <v>1500</v>
      </c>
      <c r="E3646" s="6" t="s">
        <v>3281</v>
      </c>
      <c r="F3646" s="6" t="s">
        <v>519</v>
      </c>
      <c r="G3646" s="7">
        <v>0.07</v>
      </c>
      <c r="H3646" s="6" t="s">
        <v>7681</v>
      </c>
      <c r="I3646" s="6" t="s">
        <v>20</v>
      </c>
      <c r="J3646" s="6">
        <v>2009.0</v>
      </c>
      <c r="K3646" s="10">
        <v>46084.0</v>
      </c>
      <c r="L3646" s="6">
        <v>2.0</v>
      </c>
      <c r="M3646" s="8">
        <f t="shared" si="4"/>
        <v>0.14</v>
      </c>
      <c r="P3646" s="9"/>
    </row>
    <row r="3647">
      <c r="A3647" s="6" t="s">
        <v>8375</v>
      </c>
      <c r="B3647" s="6" t="s">
        <v>8376</v>
      </c>
      <c r="C3647" s="6" t="s">
        <v>43</v>
      </c>
      <c r="D3647" s="6" t="s">
        <v>8377</v>
      </c>
      <c r="E3647" s="6" t="s">
        <v>63</v>
      </c>
      <c r="F3647" s="6" t="s">
        <v>536</v>
      </c>
      <c r="G3647" s="7">
        <v>0.09</v>
      </c>
      <c r="H3647" s="6" t="s">
        <v>7681</v>
      </c>
      <c r="I3647" s="6" t="s">
        <v>20</v>
      </c>
      <c r="J3647" s="6">
        <v>2009.0</v>
      </c>
      <c r="K3647" s="10">
        <v>46085.0</v>
      </c>
      <c r="L3647" s="6">
        <v>2.0</v>
      </c>
      <c r="M3647" s="8">
        <f t="shared" si="4"/>
        <v>0.18</v>
      </c>
      <c r="P3647" s="9"/>
    </row>
    <row r="3648">
      <c r="A3648" s="6" t="s">
        <v>8378</v>
      </c>
      <c r="B3648" s="6" t="s">
        <v>8379</v>
      </c>
      <c r="C3648" s="6" t="s">
        <v>37</v>
      </c>
      <c r="D3648" s="6" t="s">
        <v>8380</v>
      </c>
      <c r="E3648" s="6" t="s">
        <v>1243</v>
      </c>
      <c r="F3648" s="6" t="s">
        <v>1244</v>
      </c>
      <c r="G3648" s="7">
        <v>0.05</v>
      </c>
      <c r="H3648" s="6" t="s">
        <v>407</v>
      </c>
      <c r="I3648" s="6" t="s">
        <v>20</v>
      </c>
      <c r="J3648" s="6">
        <v>2016.0</v>
      </c>
      <c r="K3648" s="10">
        <v>46083.0</v>
      </c>
      <c r="L3648" s="6">
        <v>1.0</v>
      </c>
      <c r="M3648" s="8">
        <f t="shared" si="4"/>
        <v>0.05</v>
      </c>
      <c r="P3648" s="9"/>
    </row>
    <row r="3649">
      <c r="A3649" s="6" t="s">
        <v>3637</v>
      </c>
      <c r="B3649" s="6" t="s">
        <v>3638</v>
      </c>
      <c r="C3649" s="6" t="s">
        <v>37</v>
      </c>
      <c r="D3649" s="6" t="s">
        <v>3639</v>
      </c>
      <c r="E3649" s="6" t="s">
        <v>983</v>
      </c>
      <c r="F3649" s="6" t="s">
        <v>977</v>
      </c>
      <c r="G3649" s="7">
        <v>0.05</v>
      </c>
      <c r="H3649" s="6" t="s">
        <v>431</v>
      </c>
      <c r="I3649" s="6" t="s">
        <v>20</v>
      </c>
      <c r="J3649" s="6">
        <v>2019.0</v>
      </c>
      <c r="K3649" s="10">
        <v>46023.0</v>
      </c>
      <c r="L3649" s="6">
        <v>1.0</v>
      </c>
      <c r="M3649" s="8">
        <f t="shared" si="4"/>
        <v>0.05</v>
      </c>
      <c r="P3649" s="9"/>
    </row>
    <row r="3650">
      <c r="A3650" s="6" t="s">
        <v>8381</v>
      </c>
      <c r="B3650" s="6" t="s">
        <v>102</v>
      </c>
      <c r="C3650" s="6" t="s">
        <v>37</v>
      </c>
      <c r="D3650" s="6" t="s">
        <v>8382</v>
      </c>
      <c r="E3650" s="6" t="s">
        <v>1949</v>
      </c>
      <c r="F3650" s="6" t="s">
        <v>519</v>
      </c>
      <c r="G3650" s="7">
        <v>0.03</v>
      </c>
      <c r="H3650" s="6" t="s">
        <v>431</v>
      </c>
      <c r="I3650" s="6" t="s">
        <v>20</v>
      </c>
      <c r="J3650" s="6">
        <v>2019.0</v>
      </c>
      <c r="K3650" s="10">
        <v>46084.0</v>
      </c>
      <c r="L3650" s="6">
        <v>1.0</v>
      </c>
      <c r="M3650" s="8">
        <f t="shared" si="4"/>
        <v>0.03</v>
      </c>
      <c r="P3650" s="9"/>
    </row>
    <row r="3651">
      <c r="A3651" s="6" t="s">
        <v>8383</v>
      </c>
      <c r="B3651" s="6" t="s">
        <v>4013</v>
      </c>
      <c r="C3651" s="6" t="s">
        <v>37</v>
      </c>
      <c r="D3651" s="6" t="s">
        <v>8384</v>
      </c>
      <c r="E3651" s="6" t="s">
        <v>3281</v>
      </c>
      <c r="F3651" s="6" t="s">
        <v>519</v>
      </c>
      <c r="G3651" s="7">
        <v>0.03</v>
      </c>
      <c r="H3651" s="6" t="s">
        <v>78</v>
      </c>
      <c r="I3651" s="6" t="s">
        <v>20</v>
      </c>
      <c r="J3651" s="6">
        <v>2018.0</v>
      </c>
      <c r="K3651" s="10">
        <v>46114.0</v>
      </c>
      <c r="L3651" s="6">
        <v>1.0</v>
      </c>
      <c r="M3651" s="8">
        <f t="shared" si="4"/>
        <v>0.03</v>
      </c>
      <c r="P3651" s="9"/>
    </row>
    <row r="3652">
      <c r="A3652" s="6" t="s">
        <v>8385</v>
      </c>
      <c r="B3652" s="6" t="s">
        <v>4639</v>
      </c>
      <c r="C3652" s="6" t="s">
        <v>37</v>
      </c>
      <c r="D3652" s="6" t="s">
        <v>8386</v>
      </c>
      <c r="E3652" s="6" t="s">
        <v>2060</v>
      </c>
      <c r="F3652" s="6" t="s">
        <v>159</v>
      </c>
      <c r="G3652" s="7">
        <v>3.0</v>
      </c>
      <c r="H3652" s="6" t="s">
        <v>78</v>
      </c>
      <c r="I3652" s="6" t="s">
        <v>20</v>
      </c>
      <c r="J3652" s="6">
        <v>2018.0</v>
      </c>
      <c r="K3652" s="10">
        <v>46083.0</v>
      </c>
      <c r="L3652" s="6">
        <v>1.0</v>
      </c>
      <c r="M3652" s="8">
        <f t="shared" si="4"/>
        <v>3</v>
      </c>
      <c r="N3652" s="6" t="s">
        <v>122</v>
      </c>
      <c r="P3652" s="9"/>
    </row>
    <row r="3653">
      <c r="A3653" s="6" t="s">
        <v>8387</v>
      </c>
      <c r="B3653" s="6" t="s">
        <v>1002</v>
      </c>
      <c r="C3653" s="6" t="s">
        <v>37</v>
      </c>
      <c r="D3653" s="6" t="s">
        <v>8388</v>
      </c>
      <c r="E3653" s="6" t="s">
        <v>8389</v>
      </c>
      <c r="F3653" s="6" t="s">
        <v>1244</v>
      </c>
      <c r="G3653" s="7">
        <v>0.05</v>
      </c>
      <c r="H3653" s="6" t="s">
        <v>1344</v>
      </c>
      <c r="I3653" s="6" t="s">
        <v>20</v>
      </c>
      <c r="J3653" s="6">
        <v>2018.0</v>
      </c>
      <c r="K3653" s="6" t="s">
        <v>527</v>
      </c>
      <c r="L3653" s="6">
        <v>1.0</v>
      </c>
      <c r="M3653" s="8">
        <f t="shared" si="4"/>
        <v>0.05</v>
      </c>
      <c r="P3653" s="9"/>
    </row>
    <row r="3654">
      <c r="A3654" s="6" t="s">
        <v>8390</v>
      </c>
      <c r="B3654" s="6" t="s">
        <v>8391</v>
      </c>
      <c r="C3654" s="6" t="s">
        <v>37</v>
      </c>
      <c r="D3654" s="6" t="s">
        <v>8392</v>
      </c>
      <c r="E3654" s="6" t="s">
        <v>1243</v>
      </c>
      <c r="F3654" s="6" t="s">
        <v>1244</v>
      </c>
      <c r="G3654" s="7">
        <v>0.06</v>
      </c>
      <c r="H3654" s="6" t="s">
        <v>1344</v>
      </c>
      <c r="I3654" s="6" t="s">
        <v>20</v>
      </c>
      <c r="J3654" s="6">
        <v>2018.0</v>
      </c>
      <c r="K3654" s="10">
        <v>46055.0</v>
      </c>
      <c r="L3654" s="6">
        <v>1.0</v>
      </c>
      <c r="M3654" s="8">
        <f t="shared" si="4"/>
        <v>0.06</v>
      </c>
      <c r="P3654" s="9"/>
    </row>
    <row r="3655">
      <c r="A3655" s="6" t="s">
        <v>8393</v>
      </c>
      <c r="B3655" s="6" t="s">
        <v>584</v>
      </c>
      <c r="C3655" s="6" t="s">
        <v>37</v>
      </c>
      <c r="D3655" s="6" t="s">
        <v>8394</v>
      </c>
      <c r="E3655" s="6" t="s">
        <v>8395</v>
      </c>
      <c r="F3655" s="6" t="s">
        <v>1000</v>
      </c>
      <c r="G3655" s="7">
        <v>0.03</v>
      </c>
      <c r="H3655" s="6" t="s">
        <v>1344</v>
      </c>
      <c r="I3655" s="6" t="s">
        <v>20</v>
      </c>
      <c r="J3655" s="6">
        <v>2018.0</v>
      </c>
      <c r="K3655" s="10">
        <v>46147.0</v>
      </c>
      <c r="L3655" s="6">
        <v>1.0</v>
      </c>
      <c r="M3655" s="8">
        <f t="shared" si="4"/>
        <v>0.03</v>
      </c>
      <c r="P3655" s="9"/>
    </row>
    <row r="3656">
      <c r="A3656" s="6" t="s">
        <v>8396</v>
      </c>
      <c r="B3656" s="6" t="s">
        <v>331</v>
      </c>
      <c r="C3656" s="6" t="s">
        <v>37</v>
      </c>
      <c r="D3656" s="6" t="s">
        <v>8397</v>
      </c>
      <c r="E3656" s="6" t="s">
        <v>8398</v>
      </c>
      <c r="F3656" s="6" t="s">
        <v>536</v>
      </c>
      <c r="G3656" s="7">
        <v>0.12</v>
      </c>
      <c r="H3656" s="6" t="s">
        <v>1344</v>
      </c>
      <c r="I3656" s="6" t="s">
        <v>20</v>
      </c>
      <c r="J3656" s="6">
        <v>2018.0</v>
      </c>
      <c r="K3656" s="10">
        <v>46084.0</v>
      </c>
      <c r="L3656" s="6">
        <v>1.0</v>
      </c>
      <c r="M3656" s="8">
        <f t="shared" si="4"/>
        <v>0.12</v>
      </c>
      <c r="P3656" s="9"/>
    </row>
    <row r="3657">
      <c r="A3657" s="6" t="s">
        <v>7496</v>
      </c>
      <c r="B3657" s="6" t="s">
        <v>102</v>
      </c>
      <c r="C3657" s="6" t="s">
        <v>37</v>
      </c>
      <c r="D3657" s="6" t="s">
        <v>7497</v>
      </c>
      <c r="E3657" s="6" t="s">
        <v>7498</v>
      </c>
      <c r="F3657" s="6" t="s">
        <v>1000</v>
      </c>
      <c r="G3657" s="7">
        <v>0.05</v>
      </c>
      <c r="H3657" s="6" t="s">
        <v>1344</v>
      </c>
      <c r="I3657" s="6" t="s">
        <v>20</v>
      </c>
      <c r="J3657" s="6">
        <v>2018.0</v>
      </c>
      <c r="K3657" s="10">
        <v>46085.0</v>
      </c>
      <c r="L3657" s="6">
        <v>1.0</v>
      </c>
      <c r="M3657" s="8">
        <f t="shared" si="4"/>
        <v>0.05</v>
      </c>
      <c r="P3657" s="9"/>
    </row>
    <row r="3658">
      <c r="A3658" s="6" t="s">
        <v>8399</v>
      </c>
      <c r="B3658" s="6" t="s">
        <v>74</v>
      </c>
      <c r="C3658" s="6" t="s">
        <v>37</v>
      </c>
      <c r="D3658" s="6" t="s">
        <v>8400</v>
      </c>
      <c r="E3658" s="6" t="s">
        <v>8401</v>
      </c>
      <c r="F3658" s="6" t="s">
        <v>1118</v>
      </c>
      <c r="G3658" s="7">
        <v>0.05</v>
      </c>
      <c r="H3658" s="6" t="s">
        <v>431</v>
      </c>
      <c r="I3658" s="6" t="s">
        <v>20</v>
      </c>
      <c r="J3658" s="6">
        <v>2019.0</v>
      </c>
      <c r="L3658" s="6">
        <v>1.0</v>
      </c>
      <c r="M3658" s="8">
        <f t="shared" si="4"/>
        <v>0.05</v>
      </c>
      <c r="P3658" s="9"/>
    </row>
    <row r="3659">
      <c r="A3659" s="6" t="s">
        <v>7005</v>
      </c>
      <c r="B3659" s="6" t="s">
        <v>7006</v>
      </c>
      <c r="C3659" s="6" t="s">
        <v>37</v>
      </c>
      <c r="D3659" s="6" t="s">
        <v>7007</v>
      </c>
      <c r="E3659" s="6" t="s">
        <v>7008</v>
      </c>
      <c r="F3659" s="6" t="s">
        <v>636</v>
      </c>
      <c r="G3659" s="7">
        <v>0.06</v>
      </c>
      <c r="H3659" s="6" t="s">
        <v>431</v>
      </c>
      <c r="I3659" s="6" t="s">
        <v>20</v>
      </c>
      <c r="J3659" s="6">
        <v>2019.0</v>
      </c>
      <c r="K3659" s="10">
        <v>46147.0</v>
      </c>
      <c r="L3659" s="6">
        <v>1.0</v>
      </c>
      <c r="M3659" s="8">
        <f t="shared" si="4"/>
        <v>0.06</v>
      </c>
      <c r="P3659" s="9"/>
    </row>
    <row r="3660">
      <c r="A3660" s="6" t="s">
        <v>8402</v>
      </c>
      <c r="B3660" s="6" t="s">
        <v>8403</v>
      </c>
      <c r="C3660" s="6" t="s">
        <v>37</v>
      </c>
      <c r="D3660" s="6" t="s">
        <v>8404</v>
      </c>
      <c r="E3660" s="6" t="s">
        <v>8405</v>
      </c>
      <c r="F3660" s="6" t="s">
        <v>71</v>
      </c>
      <c r="G3660" s="7">
        <v>0.03</v>
      </c>
      <c r="H3660" s="6" t="s">
        <v>431</v>
      </c>
      <c r="I3660" s="6" t="s">
        <v>20</v>
      </c>
      <c r="J3660" s="6">
        <v>2019.0</v>
      </c>
      <c r="K3660" s="10">
        <v>46116.0</v>
      </c>
      <c r="L3660" s="6">
        <v>1.0</v>
      </c>
      <c r="M3660" s="8">
        <f t="shared" si="4"/>
        <v>0.03</v>
      </c>
      <c r="P3660" s="9"/>
    </row>
    <row r="3661">
      <c r="A3661" s="6" t="s">
        <v>8406</v>
      </c>
      <c r="B3661" s="6" t="s">
        <v>8407</v>
      </c>
      <c r="C3661" s="6" t="s">
        <v>30</v>
      </c>
      <c r="D3661" s="6" t="s">
        <v>8408</v>
      </c>
      <c r="E3661" s="6" t="s">
        <v>880</v>
      </c>
      <c r="F3661" s="6" t="s">
        <v>636</v>
      </c>
      <c r="G3661" s="7">
        <v>0.25</v>
      </c>
      <c r="H3661" s="6" t="s">
        <v>1927</v>
      </c>
      <c r="I3661" s="6" t="s">
        <v>20</v>
      </c>
      <c r="J3661" s="6">
        <v>2025.0</v>
      </c>
      <c r="K3661" s="10">
        <v>46082.0</v>
      </c>
      <c r="L3661" s="6">
        <v>1.0</v>
      </c>
      <c r="M3661" s="8">
        <f t="shared" si="4"/>
        <v>0.25</v>
      </c>
      <c r="P3661" s="9"/>
    </row>
    <row r="3662">
      <c r="A3662" s="6" t="s">
        <v>8409</v>
      </c>
      <c r="B3662" s="6" t="s">
        <v>74</v>
      </c>
      <c r="C3662" s="6" t="s">
        <v>30</v>
      </c>
      <c r="D3662" s="6" t="s">
        <v>8410</v>
      </c>
      <c r="E3662" s="6" t="s">
        <v>3281</v>
      </c>
      <c r="F3662" s="6" t="s">
        <v>519</v>
      </c>
      <c r="G3662" s="7">
        <v>0.43</v>
      </c>
      <c r="H3662" s="6" t="s">
        <v>701</v>
      </c>
      <c r="I3662" s="6" t="s">
        <v>45</v>
      </c>
      <c r="J3662" s="6">
        <v>2015.0</v>
      </c>
      <c r="L3662" s="6">
        <v>1.0</v>
      </c>
      <c r="M3662" s="8">
        <f t="shared" si="4"/>
        <v>0.43</v>
      </c>
      <c r="P3662" s="9"/>
    </row>
    <row r="3663">
      <c r="A3663" s="6" t="s">
        <v>8411</v>
      </c>
      <c r="B3663" s="6" t="s">
        <v>8412</v>
      </c>
      <c r="C3663" s="6" t="s">
        <v>30</v>
      </c>
      <c r="D3663" s="6" t="s">
        <v>8413</v>
      </c>
      <c r="E3663" s="6" t="s">
        <v>8414</v>
      </c>
      <c r="F3663" s="6" t="s">
        <v>4727</v>
      </c>
      <c r="G3663" s="7">
        <v>1.34</v>
      </c>
      <c r="H3663" s="6" t="s">
        <v>8415</v>
      </c>
      <c r="I3663" s="6" t="s">
        <v>20</v>
      </c>
      <c r="J3663" s="6">
        <v>2025.0</v>
      </c>
      <c r="K3663" s="10">
        <v>46114.0</v>
      </c>
      <c r="L3663" s="6">
        <v>1.0</v>
      </c>
      <c r="M3663" s="8">
        <f t="shared" si="4"/>
        <v>1.34</v>
      </c>
      <c r="N3663" s="6" t="s">
        <v>122</v>
      </c>
      <c r="P3663" s="9"/>
    </row>
    <row r="3664">
      <c r="A3664" s="6" t="s">
        <v>8416</v>
      </c>
      <c r="B3664" s="6" t="s">
        <v>8417</v>
      </c>
      <c r="C3664" s="6" t="s">
        <v>30</v>
      </c>
      <c r="D3664" s="6" t="s">
        <v>8418</v>
      </c>
      <c r="E3664" s="6" t="s">
        <v>4366</v>
      </c>
      <c r="F3664" s="6" t="s">
        <v>536</v>
      </c>
      <c r="G3664" s="7">
        <v>0.95</v>
      </c>
      <c r="H3664" s="6" t="s">
        <v>336</v>
      </c>
      <c r="I3664" s="6" t="s">
        <v>20</v>
      </c>
      <c r="J3664" s="6">
        <v>2020.0</v>
      </c>
      <c r="K3664" s="10">
        <v>46179.0</v>
      </c>
      <c r="L3664" s="6">
        <v>1.0</v>
      </c>
      <c r="M3664" s="8">
        <f t="shared" si="4"/>
        <v>0.95</v>
      </c>
      <c r="N3664" s="6" t="s">
        <v>122</v>
      </c>
      <c r="P3664" s="9"/>
    </row>
    <row r="3665">
      <c r="A3665" s="6" t="s">
        <v>8419</v>
      </c>
      <c r="B3665" s="6" t="s">
        <v>74</v>
      </c>
      <c r="C3665" s="6" t="s">
        <v>30</v>
      </c>
      <c r="D3665" s="6" t="s">
        <v>8420</v>
      </c>
      <c r="E3665" s="6" t="s">
        <v>7147</v>
      </c>
      <c r="F3665" s="6" t="s">
        <v>4080</v>
      </c>
      <c r="G3665" s="7">
        <v>0.09</v>
      </c>
      <c r="H3665" s="6" t="s">
        <v>922</v>
      </c>
      <c r="I3665" s="6" t="s">
        <v>20</v>
      </c>
      <c r="J3665" s="6">
        <v>2014.0</v>
      </c>
      <c r="L3665" s="6">
        <v>1.0</v>
      </c>
      <c r="M3665" s="8">
        <f t="shared" si="4"/>
        <v>0.09</v>
      </c>
      <c r="P3665" s="9"/>
    </row>
    <row r="3666">
      <c r="A3666" s="6" t="s">
        <v>8421</v>
      </c>
      <c r="B3666" s="6" t="s">
        <v>739</v>
      </c>
      <c r="C3666" s="6" t="s">
        <v>37</v>
      </c>
      <c r="D3666" s="6" t="s">
        <v>8422</v>
      </c>
      <c r="E3666" s="6" t="s">
        <v>2136</v>
      </c>
      <c r="F3666" s="6" t="s">
        <v>1000</v>
      </c>
      <c r="G3666" s="7">
        <v>0.1</v>
      </c>
      <c r="H3666" s="6" t="s">
        <v>99</v>
      </c>
      <c r="I3666" s="6" t="s">
        <v>20</v>
      </c>
      <c r="J3666" s="6">
        <v>2022.0</v>
      </c>
      <c r="K3666" s="10">
        <v>46055.0</v>
      </c>
      <c r="L3666" s="6">
        <v>1.0</v>
      </c>
      <c r="M3666" s="8">
        <f t="shared" si="4"/>
        <v>0.1</v>
      </c>
      <c r="P3666" s="9"/>
    </row>
    <row r="3667">
      <c r="A3667" s="6" t="s">
        <v>7403</v>
      </c>
      <c r="B3667" s="6" t="s">
        <v>610</v>
      </c>
      <c r="C3667" s="6" t="s">
        <v>37</v>
      </c>
      <c r="D3667" s="6" t="s">
        <v>7404</v>
      </c>
      <c r="E3667" s="6" t="s">
        <v>7405</v>
      </c>
      <c r="F3667" s="6" t="s">
        <v>1000</v>
      </c>
      <c r="G3667" s="7">
        <v>0.18</v>
      </c>
      <c r="H3667" s="6" t="s">
        <v>99</v>
      </c>
      <c r="I3667" s="6" t="s">
        <v>20</v>
      </c>
      <c r="J3667" s="6">
        <v>2022.0</v>
      </c>
      <c r="K3667" s="10">
        <v>46084.0</v>
      </c>
      <c r="L3667" s="6">
        <v>1.0</v>
      </c>
      <c r="M3667" s="8">
        <f t="shared" si="4"/>
        <v>0.18</v>
      </c>
      <c r="P3667" s="9"/>
    </row>
    <row r="3668">
      <c r="A3668" s="6" t="s">
        <v>4164</v>
      </c>
      <c r="B3668" s="6" t="s">
        <v>4165</v>
      </c>
      <c r="C3668" s="6" t="s">
        <v>37</v>
      </c>
      <c r="D3668" s="6" t="s">
        <v>4166</v>
      </c>
      <c r="E3668" s="6" t="s">
        <v>3602</v>
      </c>
      <c r="F3668" s="6" t="s">
        <v>636</v>
      </c>
      <c r="G3668" s="7">
        <v>0.09</v>
      </c>
      <c r="H3668" s="6" t="s">
        <v>160</v>
      </c>
      <c r="I3668" s="6" t="s">
        <v>20</v>
      </c>
      <c r="J3668" s="6">
        <v>2024.0</v>
      </c>
      <c r="K3668" s="10">
        <v>46057.0</v>
      </c>
      <c r="L3668" s="6">
        <v>1.0</v>
      </c>
      <c r="M3668" s="8">
        <f t="shared" si="4"/>
        <v>0.09</v>
      </c>
      <c r="P3668" s="9"/>
    </row>
    <row r="3669">
      <c r="A3669" s="6" t="s">
        <v>8423</v>
      </c>
      <c r="B3669" s="6" t="s">
        <v>8424</v>
      </c>
      <c r="C3669" s="6" t="s">
        <v>43</v>
      </c>
      <c r="D3669" s="6" t="s">
        <v>8425</v>
      </c>
      <c r="E3669" s="6" t="s">
        <v>8426</v>
      </c>
      <c r="F3669" s="6" t="s">
        <v>8427</v>
      </c>
      <c r="G3669" s="7">
        <v>0.08</v>
      </c>
      <c r="H3669" s="6" t="s">
        <v>734</v>
      </c>
      <c r="I3669" s="6" t="s">
        <v>20</v>
      </c>
      <c r="J3669" s="6">
        <v>2022.0</v>
      </c>
      <c r="K3669" s="10">
        <v>46116.0</v>
      </c>
      <c r="L3669" s="6">
        <v>1.0</v>
      </c>
      <c r="M3669" s="8">
        <f t="shared" si="4"/>
        <v>0.08</v>
      </c>
      <c r="P3669" s="9"/>
    </row>
    <row r="3670">
      <c r="A3670" s="6" t="s">
        <v>8428</v>
      </c>
      <c r="B3670" s="6" t="s">
        <v>732</v>
      </c>
      <c r="C3670" s="6" t="s">
        <v>43</v>
      </c>
      <c r="D3670" s="6" t="s">
        <v>8429</v>
      </c>
      <c r="E3670" s="6" t="s">
        <v>2136</v>
      </c>
      <c r="F3670" s="6" t="s">
        <v>1000</v>
      </c>
      <c r="G3670" s="7">
        <v>0.05</v>
      </c>
      <c r="H3670" s="6" t="s">
        <v>238</v>
      </c>
      <c r="I3670" s="6" t="s">
        <v>20</v>
      </c>
      <c r="J3670" s="6">
        <v>2024.0</v>
      </c>
      <c r="K3670" s="10">
        <v>46025.0</v>
      </c>
      <c r="L3670" s="6">
        <v>1.0</v>
      </c>
      <c r="M3670" s="8">
        <f t="shared" si="4"/>
        <v>0.05</v>
      </c>
      <c r="P3670" s="9"/>
    </row>
    <row r="3671">
      <c r="A3671" s="6" t="s">
        <v>8430</v>
      </c>
      <c r="B3671" s="6" t="s">
        <v>74</v>
      </c>
      <c r="C3671" s="6" t="s">
        <v>43</v>
      </c>
      <c r="D3671" s="6" t="s">
        <v>8431</v>
      </c>
      <c r="E3671" s="6" t="s">
        <v>3177</v>
      </c>
      <c r="F3671" s="6" t="s">
        <v>1118</v>
      </c>
      <c r="G3671" s="7">
        <v>0.03</v>
      </c>
      <c r="H3671" s="6" t="s">
        <v>431</v>
      </c>
      <c r="I3671" s="6" t="s">
        <v>20</v>
      </c>
      <c r="J3671" s="6">
        <v>2019.0</v>
      </c>
      <c r="L3671" s="6">
        <v>1.0</v>
      </c>
      <c r="M3671" s="8">
        <f t="shared" si="4"/>
        <v>0.03</v>
      </c>
      <c r="P3671" s="9"/>
    </row>
    <row r="3672">
      <c r="A3672" s="6" t="s">
        <v>8432</v>
      </c>
      <c r="B3672" s="6" t="s">
        <v>8433</v>
      </c>
      <c r="C3672" s="6" t="s">
        <v>43</v>
      </c>
      <c r="D3672" s="6" t="s">
        <v>8434</v>
      </c>
      <c r="E3672" s="6" t="s">
        <v>5412</v>
      </c>
      <c r="F3672" s="6" t="s">
        <v>71</v>
      </c>
      <c r="G3672" s="7">
        <v>0.03</v>
      </c>
      <c r="H3672" s="6" t="s">
        <v>431</v>
      </c>
      <c r="I3672" s="6" t="s">
        <v>20</v>
      </c>
      <c r="J3672" s="6">
        <v>2019.0</v>
      </c>
      <c r="K3672" s="10">
        <v>46084.0</v>
      </c>
      <c r="L3672" s="6">
        <v>1.0</v>
      </c>
      <c r="M3672" s="8">
        <f t="shared" si="4"/>
        <v>0.03</v>
      </c>
      <c r="P3672" s="9"/>
    </row>
    <row r="3673">
      <c r="A3673" s="6" t="s">
        <v>8435</v>
      </c>
      <c r="B3673" s="6" t="s">
        <v>988</v>
      </c>
      <c r="C3673" s="6" t="s">
        <v>37</v>
      </c>
      <c r="D3673" s="6" t="s">
        <v>8436</v>
      </c>
      <c r="E3673" s="6" t="s">
        <v>964</v>
      </c>
      <c r="F3673" s="6" t="s">
        <v>50</v>
      </c>
      <c r="G3673" s="7">
        <v>0.2</v>
      </c>
      <c r="H3673" s="6" t="s">
        <v>460</v>
      </c>
      <c r="I3673" s="6" t="s">
        <v>20</v>
      </c>
      <c r="J3673" s="6">
        <v>2015.0</v>
      </c>
      <c r="K3673" s="10">
        <v>46114.0</v>
      </c>
      <c r="L3673" s="6">
        <v>1.0</v>
      </c>
      <c r="M3673" s="8">
        <f t="shared" si="4"/>
        <v>0.2</v>
      </c>
      <c r="P3673" s="9"/>
    </row>
    <row r="3674">
      <c r="A3674" s="6" t="s">
        <v>8437</v>
      </c>
      <c r="B3674" s="6" t="s">
        <v>8438</v>
      </c>
      <c r="C3674" s="6" t="s">
        <v>37</v>
      </c>
      <c r="D3674" s="6" t="s">
        <v>8439</v>
      </c>
      <c r="E3674" s="6" t="s">
        <v>964</v>
      </c>
      <c r="F3674" s="6" t="s">
        <v>50</v>
      </c>
      <c r="G3674" s="7">
        <v>0.03</v>
      </c>
      <c r="H3674" s="6" t="s">
        <v>506</v>
      </c>
      <c r="I3674" s="6" t="s">
        <v>20</v>
      </c>
      <c r="J3674" s="6">
        <v>2016.0</v>
      </c>
      <c r="K3674" s="10">
        <v>46083.0</v>
      </c>
      <c r="L3674" s="6">
        <v>1.0</v>
      </c>
      <c r="M3674" s="8">
        <f t="shared" si="4"/>
        <v>0.03</v>
      </c>
      <c r="P3674" s="9"/>
    </row>
    <row r="3675">
      <c r="A3675" s="6" t="s">
        <v>8440</v>
      </c>
      <c r="B3675" s="6" t="s">
        <v>8441</v>
      </c>
      <c r="C3675" s="6" t="s">
        <v>43</v>
      </c>
      <c r="D3675" s="6" t="s">
        <v>8442</v>
      </c>
      <c r="E3675" s="6" t="s">
        <v>2060</v>
      </c>
      <c r="F3675" s="6" t="s">
        <v>159</v>
      </c>
      <c r="G3675" s="7">
        <v>0.03</v>
      </c>
      <c r="H3675" s="6" t="s">
        <v>1344</v>
      </c>
      <c r="I3675" s="6" t="s">
        <v>20</v>
      </c>
      <c r="J3675" s="6">
        <v>2018.0</v>
      </c>
      <c r="K3675" s="10">
        <v>46055.0</v>
      </c>
      <c r="L3675" s="6">
        <v>1.0</v>
      </c>
      <c r="M3675" s="8">
        <f t="shared" si="4"/>
        <v>0.03</v>
      </c>
      <c r="P3675" s="9"/>
    </row>
    <row r="3676">
      <c r="A3676" s="6" t="s">
        <v>8443</v>
      </c>
      <c r="B3676" s="6" t="s">
        <v>74</v>
      </c>
      <c r="C3676" s="6" t="s">
        <v>43</v>
      </c>
      <c r="D3676" s="6" t="s">
        <v>8444</v>
      </c>
      <c r="E3676" s="6" t="s">
        <v>964</v>
      </c>
      <c r="F3676" s="6" t="s">
        <v>50</v>
      </c>
      <c r="G3676" s="7">
        <v>0.03</v>
      </c>
      <c r="H3676" s="6" t="s">
        <v>1344</v>
      </c>
      <c r="I3676" s="6" t="s">
        <v>20</v>
      </c>
      <c r="J3676" s="6">
        <v>2018.0</v>
      </c>
      <c r="L3676" s="6">
        <v>1.0</v>
      </c>
      <c r="M3676" s="8">
        <f t="shared" si="4"/>
        <v>0.03</v>
      </c>
      <c r="P3676" s="9"/>
    </row>
    <row r="3677">
      <c r="A3677" s="6" t="s">
        <v>8445</v>
      </c>
      <c r="B3677" s="6" t="s">
        <v>371</v>
      </c>
      <c r="C3677" s="6" t="s">
        <v>43</v>
      </c>
      <c r="D3677" s="6" t="s">
        <v>8446</v>
      </c>
      <c r="E3677" s="6" t="s">
        <v>2290</v>
      </c>
      <c r="F3677" s="6" t="s">
        <v>1000</v>
      </c>
      <c r="G3677" s="7">
        <v>0.04</v>
      </c>
      <c r="H3677" s="6" t="s">
        <v>1344</v>
      </c>
      <c r="I3677" s="6" t="s">
        <v>20</v>
      </c>
      <c r="J3677" s="6">
        <v>2018.0</v>
      </c>
      <c r="K3677" s="10">
        <v>46024.0</v>
      </c>
      <c r="L3677" s="6">
        <v>1.0</v>
      </c>
      <c r="M3677" s="8">
        <f t="shared" si="4"/>
        <v>0.04</v>
      </c>
      <c r="P3677" s="9"/>
    </row>
    <row r="3678">
      <c r="A3678" s="6" t="s">
        <v>8447</v>
      </c>
      <c r="B3678" s="6" t="s">
        <v>8448</v>
      </c>
      <c r="C3678" s="6" t="s">
        <v>37</v>
      </c>
      <c r="D3678" s="6" t="s">
        <v>8449</v>
      </c>
      <c r="E3678" s="6" t="s">
        <v>158</v>
      </c>
      <c r="F3678" s="6" t="s">
        <v>159</v>
      </c>
      <c r="G3678" s="7">
        <v>0.09</v>
      </c>
      <c r="H3678" s="6" t="s">
        <v>165</v>
      </c>
      <c r="I3678" s="6" t="s">
        <v>20</v>
      </c>
      <c r="J3678" s="6">
        <v>2020.0</v>
      </c>
      <c r="K3678" s="10">
        <v>46055.0</v>
      </c>
      <c r="L3678" s="6">
        <v>1.0</v>
      </c>
      <c r="M3678" s="8">
        <f t="shared" si="4"/>
        <v>0.09</v>
      </c>
      <c r="P3678" s="9"/>
    </row>
    <row r="3679">
      <c r="A3679" s="6" t="s">
        <v>8450</v>
      </c>
      <c r="B3679" s="6" t="s">
        <v>8451</v>
      </c>
      <c r="C3679" s="6" t="s">
        <v>37</v>
      </c>
      <c r="D3679" s="6" t="s">
        <v>8452</v>
      </c>
      <c r="E3679" s="6" t="s">
        <v>2201</v>
      </c>
      <c r="F3679" s="6" t="s">
        <v>536</v>
      </c>
      <c r="G3679" s="7">
        <v>0.03</v>
      </c>
      <c r="H3679" s="6" t="s">
        <v>8453</v>
      </c>
      <c r="I3679" s="6" t="s">
        <v>20</v>
      </c>
      <c r="J3679" s="6">
        <v>2016.0</v>
      </c>
      <c r="K3679" s="10">
        <v>46054.0</v>
      </c>
      <c r="L3679" s="6">
        <v>1.0</v>
      </c>
      <c r="M3679" s="8">
        <f t="shared" si="4"/>
        <v>0.03</v>
      </c>
      <c r="P3679" s="9"/>
    </row>
    <row r="3680">
      <c r="A3680" s="6" t="s">
        <v>8454</v>
      </c>
      <c r="B3680" s="6" t="s">
        <v>3328</v>
      </c>
      <c r="C3680" s="6" t="s">
        <v>43</v>
      </c>
      <c r="D3680" s="6" t="s">
        <v>8455</v>
      </c>
      <c r="E3680" s="6" t="s">
        <v>579</v>
      </c>
      <c r="F3680" s="6" t="s">
        <v>112</v>
      </c>
      <c r="G3680" s="7">
        <v>0.09</v>
      </c>
      <c r="H3680" s="6" t="s">
        <v>373</v>
      </c>
      <c r="I3680" s="6" t="s">
        <v>20</v>
      </c>
      <c r="J3680" s="6">
        <v>2015.0</v>
      </c>
      <c r="K3680" s="10">
        <v>46055.0</v>
      </c>
      <c r="L3680" s="6">
        <v>2.0</v>
      </c>
      <c r="M3680" s="8">
        <f t="shared" si="4"/>
        <v>0.18</v>
      </c>
      <c r="P3680" s="9"/>
    </row>
    <row r="3681">
      <c r="A3681" s="6" t="s">
        <v>8456</v>
      </c>
      <c r="B3681" s="6" t="s">
        <v>4618</v>
      </c>
      <c r="C3681" s="6" t="s">
        <v>43</v>
      </c>
      <c r="D3681" s="6" t="s">
        <v>8457</v>
      </c>
      <c r="E3681" s="6" t="s">
        <v>329</v>
      </c>
      <c r="F3681" s="6" t="s">
        <v>112</v>
      </c>
      <c r="G3681" s="7">
        <v>0.03</v>
      </c>
      <c r="H3681" s="6" t="s">
        <v>506</v>
      </c>
      <c r="I3681" s="6" t="s">
        <v>20</v>
      </c>
      <c r="J3681" s="6">
        <v>2016.0</v>
      </c>
      <c r="K3681" s="10">
        <v>46083.0</v>
      </c>
      <c r="L3681" s="6">
        <v>2.0</v>
      </c>
      <c r="M3681" s="8">
        <f t="shared" si="4"/>
        <v>0.06</v>
      </c>
      <c r="P3681" s="9"/>
    </row>
    <row r="3682">
      <c r="A3682" s="6" t="s">
        <v>3928</v>
      </c>
      <c r="B3682" s="6" t="s">
        <v>3929</v>
      </c>
      <c r="C3682" s="6" t="s">
        <v>43</v>
      </c>
      <c r="D3682" s="6" t="s">
        <v>3930</v>
      </c>
      <c r="E3682" s="6" t="s">
        <v>164</v>
      </c>
      <c r="F3682" s="6" t="s">
        <v>112</v>
      </c>
      <c r="G3682" s="7">
        <v>0.2</v>
      </c>
      <c r="H3682" s="6" t="s">
        <v>382</v>
      </c>
      <c r="I3682" s="6" t="s">
        <v>20</v>
      </c>
      <c r="J3682" s="6">
        <v>2020.0</v>
      </c>
      <c r="K3682" s="10">
        <v>46023.0</v>
      </c>
      <c r="L3682" s="6">
        <v>1.0</v>
      </c>
      <c r="M3682" s="8">
        <f t="shared" si="4"/>
        <v>0.2</v>
      </c>
      <c r="P3682" s="9"/>
    </row>
    <row r="3683">
      <c r="A3683" s="6" t="s">
        <v>8458</v>
      </c>
      <c r="B3683" s="6" t="s">
        <v>8459</v>
      </c>
      <c r="C3683" s="6" t="s">
        <v>43</v>
      </c>
      <c r="D3683" s="6" t="s">
        <v>8460</v>
      </c>
      <c r="E3683" s="6" t="s">
        <v>190</v>
      </c>
      <c r="F3683" s="6" t="s">
        <v>18</v>
      </c>
      <c r="G3683" s="7">
        <v>0.13</v>
      </c>
      <c r="H3683" s="6" t="s">
        <v>531</v>
      </c>
      <c r="I3683" s="6" t="s">
        <v>20</v>
      </c>
      <c r="J3683" s="6">
        <v>2017.0</v>
      </c>
      <c r="K3683" s="10">
        <v>46054.0</v>
      </c>
      <c r="L3683" s="6">
        <v>1.0</v>
      </c>
      <c r="M3683" s="8">
        <f t="shared" si="4"/>
        <v>0.13</v>
      </c>
      <c r="P3683" s="9"/>
    </row>
    <row r="3684">
      <c r="A3684" s="6" t="s">
        <v>8461</v>
      </c>
      <c r="B3684" s="6" t="s">
        <v>1394</v>
      </c>
      <c r="C3684" s="6" t="s">
        <v>43</v>
      </c>
      <c r="D3684" s="6" t="s">
        <v>1510</v>
      </c>
      <c r="E3684" s="6" t="s">
        <v>708</v>
      </c>
      <c r="F3684" s="6" t="s">
        <v>112</v>
      </c>
      <c r="G3684" s="7">
        <v>0.03</v>
      </c>
      <c r="H3684" s="6" t="s">
        <v>6779</v>
      </c>
      <c r="I3684" s="6" t="s">
        <v>20</v>
      </c>
      <c r="J3684" s="6">
        <v>2011.0</v>
      </c>
      <c r="K3684" s="10">
        <v>46115.0</v>
      </c>
      <c r="L3684" s="6">
        <v>1.0</v>
      </c>
      <c r="M3684" s="8">
        <f t="shared" si="4"/>
        <v>0.03</v>
      </c>
      <c r="P3684" s="9"/>
    </row>
    <row r="3685">
      <c r="A3685" s="6" t="s">
        <v>8462</v>
      </c>
      <c r="B3685" s="6" t="s">
        <v>3328</v>
      </c>
      <c r="C3685" s="6" t="s">
        <v>43</v>
      </c>
      <c r="D3685" s="6" t="s">
        <v>8463</v>
      </c>
      <c r="E3685" s="6" t="s">
        <v>164</v>
      </c>
      <c r="F3685" s="6" t="s">
        <v>112</v>
      </c>
      <c r="G3685" s="7">
        <v>0.06</v>
      </c>
      <c r="H3685" s="6" t="s">
        <v>373</v>
      </c>
      <c r="I3685" s="6" t="s">
        <v>20</v>
      </c>
      <c r="J3685" s="6">
        <v>2015.0</v>
      </c>
      <c r="K3685" s="10">
        <v>46023.0</v>
      </c>
      <c r="L3685" s="6">
        <v>1.0</v>
      </c>
      <c r="M3685" s="8">
        <f t="shared" si="4"/>
        <v>0.06</v>
      </c>
      <c r="P3685" s="9"/>
    </row>
    <row r="3686">
      <c r="A3686" s="6" t="s">
        <v>8464</v>
      </c>
      <c r="B3686" s="6" t="s">
        <v>504</v>
      </c>
      <c r="C3686" s="6" t="s">
        <v>37</v>
      </c>
      <c r="D3686" s="6" t="s">
        <v>8465</v>
      </c>
      <c r="E3686" s="6" t="s">
        <v>8466</v>
      </c>
      <c r="F3686" s="6" t="s">
        <v>112</v>
      </c>
      <c r="G3686" s="7">
        <v>0.09</v>
      </c>
      <c r="H3686" s="6" t="s">
        <v>460</v>
      </c>
      <c r="I3686" s="6" t="s">
        <v>20</v>
      </c>
      <c r="J3686" s="6">
        <v>2015.0</v>
      </c>
      <c r="K3686" s="10">
        <v>46180.0</v>
      </c>
      <c r="L3686" s="6">
        <v>1.0</v>
      </c>
      <c r="M3686" s="8">
        <f t="shared" si="4"/>
        <v>0.09</v>
      </c>
      <c r="P3686" s="9"/>
    </row>
    <row r="3687">
      <c r="A3687" s="6" t="s">
        <v>8467</v>
      </c>
      <c r="B3687" s="6" t="s">
        <v>5090</v>
      </c>
      <c r="C3687" s="6" t="s">
        <v>37</v>
      </c>
      <c r="D3687" s="6" t="s">
        <v>8468</v>
      </c>
      <c r="E3687" s="6" t="s">
        <v>329</v>
      </c>
      <c r="F3687" s="6" t="s">
        <v>112</v>
      </c>
      <c r="G3687" s="7">
        <v>0.06</v>
      </c>
      <c r="H3687" s="6" t="s">
        <v>460</v>
      </c>
      <c r="I3687" s="6" t="s">
        <v>20</v>
      </c>
      <c r="J3687" s="6">
        <v>2015.0</v>
      </c>
      <c r="K3687" s="10">
        <v>46083.0</v>
      </c>
      <c r="L3687" s="6">
        <v>1.0</v>
      </c>
      <c r="M3687" s="8">
        <f t="shared" si="4"/>
        <v>0.06</v>
      </c>
      <c r="P3687" s="9"/>
    </row>
    <row r="3688">
      <c r="A3688" s="6" t="s">
        <v>8469</v>
      </c>
      <c r="B3688" s="6" t="s">
        <v>2783</v>
      </c>
      <c r="C3688" s="6" t="s">
        <v>37</v>
      </c>
      <c r="D3688" s="6" t="s">
        <v>8470</v>
      </c>
      <c r="E3688" s="6" t="s">
        <v>164</v>
      </c>
      <c r="F3688" s="6" t="s">
        <v>112</v>
      </c>
      <c r="G3688" s="7">
        <v>0.06</v>
      </c>
      <c r="H3688" s="6" t="s">
        <v>373</v>
      </c>
      <c r="I3688" s="6" t="s">
        <v>20</v>
      </c>
      <c r="J3688" s="6">
        <v>2015.0</v>
      </c>
      <c r="K3688" s="10">
        <v>46055.0</v>
      </c>
      <c r="L3688" s="6">
        <v>1.0</v>
      </c>
      <c r="M3688" s="8">
        <f t="shared" si="4"/>
        <v>0.06</v>
      </c>
      <c r="P3688" s="9"/>
    </row>
    <row r="3689">
      <c r="A3689" s="6" t="s">
        <v>8471</v>
      </c>
      <c r="B3689" s="6" t="s">
        <v>2356</v>
      </c>
      <c r="C3689" s="6" t="s">
        <v>37</v>
      </c>
      <c r="D3689" s="6" t="s">
        <v>8472</v>
      </c>
      <c r="E3689" s="6" t="s">
        <v>164</v>
      </c>
      <c r="F3689" s="6" t="s">
        <v>112</v>
      </c>
      <c r="G3689" s="7">
        <v>0.09</v>
      </c>
      <c r="H3689" s="6" t="s">
        <v>922</v>
      </c>
      <c r="I3689" s="6" t="s">
        <v>20</v>
      </c>
      <c r="J3689" s="6">
        <v>2014.0</v>
      </c>
      <c r="K3689" s="10">
        <v>46055.0</v>
      </c>
      <c r="L3689" s="6">
        <v>1.0</v>
      </c>
      <c r="M3689" s="8">
        <f t="shared" si="4"/>
        <v>0.09</v>
      </c>
      <c r="P3689" s="9"/>
    </row>
    <row r="3690">
      <c r="A3690" s="6" t="s">
        <v>8473</v>
      </c>
      <c r="B3690" s="6" t="s">
        <v>988</v>
      </c>
      <c r="C3690" s="6" t="s">
        <v>37</v>
      </c>
      <c r="D3690" s="6" t="s">
        <v>8474</v>
      </c>
      <c r="E3690" s="6" t="s">
        <v>1702</v>
      </c>
      <c r="F3690" s="6" t="s">
        <v>112</v>
      </c>
      <c r="G3690" s="7">
        <v>0.09</v>
      </c>
      <c r="H3690" s="6" t="s">
        <v>460</v>
      </c>
      <c r="I3690" s="6" t="s">
        <v>20</v>
      </c>
      <c r="J3690" s="6">
        <v>2015.0</v>
      </c>
      <c r="K3690" s="10">
        <v>46084.0</v>
      </c>
      <c r="L3690" s="6">
        <v>1.0</v>
      </c>
      <c r="M3690" s="8">
        <f t="shared" si="4"/>
        <v>0.09</v>
      </c>
      <c r="P3690" s="9"/>
    </row>
    <row r="3691">
      <c r="A3691" s="6" t="s">
        <v>8475</v>
      </c>
      <c r="B3691" s="6" t="s">
        <v>504</v>
      </c>
      <c r="C3691" s="6" t="s">
        <v>43</v>
      </c>
      <c r="D3691" s="6" t="s">
        <v>8476</v>
      </c>
      <c r="E3691" s="6" t="s">
        <v>1702</v>
      </c>
      <c r="F3691" s="6" t="s">
        <v>112</v>
      </c>
      <c r="G3691" s="7">
        <v>0.09</v>
      </c>
      <c r="H3691" s="6" t="s">
        <v>3038</v>
      </c>
      <c r="I3691" s="6" t="s">
        <v>20</v>
      </c>
      <c r="J3691" s="6">
        <v>2006.0</v>
      </c>
      <c r="K3691" s="10">
        <v>46147.0</v>
      </c>
      <c r="L3691" s="6">
        <v>1.0</v>
      </c>
      <c r="M3691" s="8">
        <f t="shared" si="4"/>
        <v>0.09</v>
      </c>
      <c r="P3691" s="9"/>
    </row>
    <row r="3692">
      <c r="A3692" s="6" t="s">
        <v>8477</v>
      </c>
      <c r="B3692" s="6" t="s">
        <v>361</v>
      </c>
      <c r="C3692" s="6" t="s">
        <v>43</v>
      </c>
      <c r="D3692" s="6" t="s">
        <v>8478</v>
      </c>
      <c r="E3692" s="6" t="s">
        <v>111</v>
      </c>
      <c r="F3692" s="6" t="s">
        <v>112</v>
      </c>
      <c r="G3692" s="7">
        <v>0.03</v>
      </c>
      <c r="H3692" s="6" t="s">
        <v>1076</v>
      </c>
      <c r="I3692" s="6" t="s">
        <v>20</v>
      </c>
      <c r="J3692" s="6">
        <v>2018.0</v>
      </c>
      <c r="K3692" s="10">
        <v>46116.0</v>
      </c>
      <c r="L3692" s="6">
        <v>1.0</v>
      </c>
      <c r="M3692" s="8">
        <f t="shared" si="4"/>
        <v>0.03</v>
      </c>
      <c r="P3692" s="9"/>
    </row>
    <row r="3693">
      <c r="A3693" s="6" t="s">
        <v>1703</v>
      </c>
      <c r="B3693" s="6" t="s">
        <v>361</v>
      </c>
      <c r="C3693" s="6" t="s">
        <v>43</v>
      </c>
      <c r="D3693" s="6" t="s">
        <v>1705</v>
      </c>
      <c r="E3693" s="6" t="s">
        <v>1702</v>
      </c>
      <c r="F3693" s="6" t="s">
        <v>112</v>
      </c>
      <c r="G3693" s="7">
        <v>0.05</v>
      </c>
      <c r="H3693" s="6" t="s">
        <v>1076</v>
      </c>
      <c r="I3693" s="6" t="s">
        <v>20</v>
      </c>
      <c r="J3693" s="6">
        <v>2018.0</v>
      </c>
      <c r="K3693" s="10">
        <v>46179.0</v>
      </c>
      <c r="L3693" s="6">
        <v>1.0</v>
      </c>
      <c r="M3693" s="8">
        <f t="shared" si="4"/>
        <v>0.05</v>
      </c>
      <c r="P3693" s="9"/>
    </row>
    <row r="3694">
      <c r="A3694" s="6" t="s">
        <v>8479</v>
      </c>
      <c r="B3694" s="6" t="s">
        <v>1455</v>
      </c>
      <c r="C3694" s="6" t="s">
        <v>43</v>
      </c>
      <c r="E3694" s="6" t="s">
        <v>329</v>
      </c>
      <c r="F3694" s="6" t="s">
        <v>112</v>
      </c>
      <c r="G3694" s="7">
        <v>0.1</v>
      </c>
      <c r="H3694" s="6" t="s">
        <v>1392</v>
      </c>
      <c r="I3694" s="6" t="s">
        <v>20</v>
      </c>
      <c r="J3694" s="6">
        <v>2014.0</v>
      </c>
      <c r="K3694" s="10">
        <v>46084.0</v>
      </c>
      <c r="L3694" s="6">
        <v>2.0</v>
      </c>
      <c r="M3694" s="8">
        <f t="shared" si="4"/>
        <v>0.2</v>
      </c>
      <c r="P3694" s="9"/>
    </row>
    <row r="3695">
      <c r="A3695" s="6" t="s">
        <v>8480</v>
      </c>
      <c r="B3695" s="6" t="s">
        <v>5643</v>
      </c>
      <c r="C3695" s="6" t="s">
        <v>43</v>
      </c>
      <c r="E3695" s="6" t="s">
        <v>1297</v>
      </c>
      <c r="F3695" s="6" t="s">
        <v>112</v>
      </c>
      <c r="G3695" s="7">
        <v>0.05</v>
      </c>
      <c r="H3695" s="6" t="s">
        <v>1071</v>
      </c>
      <c r="I3695" s="6" t="s">
        <v>20</v>
      </c>
      <c r="J3695" s="6">
        <v>2012.0</v>
      </c>
      <c r="K3695" s="10">
        <v>46178.0</v>
      </c>
      <c r="L3695" s="6">
        <v>3.0</v>
      </c>
      <c r="M3695" s="8">
        <f t="shared" si="4"/>
        <v>0.15</v>
      </c>
      <c r="P3695" s="9"/>
    </row>
    <row r="3696">
      <c r="A3696" s="6" t="s">
        <v>8481</v>
      </c>
      <c r="B3696" s="6" t="s">
        <v>8482</v>
      </c>
      <c r="C3696" s="6" t="s">
        <v>43</v>
      </c>
      <c r="D3696" s="6" t="s">
        <v>8483</v>
      </c>
      <c r="E3696" s="6" t="s">
        <v>448</v>
      </c>
      <c r="F3696" s="6" t="s">
        <v>112</v>
      </c>
      <c r="G3696" s="7">
        <v>0.03</v>
      </c>
      <c r="H3696" s="6" t="s">
        <v>1856</v>
      </c>
      <c r="I3696" s="6" t="s">
        <v>20</v>
      </c>
      <c r="J3696" s="6">
        <v>2017.0</v>
      </c>
      <c r="K3696" s="10">
        <v>46116.0</v>
      </c>
      <c r="L3696" s="6">
        <v>1.0</v>
      </c>
      <c r="M3696" s="8">
        <f t="shared" si="4"/>
        <v>0.03</v>
      </c>
      <c r="P3696" s="9"/>
    </row>
    <row r="3697">
      <c r="A3697" s="6" t="s">
        <v>8484</v>
      </c>
      <c r="B3697" s="6" t="s">
        <v>8485</v>
      </c>
      <c r="C3697" s="6" t="s">
        <v>43</v>
      </c>
      <c r="D3697" s="6" t="s">
        <v>8486</v>
      </c>
      <c r="E3697" s="6" t="s">
        <v>579</v>
      </c>
      <c r="F3697" s="6" t="s">
        <v>112</v>
      </c>
      <c r="G3697" s="7">
        <v>0.03</v>
      </c>
      <c r="H3697" s="6" t="s">
        <v>1856</v>
      </c>
      <c r="I3697" s="6" t="s">
        <v>20</v>
      </c>
      <c r="J3697" s="6">
        <v>2017.0</v>
      </c>
      <c r="K3697" s="10">
        <v>46114.0</v>
      </c>
      <c r="L3697" s="6">
        <v>1.0</v>
      </c>
      <c r="M3697" s="8">
        <f t="shared" si="4"/>
        <v>0.03</v>
      </c>
      <c r="P3697" s="9"/>
    </row>
    <row r="3698">
      <c r="A3698" s="6" t="s">
        <v>8487</v>
      </c>
      <c r="B3698" s="6" t="s">
        <v>8488</v>
      </c>
      <c r="C3698" s="6" t="s">
        <v>43</v>
      </c>
      <c r="D3698" s="6" t="s">
        <v>8489</v>
      </c>
      <c r="E3698" s="6" t="s">
        <v>329</v>
      </c>
      <c r="F3698" s="6" t="s">
        <v>112</v>
      </c>
      <c r="G3698" s="7">
        <v>0.03</v>
      </c>
      <c r="H3698" s="6" t="s">
        <v>382</v>
      </c>
      <c r="I3698" s="6" t="s">
        <v>20</v>
      </c>
      <c r="J3698" s="6">
        <v>2020.0</v>
      </c>
      <c r="K3698" s="10">
        <v>46113.0</v>
      </c>
      <c r="L3698" s="6">
        <v>1.0</v>
      </c>
      <c r="M3698" s="8">
        <f t="shared" si="4"/>
        <v>0.03</v>
      </c>
      <c r="P3698" s="9"/>
    </row>
    <row r="3699">
      <c r="A3699" s="6" t="s">
        <v>8490</v>
      </c>
      <c r="B3699" s="6" t="s">
        <v>8491</v>
      </c>
      <c r="C3699" s="6" t="s">
        <v>43</v>
      </c>
      <c r="D3699" s="6" t="s">
        <v>8492</v>
      </c>
      <c r="E3699" s="6" t="s">
        <v>708</v>
      </c>
      <c r="F3699" s="6" t="s">
        <v>112</v>
      </c>
      <c r="G3699" s="7">
        <v>0.03</v>
      </c>
      <c r="H3699" s="6" t="s">
        <v>382</v>
      </c>
      <c r="I3699" s="6" t="s">
        <v>20</v>
      </c>
      <c r="J3699" s="6">
        <v>2020.0</v>
      </c>
      <c r="K3699" s="10">
        <v>46116.0</v>
      </c>
      <c r="L3699" s="6">
        <v>1.0</v>
      </c>
      <c r="M3699" s="8">
        <f t="shared" si="4"/>
        <v>0.03</v>
      </c>
      <c r="P3699" s="9"/>
    </row>
    <row r="3700">
      <c r="A3700" s="6" t="s">
        <v>8493</v>
      </c>
      <c r="B3700" s="6" t="s">
        <v>2356</v>
      </c>
      <c r="C3700" s="6" t="s">
        <v>43</v>
      </c>
      <c r="D3700" s="6" t="s">
        <v>8494</v>
      </c>
      <c r="E3700" s="6" t="s">
        <v>164</v>
      </c>
      <c r="F3700" s="6" t="s">
        <v>112</v>
      </c>
      <c r="G3700" s="7">
        <v>0.03</v>
      </c>
      <c r="H3700" s="6" t="s">
        <v>382</v>
      </c>
      <c r="I3700" s="6" t="s">
        <v>20</v>
      </c>
      <c r="J3700" s="6">
        <v>2020.0</v>
      </c>
      <c r="K3700" s="10">
        <v>46024.0</v>
      </c>
      <c r="L3700" s="6">
        <v>1.0</v>
      </c>
      <c r="M3700" s="8">
        <f t="shared" si="4"/>
        <v>0.03</v>
      </c>
      <c r="P3700" s="9"/>
    </row>
    <row r="3701">
      <c r="A3701" s="6" t="s">
        <v>8495</v>
      </c>
      <c r="B3701" s="6" t="s">
        <v>1455</v>
      </c>
      <c r="C3701" s="6" t="s">
        <v>43</v>
      </c>
      <c r="D3701" s="6" t="s">
        <v>8496</v>
      </c>
      <c r="E3701" s="6" t="s">
        <v>579</v>
      </c>
      <c r="F3701" s="6" t="s">
        <v>112</v>
      </c>
      <c r="G3701" s="7">
        <v>0.05</v>
      </c>
      <c r="H3701" s="6" t="s">
        <v>373</v>
      </c>
      <c r="I3701" s="6" t="s">
        <v>20</v>
      </c>
      <c r="J3701" s="6">
        <v>2015.0</v>
      </c>
      <c r="K3701" s="10">
        <v>46083.0</v>
      </c>
      <c r="L3701" s="6">
        <v>2.0</v>
      </c>
      <c r="M3701" s="8">
        <f t="shared" si="4"/>
        <v>0.1</v>
      </c>
      <c r="P3701" s="9"/>
    </row>
    <row r="3702">
      <c r="A3702" s="6" t="s">
        <v>8497</v>
      </c>
      <c r="B3702" s="6" t="s">
        <v>3929</v>
      </c>
      <c r="C3702" s="6" t="s">
        <v>37</v>
      </c>
      <c r="D3702" s="6" t="s">
        <v>8498</v>
      </c>
      <c r="E3702" s="6" t="s">
        <v>179</v>
      </c>
      <c r="F3702" s="6" t="s">
        <v>112</v>
      </c>
      <c r="G3702" s="7">
        <v>0.1</v>
      </c>
      <c r="H3702" s="6" t="s">
        <v>460</v>
      </c>
      <c r="I3702" s="6" t="s">
        <v>20</v>
      </c>
      <c r="J3702" s="6">
        <v>2015.0</v>
      </c>
      <c r="K3702" s="6" t="s">
        <v>1924</v>
      </c>
      <c r="L3702" s="6">
        <v>1.0</v>
      </c>
      <c r="M3702" s="8">
        <f t="shared" si="4"/>
        <v>0.1</v>
      </c>
      <c r="P3702" s="9"/>
    </row>
    <row r="3703">
      <c r="A3703" s="6" t="s">
        <v>8499</v>
      </c>
      <c r="B3703" s="6" t="s">
        <v>2084</v>
      </c>
      <c r="C3703" s="6" t="s">
        <v>43</v>
      </c>
      <c r="D3703" s="6" t="s">
        <v>8500</v>
      </c>
      <c r="E3703" s="6" t="s">
        <v>164</v>
      </c>
      <c r="F3703" s="6" t="s">
        <v>112</v>
      </c>
      <c r="G3703" s="7">
        <v>0.03</v>
      </c>
      <c r="H3703" s="6" t="s">
        <v>531</v>
      </c>
      <c r="I3703" s="6" t="s">
        <v>20</v>
      </c>
      <c r="J3703" s="6">
        <v>2017.0</v>
      </c>
      <c r="K3703" s="10">
        <v>46055.0</v>
      </c>
      <c r="L3703" s="6">
        <v>2.0</v>
      </c>
      <c r="M3703" s="8">
        <f t="shared" si="4"/>
        <v>0.06</v>
      </c>
      <c r="P3703" s="9"/>
    </row>
    <row r="3704">
      <c r="A3704" s="6" t="s">
        <v>8501</v>
      </c>
      <c r="B3704" s="6" t="s">
        <v>1394</v>
      </c>
      <c r="C3704" s="6" t="s">
        <v>43</v>
      </c>
      <c r="D3704" s="6" t="s">
        <v>8502</v>
      </c>
      <c r="E3704" s="6" t="s">
        <v>179</v>
      </c>
      <c r="F3704" s="6" t="s">
        <v>112</v>
      </c>
      <c r="G3704" s="7">
        <v>0.1</v>
      </c>
      <c r="H3704" s="6" t="s">
        <v>373</v>
      </c>
      <c r="I3704" s="6" t="s">
        <v>20</v>
      </c>
      <c r="J3704" s="6">
        <v>2015.0</v>
      </c>
      <c r="K3704" s="10">
        <v>46023.0</v>
      </c>
      <c r="L3704" s="6">
        <v>1.0</v>
      </c>
      <c r="M3704" s="8">
        <f t="shared" si="4"/>
        <v>0.1</v>
      </c>
      <c r="P3704" s="9"/>
    </row>
    <row r="3705">
      <c r="A3705" s="6" t="s">
        <v>8503</v>
      </c>
      <c r="B3705" s="6" t="s">
        <v>8504</v>
      </c>
      <c r="C3705" s="6" t="s">
        <v>43</v>
      </c>
      <c r="D3705" s="6" t="s">
        <v>8505</v>
      </c>
      <c r="E3705" s="6" t="s">
        <v>448</v>
      </c>
      <c r="F3705" s="6" t="s">
        <v>112</v>
      </c>
      <c r="G3705" s="7">
        <v>0.06</v>
      </c>
      <c r="H3705" s="6" t="s">
        <v>373</v>
      </c>
      <c r="I3705" s="6" t="s">
        <v>20</v>
      </c>
      <c r="J3705" s="6">
        <v>2015.0</v>
      </c>
      <c r="K3705" s="10">
        <v>46116.0</v>
      </c>
      <c r="L3705" s="6">
        <v>1.0</v>
      </c>
      <c r="M3705" s="8">
        <f t="shared" si="4"/>
        <v>0.06</v>
      </c>
      <c r="P3705" s="9"/>
    </row>
    <row r="3706">
      <c r="A3706" s="6" t="s">
        <v>8506</v>
      </c>
      <c r="B3706" s="6" t="s">
        <v>2405</v>
      </c>
      <c r="C3706" s="6" t="s">
        <v>43</v>
      </c>
      <c r="D3706" s="6" t="s">
        <v>8507</v>
      </c>
      <c r="E3706" s="6" t="s">
        <v>448</v>
      </c>
      <c r="F3706" s="6" t="s">
        <v>112</v>
      </c>
      <c r="G3706" s="7">
        <v>0.03</v>
      </c>
      <c r="H3706" s="6" t="s">
        <v>1776</v>
      </c>
      <c r="I3706" s="6" t="s">
        <v>20</v>
      </c>
      <c r="J3706" s="6">
        <v>2017.0</v>
      </c>
      <c r="K3706" s="10">
        <v>46116.0</v>
      </c>
      <c r="L3706" s="6">
        <v>1.0</v>
      </c>
      <c r="M3706" s="8">
        <f t="shared" si="4"/>
        <v>0.03</v>
      </c>
      <c r="P3706" s="9"/>
    </row>
    <row r="3707">
      <c r="A3707" s="6" t="s">
        <v>8508</v>
      </c>
      <c r="B3707" s="6" t="s">
        <v>3328</v>
      </c>
      <c r="C3707" s="6" t="s">
        <v>43</v>
      </c>
      <c r="D3707" s="6" t="s">
        <v>8509</v>
      </c>
      <c r="E3707" s="6" t="s">
        <v>329</v>
      </c>
      <c r="F3707" s="6" t="s">
        <v>112</v>
      </c>
      <c r="G3707" s="7">
        <v>0.03</v>
      </c>
      <c r="H3707" s="6" t="s">
        <v>1071</v>
      </c>
      <c r="I3707" s="6" t="s">
        <v>20</v>
      </c>
      <c r="J3707" s="6">
        <v>2012.0</v>
      </c>
      <c r="K3707" s="10">
        <v>46055.0</v>
      </c>
      <c r="L3707" s="6">
        <v>1.0</v>
      </c>
      <c r="M3707" s="8">
        <f t="shared" si="4"/>
        <v>0.03</v>
      </c>
      <c r="P3707" s="9"/>
    </row>
    <row r="3708">
      <c r="A3708" s="6" t="s">
        <v>8510</v>
      </c>
      <c r="B3708" s="6" t="s">
        <v>4639</v>
      </c>
      <c r="C3708" s="6" t="s">
        <v>43</v>
      </c>
      <c r="D3708" s="6" t="s">
        <v>8511</v>
      </c>
      <c r="E3708" s="6" t="s">
        <v>329</v>
      </c>
      <c r="F3708" s="6" t="s">
        <v>112</v>
      </c>
      <c r="G3708" s="7">
        <v>0.03</v>
      </c>
      <c r="H3708" s="6" t="s">
        <v>1776</v>
      </c>
      <c r="I3708" s="6" t="s">
        <v>20</v>
      </c>
      <c r="J3708" s="6">
        <v>2017.0</v>
      </c>
      <c r="K3708" s="10">
        <v>46055.0</v>
      </c>
      <c r="L3708" s="6">
        <v>1.0</v>
      </c>
      <c r="M3708" s="8">
        <f t="shared" si="4"/>
        <v>0.03</v>
      </c>
      <c r="P3708" s="9"/>
    </row>
    <row r="3709">
      <c r="A3709" s="6" t="s">
        <v>8512</v>
      </c>
      <c r="B3709" s="6" t="s">
        <v>619</v>
      </c>
      <c r="C3709" s="6" t="s">
        <v>43</v>
      </c>
      <c r="D3709" s="6" t="s">
        <v>8513</v>
      </c>
      <c r="E3709" s="6" t="s">
        <v>164</v>
      </c>
      <c r="F3709" s="6" t="s">
        <v>112</v>
      </c>
      <c r="G3709" s="7">
        <v>0.05</v>
      </c>
      <c r="H3709" s="6" t="s">
        <v>1071</v>
      </c>
      <c r="I3709" s="6" t="s">
        <v>20</v>
      </c>
      <c r="J3709" s="6">
        <v>2012.0</v>
      </c>
      <c r="K3709" s="10">
        <v>46055.0</v>
      </c>
      <c r="L3709" s="6">
        <v>1.0</v>
      </c>
      <c r="M3709" s="8">
        <f t="shared" si="4"/>
        <v>0.05</v>
      </c>
      <c r="P3709" s="9"/>
    </row>
    <row r="3710">
      <c r="A3710" s="6" t="s">
        <v>8514</v>
      </c>
      <c r="B3710" s="6" t="s">
        <v>619</v>
      </c>
      <c r="C3710" s="6" t="s">
        <v>43</v>
      </c>
      <c r="D3710" s="6" t="s">
        <v>8515</v>
      </c>
      <c r="E3710" s="6" t="s">
        <v>164</v>
      </c>
      <c r="F3710" s="6" t="s">
        <v>112</v>
      </c>
      <c r="G3710" s="7">
        <v>0.22</v>
      </c>
      <c r="H3710" s="6" t="s">
        <v>918</v>
      </c>
      <c r="I3710" s="6" t="s">
        <v>45</v>
      </c>
      <c r="J3710" s="6">
        <v>2023.0</v>
      </c>
      <c r="K3710" s="10">
        <v>46083.0</v>
      </c>
      <c r="L3710" s="6">
        <v>1.0</v>
      </c>
      <c r="M3710" s="8">
        <f t="shared" si="4"/>
        <v>0.22</v>
      </c>
      <c r="P3710" s="9"/>
    </row>
    <row r="3711">
      <c r="A3711" s="6" t="s">
        <v>8516</v>
      </c>
      <c r="B3711" s="6" t="s">
        <v>8517</v>
      </c>
      <c r="C3711" s="6" t="s">
        <v>43</v>
      </c>
      <c r="D3711" s="6" t="s">
        <v>8518</v>
      </c>
      <c r="E3711" s="6" t="s">
        <v>179</v>
      </c>
      <c r="F3711" s="6" t="s">
        <v>112</v>
      </c>
      <c r="G3711" s="7">
        <v>0.32</v>
      </c>
      <c r="H3711" s="6" t="s">
        <v>918</v>
      </c>
      <c r="I3711" s="6" t="s">
        <v>45</v>
      </c>
      <c r="J3711" s="6">
        <v>2023.0</v>
      </c>
      <c r="K3711" s="10">
        <v>46023.0</v>
      </c>
      <c r="L3711" s="6">
        <v>1.0</v>
      </c>
      <c r="M3711" s="8">
        <f t="shared" si="4"/>
        <v>0.32</v>
      </c>
      <c r="P3711" s="9"/>
    </row>
    <row r="3712">
      <c r="A3712" s="6" t="s">
        <v>6326</v>
      </c>
      <c r="B3712" s="6" t="s">
        <v>4706</v>
      </c>
      <c r="C3712" s="6" t="s">
        <v>43</v>
      </c>
      <c r="D3712" s="6" t="s">
        <v>6327</v>
      </c>
      <c r="E3712" s="6" t="s">
        <v>111</v>
      </c>
      <c r="F3712" s="6" t="s">
        <v>112</v>
      </c>
      <c r="G3712" s="7">
        <v>0.05</v>
      </c>
      <c r="H3712" s="6" t="s">
        <v>1071</v>
      </c>
      <c r="I3712" s="6" t="s">
        <v>20</v>
      </c>
      <c r="J3712" s="6">
        <v>2012.0</v>
      </c>
      <c r="K3712" s="10">
        <v>46116.0</v>
      </c>
      <c r="L3712" s="6">
        <v>2.0</v>
      </c>
      <c r="M3712" s="8">
        <f t="shared" si="4"/>
        <v>0.1</v>
      </c>
      <c r="P3712" s="9"/>
    </row>
    <row r="3713">
      <c r="A3713" s="6" t="s">
        <v>8276</v>
      </c>
      <c r="B3713" s="6" t="s">
        <v>4706</v>
      </c>
      <c r="C3713" s="6" t="s">
        <v>43</v>
      </c>
      <c r="D3713" s="6" t="s">
        <v>6591</v>
      </c>
      <c r="E3713" s="6" t="s">
        <v>579</v>
      </c>
      <c r="F3713" s="6" t="s">
        <v>112</v>
      </c>
      <c r="G3713" s="7">
        <v>0.03</v>
      </c>
      <c r="H3713" s="6" t="s">
        <v>531</v>
      </c>
      <c r="I3713" s="6" t="s">
        <v>20</v>
      </c>
      <c r="J3713" s="6">
        <v>2017.0</v>
      </c>
      <c r="K3713" s="10">
        <v>46114.0</v>
      </c>
      <c r="L3713" s="6">
        <v>1.0</v>
      </c>
      <c r="M3713" s="8">
        <f t="shared" si="4"/>
        <v>0.03</v>
      </c>
      <c r="P3713" s="9"/>
    </row>
    <row r="3714">
      <c r="A3714" s="6" t="s">
        <v>8519</v>
      </c>
      <c r="B3714" s="6" t="s">
        <v>5217</v>
      </c>
      <c r="C3714" s="6" t="s">
        <v>43</v>
      </c>
      <c r="D3714" s="6" t="s">
        <v>4381</v>
      </c>
      <c r="E3714" s="6" t="s">
        <v>179</v>
      </c>
      <c r="F3714" s="6" t="s">
        <v>112</v>
      </c>
      <c r="G3714" s="7">
        <v>0.03</v>
      </c>
      <c r="H3714" s="6" t="s">
        <v>382</v>
      </c>
      <c r="I3714" s="6" t="s">
        <v>20</v>
      </c>
      <c r="J3714" s="6">
        <v>2020.0</v>
      </c>
      <c r="K3714" s="10">
        <v>46023.0</v>
      </c>
      <c r="L3714" s="6">
        <v>2.0</v>
      </c>
      <c r="M3714" s="8">
        <f t="shared" si="4"/>
        <v>0.06</v>
      </c>
      <c r="P3714" s="9"/>
    </row>
    <row r="3715">
      <c r="A3715" s="6" t="s">
        <v>8520</v>
      </c>
      <c r="B3715" s="6" t="s">
        <v>504</v>
      </c>
      <c r="C3715" s="6" t="s">
        <v>43</v>
      </c>
      <c r="D3715" s="6" t="s">
        <v>8521</v>
      </c>
      <c r="E3715" s="6" t="s">
        <v>579</v>
      </c>
      <c r="F3715" s="6" t="s">
        <v>112</v>
      </c>
      <c r="G3715" s="7">
        <v>0.06</v>
      </c>
      <c r="H3715" s="6" t="s">
        <v>1071</v>
      </c>
      <c r="I3715" s="6" t="s">
        <v>20</v>
      </c>
      <c r="J3715" s="6">
        <v>2012.0</v>
      </c>
      <c r="K3715" s="10">
        <v>46084.0</v>
      </c>
      <c r="L3715" s="6">
        <v>1.0</v>
      </c>
      <c r="M3715" s="8">
        <f t="shared" si="4"/>
        <v>0.06</v>
      </c>
      <c r="P3715" s="9"/>
    </row>
    <row r="3716">
      <c r="A3716" s="6" t="s">
        <v>8522</v>
      </c>
      <c r="B3716" s="6" t="s">
        <v>1269</v>
      </c>
      <c r="C3716" s="6" t="s">
        <v>37</v>
      </c>
      <c r="D3716" s="6" t="s">
        <v>8523</v>
      </c>
      <c r="E3716" s="6" t="s">
        <v>164</v>
      </c>
      <c r="F3716" s="6" t="s">
        <v>112</v>
      </c>
      <c r="G3716" s="7">
        <v>0.13</v>
      </c>
      <c r="H3716" s="6" t="s">
        <v>460</v>
      </c>
      <c r="I3716" s="6" t="s">
        <v>20</v>
      </c>
      <c r="J3716" s="6">
        <v>2015.0</v>
      </c>
      <c r="K3716" s="10">
        <v>46023.0</v>
      </c>
      <c r="L3716" s="6">
        <v>2.0</v>
      </c>
      <c r="M3716" s="8">
        <f t="shared" si="4"/>
        <v>0.26</v>
      </c>
      <c r="P3716" s="9"/>
    </row>
    <row r="3717">
      <c r="A3717" s="6" t="s">
        <v>8524</v>
      </c>
      <c r="B3717" s="6" t="s">
        <v>8525</v>
      </c>
      <c r="C3717" s="6" t="s">
        <v>43</v>
      </c>
      <c r="D3717" s="6" t="s">
        <v>8526</v>
      </c>
      <c r="E3717" s="6" t="s">
        <v>164</v>
      </c>
      <c r="F3717" s="6" t="s">
        <v>112</v>
      </c>
      <c r="G3717" s="7">
        <v>0.03</v>
      </c>
      <c r="H3717" s="6" t="s">
        <v>382</v>
      </c>
      <c r="I3717" s="6" t="s">
        <v>20</v>
      </c>
      <c r="J3717" s="6">
        <v>2020.0</v>
      </c>
      <c r="K3717" s="10">
        <v>46055.0</v>
      </c>
      <c r="L3717" s="6">
        <v>3.0</v>
      </c>
      <c r="M3717" s="8">
        <f t="shared" si="4"/>
        <v>0.09</v>
      </c>
      <c r="P3717" s="9"/>
    </row>
    <row r="3718">
      <c r="A3718" s="6" t="s">
        <v>3884</v>
      </c>
      <c r="B3718" s="6" t="s">
        <v>3097</v>
      </c>
      <c r="C3718" s="6" t="s">
        <v>43</v>
      </c>
      <c r="D3718" s="6" t="s">
        <v>3885</v>
      </c>
      <c r="E3718" s="6" t="s">
        <v>329</v>
      </c>
      <c r="F3718" s="6" t="s">
        <v>112</v>
      </c>
      <c r="G3718" s="7">
        <v>0.06</v>
      </c>
      <c r="H3718" s="6" t="s">
        <v>382</v>
      </c>
      <c r="I3718" s="6" t="s">
        <v>20</v>
      </c>
      <c r="J3718" s="6">
        <v>2020.0</v>
      </c>
      <c r="K3718" s="10">
        <v>46084.0</v>
      </c>
      <c r="L3718" s="6">
        <v>1.0</v>
      </c>
      <c r="M3718" s="8">
        <f t="shared" si="4"/>
        <v>0.06</v>
      </c>
      <c r="P3718" s="9"/>
    </row>
    <row r="3719">
      <c r="A3719" s="6" t="s">
        <v>8527</v>
      </c>
      <c r="B3719" s="6" t="s">
        <v>8528</v>
      </c>
      <c r="C3719" s="6" t="s">
        <v>43</v>
      </c>
      <c r="D3719" s="6" t="s">
        <v>8529</v>
      </c>
      <c r="E3719" s="6" t="s">
        <v>579</v>
      </c>
      <c r="F3719" s="6" t="s">
        <v>112</v>
      </c>
      <c r="G3719" s="7">
        <v>0.03</v>
      </c>
      <c r="H3719" s="6" t="s">
        <v>1776</v>
      </c>
      <c r="I3719" s="6" t="s">
        <v>20</v>
      </c>
      <c r="J3719" s="6">
        <v>2017.0</v>
      </c>
      <c r="K3719" s="10">
        <v>46084.0</v>
      </c>
      <c r="L3719" s="6">
        <v>2.0</v>
      </c>
      <c r="M3719" s="8">
        <f t="shared" si="4"/>
        <v>0.06</v>
      </c>
      <c r="P3719" s="9"/>
    </row>
    <row r="3720">
      <c r="A3720" s="6" t="s">
        <v>8530</v>
      </c>
      <c r="B3720" s="6" t="s">
        <v>577</v>
      </c>
      <c r="C3720" s="6" t="s">
        <v>43</v>
      </c>
      <c r="D3720" s="6" t="s">
        <v>8531</v>
      </c>
      <c r="E3720" s="6" t="s">
        <v>708</v>
      </c>
      <c r="F3720" s="6" t="s">
        <v>112</v>
      </c>
      <c r="G3720" s="7">
        <v>0.06</v>
      </c>
      <c r="H3720" s="6" t="s">
        <v>506</v>
      </c>
      <c r="I3720" s="6" t="s">
        <v>20</v>
      </c>
      <c r="J3720" s="6">
        <v>2016.0</v>
      </c>
      <c r="K3720" s="10">
        <v>46084.0</v>
      </c>
      <c r="L3720" s="6">
        <v>1.0</v>
      </c>
      <c r="M3720" s="8">
        <f t="shared" si="4"/>
        <v>0.06</v>
      </c>
      <c r="P3720" s="9"/>
    </row>
    <row r="3721">
      <c r="A3721" s="6" t="s">
        <v>8532</v>
      </c>
      <c r="B3721" s="6" t="s">
        <v>8533</v>
      </c>
      <c r="C3721" s="6" t="s">
        <v>43</v>
      </c>
      <c r="D3721" s="6" t="s">
        <v>8534</v>
      </c>
      <c r="E3721" s="6" t="s">
        <v>329</v>
      </c>
      <c r="F3721" s="6" t="s">
        <v>112</v>
      </c>
      <c r="G3721" s="7">
        <v>0.03</v>
      </c>
      <c r="H3721" s="6" t="s">
        <v>531</v>
      </c>
      <c r="I3721" s="6" t="s">
        <v>20</v>
      </c>
      <c r="J3721" s="6">
        <v>2017.0</v>
      </c>
      <c r="K3721" s="10">
        <v>46056.0</v>
      </c>
      <c r="L3721" s="6">
        <v>2.0</v>
      </c>
      <c r="M3721" s="8">
        <f t="shared" si="4"/>
        <v>0.06</v>
      </c>
      <c r="P3721" s="9"/>
    </row>
    <row r="3722">
      <c r="A3722" s="6" t="s">
        <v>8535</v>
      </c>
      <c r="B3722" s="6" t="s">
        <v>1517</v>
      </c>
      <c r="C3722" s="6" t="s">
        <v>43</v>
      </c>
      <c r="D3722" s="6" t="s">
        <v>8536</v>
      </c>
      <c r="E3722" s="6" t="s">
        <v>329</v>
      </c>
      <c r="F3722" s="6" t="s">
        <v>112</v>
      </c>
      <c r="G3722" s="7">
        <v>0.03</v>
      </c>
      <c r="H3722" s="6" t="s">
        <v>1776</v>
      </c>
      <c r="I3722" s="6" t="s">
        <v>20</v>
      </c>
      <c r="J3722" s="6">
        <v>2017.0</v>
      </c>
      <c r="K3722" s="10">
        <v>46083.0</v>
      </c>
      <c r="L3722" s="6">
        <v>1.0</v>
      </c>
      <c r="M3722" s="8">
        <f t="shared" si="4"/>
        <v>0.03</v>
      </c>
      <c r="P3722" s="9"/>
    </row>
    <row r="3723">
      <c r="A3723" s="6" t="s">
        <v>8537</v>
      </c>
      <c r="B3723" s="6" t="s">
        <v>1517</v>
      </c>
      <c r="C3723" s="6" t="s">
        <v>43</v>
      </c>
      <c r="D3723" s="6" t="s">
        <v>8538</v>
      </c>
      <c r="E3723" s="6" t="s">
        <v>164</v>
      </c>
      <c r="F3723" s="6" t="s">
        <v>112</v>
      </c>
      <c r="G3723" s="7">
        <v>0.03</v>
      </c>
      <c r="H3723" s="6" t="s">
        <v>531</v>
      </c>
      <c r="I3723" s="6" t="s">
        <v>20</v>
      </c>
      <c r="J3723" s="6">
        <v>2017.0</v>
      </c>
      <c r="K3723" s="10">
        <v>46025.0</v>
      </c>
      <c r="L3723" s="6">
        <v>5.0</v>
      </c>
      <c r="M3723" s="8">
        <f t="shared" si="4"/>
        <v>0.15</v>
      </c>
      <c r="P3723" s="9"/>
    </row>
    <row r="3724">
      <c r="A3724" s="6" t="s">
        <v>8539</v>
      </c>
      <c r="B3724" s="6" t="s">
        <v>4706</v>
      </c>
      <c r="C3724" s="6" t="s">
        <v>43</v>
      </c>
      <c r="D3724" s="6" t="s">
        <v>8540</v>
      </c>
      <c r="E3724" s="6" t="s">
        <v>164</v>
      </c>
      <c r="F3724" s="6" t="s">
        <v>112</v>
      </c>
      <c r="G3724" s="7">
        <v>0.14</v>
      </c>
      <c r="H3724" s="6" t="s">
        <v>1071</v>
      </c>
      <c r="I3724" s="6" t="s">
        <v>20</v>
      </c>
      <c r="J3724" s="6">
        <v>2012.0</v>
      </c>
      <c r="K3724" s="10">
        <v>46054.0</v>
      </c>
      <c r="L3724" s="6">
        <v>2.0</v>
      </c>
      <c r="M3724" s="8">
        <f t="shared" si="4"/>
        <v>0.28</v>
      </c>
      <c r="P3724" s="9"/>
    </row>
    <row r="3725">
      <c r="A3725" s="6" t="s">
        <v>8541</v>
      </c>
      <c r="B3725" s="6" t="s">
        <v>1517</v>
      </c>
      <c r="C3725" s="6" t="s">
        <v>43</v>
      </c>
      <c r="D3725" s="6" t="s">
        <v>8542</v>
      </c>
      <c r="E3725" s="6" t="s">
        <v>111</v>
      </c>
      <c r="F3725" s="6" t="s">
        <v>112</v>
      </c>
      <c r="G3725" s="7">
        <v>0.03</v>
      </c>
      <c r="H3725" s="6" t="s">
        <v>506</v>
      </c>
      <c r="I3725" s="6" t="s">
        <v>20</v>
      </c>
      <c r="J3725" s="6">
        <v>2016.0</v>
      </c>
      <c r="K3725" s="10">
        <v>46116.0</v>
      </c>
      <c r="L3725" s="6">
        <v>1.0</v>
      </c>
      <c r="M3725" s="8">
        <f t="shared" si="4"/>
        <v>0.03</v>
      </c>
      <c r="P3725" s="9"/>
    </row>
    <row r="3726">
      <c r="A3726" s="6" t="s">
        <v>8508</v>
      </c>
      <c r="B3726" s="6" t="s">
        <v>3328</v>
      </c>
      <c r="C3726" s="6" t="s">
        <v>43</v>
      </c>
      <c r="D3726" s="6" t="s">
        <v>8509</v>
      </c>
      <c r="E3726" s="6" t="s">
        <v>329</v>
      </c>
      <c r="F3726" s="6" t="s">
        <v>112</v>
      </c>
      <c r="G3726" s="7">
        <v>0.06</v>
      </c>
      <c r="H3726" s="6" t="s">
        <v>373</v>
      </c>
      <c r="I3726" s="6" t="s">
        <v>20</v>
      </c>
      <c r="J3726" s="6">
        <v>2015.0</v>
      </c>
      <c r="K3726" s="10">
        <v>46055.0</v>
      </c>
      <c r="L3726" s="6">
        <v>3.0</v>
      </c>
      <c r="M3726" s="8">
        <f t="shared" si="4"/>
        <v>0.18</v>
      </c>
      <c r="P3726" s="9"/>
    </row>
    <row r="3727">
      <c r="A3727" s="6" t="s">
        <v>8543</v>
      </c>
      <c r="B3727" s="6" t="s">
        <v>5643</v>
      </c>
      <c r="C3727" s="6" t="s">
        <v>43</v>
      </c>
      <c r="E3727" s="6" t="s">
        <v>1702</v>
      </c>
      <c r="F3727" s="6" t="s">
        <v>112</v>
      </c>
      <c r="G3727" s="7">
        <v>0.03</v>
      </c>
      <c r="H3727" s="6" t="s">
        <v>506</v>
      </c>
      <c r="I3727" s="6" t="s">
        <v>20</v>
      </c>
      <c r="J3727" s="6">
        <v>2016.0</v>
      </c>
      <c r="K3727" s="10">
        <v>46179.0</v>
      </c>
      <c r="L3727" s="6">
        <v>6.0</v>
      </c>
      <c r="M3727" s="8">
        <f t="shared" si="4"/>
        <v>0.18</v>
      </c>
      <c r="P3727" s="9"/>
    </row>
    <row r="3728">
      <c r="A3728" s="6" t="s">
        <v>8544</v>
      </c>
      <c r="B3728" s="6" t="s">
        <v>96</v>
      </c>
      <c r="C3728" s="6" t="s">
        <v>43</v>
      </c>
      <c r="D3728" s="6" t="s">
        <v>8545</v>
      </c>
      <c r="E3728" s="6" t="s">
        <v>164</v>
      </c>
      <c r="F3728" s="6" t="s">
        <v>112</v>
      </c>
      <c r="G3728" s="7">
        <v>0.05</v>
      </c>
      <c r="H3728" s="6" t="s">
        <v>922</v>
      </c>
      <c r="I3728" s="6" t="s">
        <v>20</v>
      </c>
      <c r="J3728" s="6">
        <v>2014.0</v>
      </c>
      <c r="K3728" s="6" t="s">
        <v>100</v>
      </c>
      <c r="L3728" s="6">
        <v>1.0</v>
      </c>
      <c r="M3728" s="8">
        <f t="shared" si="4"/>
        <v>0.05</v>
      </c>
      <c r="P3728" s="9"/>
    </row>
    <row r="3729">
      <c r="A3729" s="6" t="s">
        <v>5269</v>
      </c>
      <c r="B3729" s="6" t="s">
        <v>2568</v>
      </c>
      <c r="C3729" s="6" t="s">
        <v>43</v>
      </c>
      <c r="D3729" s="6" t="s">
        <v>8546</v>
      </c>
      <c r="E3729" s="6" t="s">
        <v>179</v>
      </c>
      <c r="F3729" s="6" t="s">
        <v>112</v>
      </c>
      <c r="G3729" s="7">
        <v>0.03</v>
      </c>
      <c r="H3729" s="6" t="s">
        <v>531</v>
      </c>
      <c r="I3729" s="6" t="s">
        <v>20</v>
      </c>
      <c r="J3729" s="6">
        <v>2017.0</v>
      </c>
      <c r="K3729" s="6" t="s">
        <v>1924</v>
      </c>
      <c r="L3729" s="6">
        <v>1.0</v>
      </c>
      <c r="M3729" s="8">
        <f t="shared" si="4"/>
        <v>0.03</v>
      </c>
      <c r="P3729" s="9"/>
    </row>
    <row r="3730">
      <c r="A3730" s="6" t="s">
        <v>8547</v>
      </c>
      <c r="B3730" s="6" t="s">
        <v>3537</v>
      </c>
      <c r="C3730" s="6" t="s">
        <v>43</v>
      </c>
      <c r="D3730" s="6" t="s">
        <v>8548</v>
      </c>
      <c r="E3730" s="6" t="s">
        <v>329</v>
      </c>
      <c r="F3730" s="6" t="s">
        <v>112</v>
      </c>
      <c r="G3730" s="7">
        <v>0.03</v>
      </c>
      <c r="H3730" s="6" t="s">
        <v>531</v>
      </c>
      <c r="I3730" s="6" t="s">
        <v>20</v>
      </c>
      <c r="J3730" s="6">
        <v>2017.0</v>
      </c>
      <c r="K3730" s="10">
        <v>46115.0</v>
      </c>
      <c r="L3730" s="6">
        <v>1.0</v>
      </c>
      <c r="M3730" s="8">
        <f t="shared" si="4"/>
        <v>0.03</v>
      </c>
      <c r="P3730" s="9"/>
    </row>
    <row r="3731">
      <c r="A3731" s="6" t="s">
        <v>8549</v>
      </c>
      <c r="B3731" s="6" t="s">
        <v>8550</v>
      </c>
      <c r="C3731" s="6" t="s">
        <v>43</v>
      </c>
      <c r="D3731" s="6" t="s">
        <v>8551</v>
      </c>
      <c r="E3731" s="6" t="s">
        <v>448</v>
      </c>
      <c r="F3731" s="6" t="s">
        <v>112</v>
      </c>
      <c r="G3731" s="7">
        <v>0.06</v>
      </c>
      <c r="H3731" s="6" t="s">
        <v>382</v>
      </c>
      <c r="I3731" s="6" t="s">
        <v>20</v>
      </c>
      <c r="J3731" s="6">
        <v>2020.0</v>
      </c>
      <c r="K3731" s="10">
        <v>46086.0</v>
      </c>
      <c r="L3731" s="6">
        <v>1.0</v>
      </c>
      <c r="M3731" s="8">
        <f t="shared" si="4"/>
        <v>0.06</v>
      </c>
      <c r="P3731" s="9"/>
    </row>
    <row r="3732">
      <c r="A3732" s="6" t="s">
        <v>8552</v>
      </c>
      <c r="B3732" s="6" t="s">
        <v>1095</v>
      </c>
      <c r="C3732" s="6" t="s">
        <v>43</v>
      </c>
      <c r="D3732" s="6" t="s">
        <v>8553</v>
      </c>
      <c r="E3732" s="6" t="s">
        <v>164</v>
      </c>
      <c r="F3732" s="6" t="s">
        <v>112</v>
      </c>
      <c r="G3732" s="7">
        <v>0.03</v>
      </c>
      <c r="H3732" s="6" t="s">
        <v>506</v>
      </c>
      <c r="I3732" s="6" t="s">
        <v>20</v>
      </c>
      <c r="J3732" s="6">
        <v>2016.0</v>
      </c>
      <c r="K3732" s="10">
        <v>46024.0</v>
      </c>
      <c r="L3732" s="6">
        <v>1.0</v>
      </c>
      <c r="M3732" s="8">
        <f t="shared" si="4"/>
        <v>0.03</v>
      </c>
      <c r="P3732" s="9"/>
    </row>
    <row r="3733">
      <c r="A3733" s="6" t="s">
        <v>8554</v>
      </c>
      <c r="B3733" s="6" t="s">
        <v>8555</v>
      </c>
      <c r="C3733" s="6" t="s">
        <v>43</v>
      </c>
      <c r="D3733" s="6" t="s">
        <v>8556</v>
      </c>
      <c r="E3733" s="6" t="s">
        <v>579</v>
      </c>
      <c r="F3733" s="6" t="s">
        <v>112</v>
      </c>
      <c r="G3733" s="7">
        <v>0.03</v>
      </c>
      <c r="H3733" s="6" t="s">
        <v>531</v>
      </c>
      <c r="I3733" s="6" t="s">
        <v>20</v>
      </c>
      <c r="J3733" s="6">
        <v>2017.0</v>
      </c>
      <c r="K3733" s="10">
        <v>46085.0</v>
      </c>
      <c r="L3733" s="6">
        <v>3.0</v>
      </c>
      <c r="M3733" s="8">
        <f t="shared" si="4"/>
        <v>0.09</v>
      </c>
      <c r="P3733" s="9"/>
    </row>
    <row r="3734">
      <c r="A3734" s="6" t="s">
        <v>8557</v>
      </c>
      <c r="B3734" s="6" t="s">
        <v>577</v>
      </c>
      <c r="C3734" s="6" t="s">
        <v>43</v>
      </c>
      <c r="D3734" s="6" t="s">
        <v>8558</v>
      </c>
      <c r="E3734" s="6" t="s">
        <v>329</v>
      </c>
      <c r="F3734" s="6" t="s">
        <v>112</v>
      </c>
      <c r="G3734" s="7">
        <v>0.03</v>
      </c>
      <c r="H3734" s="6" t="s">
        <v>506</v>
      </c>
      <c r="I3734" s="6" t="s">
        <v>20</v>
      </c>
      <c r="J3734" s="6">
        <v>2016.0</v>
      </c>
      <c r="K3734" s="6" t="s">
        <v>1924</v>
      </c>
      <c r="L3734" s="6">
        <v>3.0</v>
      </c>
      <c r="M3734" s="8">
        <f t="shared" si="4"/>
        <v>0.09</v>
      </c>
      <c r="P3734" s="9"/>
    </row>
    <row r="3735">
      <c r="A3735" s="6" t="s">
        <v>8559</v>
      </c>
      <c r="B3735" s="6" t="s">
        <v>5643</v>
      </c>
      <c r="C3735" s="6" t="s">
        <v>43</v>
      </c>
      <c r="D3735" s="6" t="s">
        <v>8560</v>
      </c>
      <c r="E3735" s="6" t="s">
        <v>4393</v>
      </c>
      <c r="F3735" s="6" t="s">
        <v>112</v>
      </c>
      <c r="G3735" s="7">
        <v>0.03</v>
      </c>
      <c r="H3735" s="6" t="s">
        <v>531</v>
      </c>
      <c r="I3735" s="6" t="s">
        <v>20</v>
      </c>
      <c r="J3735" s="6">
        <v>2017.0</v>
      </c>
      <c r="K3735" s="10">
        <v>46210.0</v>
      </c>
      <c r="L3735" s="6">
        <v>2.0</v>
      </c>
      <c r="M3735" s="8">
        <f t="shared" si="4"/>
        <v>0.06</v>
      </c>
      <c r="P3735" s="9"/>
    </row>
    <row r="3736">
      <c r="A3736" s="6" t="s">
        <v>6414</v>
      </c>
      <c r="B3736" s="6" t="s">
        <v>74</v>
      </c>
      <c r="C3736" s="6" t="s">
        <v>43</v>
      </c>
      <c r="D3736" s="6" t="s">
        <v>6415</v>
      </c>
      <c r="E3736" s="6" t="s">
        <v>179</v>
      </c>
      <c r="F3736" s="6" t="s">
        <v>112</v>
      </c>
      <c r="G3736" s="7">
        <v>0.03</v>
      </c>
      <c r="H3736" s="6" t="s">
        <v>531</v>
      </c>
      <c r="I3736" s="6" t="s">
        <v>20</v>
      </c>
      <c r="J3736" s="6">
        <v>2017.0</v>
      </c>
      <c r="L3736" s="6">
        <v>1.0</v>
      </c>
      <c r="M3736" s="8">
        <f t="shared" si="4"/>
        <v>0.03</v>
      </c>
      <c r="P3736" s="9"/>
    </row>
    <row r="3737">
      <c r="A3737" s="6" t="s">
        <v>8561</v>
      </c>
      <c r="B3737" s="6" t="s">
        <v>74</v>
      </c>
      <c r="C3737" s="6" t="s">
        <v>43</v>
      </c>
      <c r="D3737" s="6" t="s">
        <v>8562</v>
      </c>
      <c r="E3737" s="6" t="s">
        <v>179</v>
      </c>
      <c r="F3737" s="6" t="s">
        <v>112</v>
      </c>
      <c r="G3737" s="7">
        <v>0.03</v>
      </c>
      <c r="H3737" s="6" t="s">
        <v>531</v>
      </c>
      <c r="I3737" s="6" t="s">
        <v>20</v>
      </c>
      <c r="J3737" s="6">
        <v>2017.0</v>
      </c>
      <c r="L3737" s="6">
        <v>2.0</v>
      </c>
      <c r="M3737" s="8">
        <f t="shared" si="4"/>
        <v>0.06</v>
      </c>
      <c r="P3737" s="9"/>
    </row>
    <row r="3738">
      <c r="A3738" s="6" t="s">
        <v>8563</v>
      </c>
      <c r="B3738" s="6" t="s">
        <v>74</v>
      </c>
      <c r="C3738" s="6" t="s">
        <v>37</v>
      </c>
      <c r="D3738" s="6" t="s">
        <v>8564</v>
      </c>
      <c r="E3738" s="6" t="s">
        <v>579</v>
      </c>
      <c r="F3738" s="6" t="s">
        <v>112</v>
      </c>
      <c r="G3738" s="7">
        <v>0.09</v>
      </c>
      <c r="H3738" s="6" t="s">
        <v>460</v>
      </c>
      <c r="I3738" s="6" t="s">
        <v>20</v>
      </c>
      <c r="J3738" s="6">
        <v>2015.0</v>
      </c>
      <c r="L3738" s="6">
        <v>1.0</v>
      </c>
      <c r="M3738" s="8">
        <f t="shared" si="4"/>
        <v>0.09</v>
      </c>
      <c r="P3738" s="9"/>
    </row>
    <row r="3739">
      <c r="A3739" s="6" t="s">
        <v>8565</v>
      </c>
      <c r="B3739" s="6" t="s">
        <v>74</v>
      </c>
      <c r="C3739" s="6" t="s">
        <v>43</v>
      </c>
      <c r="D3739" s="6" t="s">
        <v>8566</v>
      </c>
      <c r="E3739" s="6" t="s">
        <v>164</v>
      </c>
      <c r="F3739" s="6" t="s">
        <v>112</v>
      </c>
      <c r="G3739" s="7">
        <v>0.05</v>
      </c>
      <c r="H3739" s="6" t="s">
        <v>373</v>
      </c>
      <c r="I3739" s="6" t="s">
        <v>20</v>
      </c>
      <c r="J3739" s="6">
        <v>2015.0</v>
      </c>
      <c r="L3739" s="6">
        <v>2.0</v>
      </c>
      <c r="M3739" s="8">
        <f t="shared" si="4"/>
        <v>0.1</v>
      </c>
      <c r="P3739" s="9"/>
    </row>
    <row r="3740">
      <c r="A3740" s="6" t="s">
        <v>8565</v>
      </c>
      <c r="B3740" s="6" t="s">
        <v>74</v>
      </c>
      <c r="C3740" s="6" t="s">
        <v>43</v>
      </c>
      <c r="D3740" s="6" t="s">
        <v>8566</v>
      </c>
      <c r="E3740" s="6" t="s">
        <v>164</v>
      </c>
      <c r="F3740" s="6" t="s">
        <v>112</v>
      </c>
      <c r="G3740" s="7">
        <v>0.05</v>
      </c>
      <c r="H3740" s="6" t="s">
        <v>1090</v>
      </c>
      <c r="I3740" s="6" t="s">
        <v>20</v>
      </c>
      <c r="J3740" s="6">
        <v>2011.0</v>
      </c>
      <c r="L3740" s="6">
        <v>1.0</v>
      </c>
      <c r="M3740" s="8">
        <f t="shared" si="4"/>
        <v>0.05</v>
      </c>
      <c r="P3740" s="9"/>
    </row>
    <row r="3741">
      <c r="A3741" s="6" t="s">
        <v>8567</v>
      </c>
      <c r="B3741" s="6" t="s">
        <v>74</v>
      </c>
      <c r="C3741" s="6" t="s">
        <v>43</v>
      </c>
      <c r="D3741" s="6" t="s">
        <v>8568</v>
      </c>
      <c r="E3741" s="6" t="s">
        <v>179</v>
      </c>
      <c r="F3741" s="6" t="s">
        <v>112</v>
      </c>
      <c r="G3741" s="7">
        <v>0.08</v>
      </c>
      <c r="H3741" s="6" t="s">
        <v>373</v>
      </c>
      <c r="I3741" s="6" t="s">
        <v>20</v>
      </c>
      <c r="J3741" s="6">
        <v>2015.0</v>
      </c>
      <c r="L3741" s="6">
        <v>3.0</v>
      </c>
      <c r="M3741" s="8">
        <f t="shared" si="4"/>
        <v>0.24</v>
      </c>
      <c r="P3741" s="9"/>
    </row>
    <row r="3742">
      <c r="A3742" s="6" t="s">
        <v>8569</v>
      </c>
      <c r="B3742" s="6" t="s">
        <v>74</v>
      </c>
      <c r="C3742" s="6" t="s">
        <v>43</v>
      </c>
      <c r="D3742" s="6" t="s">
        <v>8570</v>
      </c>
      <c r="E3742" s="6" t="s">
        <v>179</v>
      </c>
      <c r="F3742" s="6" t="s">
        <v>112</v>
      </c>
      <c r="G3742" s="7">
        <v>0.06</v>
      </c>
      <c r="H3742" s="6" t="s">
        <v>373</v>
      </c>
      <c r="I3742" s="6" t="s">
        <v>20</v>
      </c>
      <c r="J3742" s="6">
        <v>2015.0</v>
      </c>
      <c r="L3742" s="6">
        <v>2.0</v>
      </c>
      <c r="M3742" s="8">
        <f t="shared" si="4"/>
        <v>0.12</v>
      </c>
      <c r="P3742" s="9"/>
    </row>
    <row r="3743">
      <c r="A3743" s="6" t="s">
        <v>3252</v>
      </c>
      <c r="B3743" s="6" t="s">
        <v>74</v>
      </c>
      <c r="C3743" s="6" t="s">
        <v>43</v>
      </c>
      <c r="D3743" s="6" t="s">
        <v>3253</v>
      </c>
      <c r="E3743" s="6" t="s">
        <v>164</v>
      </c>
      <c r="F3743" s="6" t="s">
        <v>112</v>
      </c>
      <c r="G3743" s="7">
        <v>0.03</v>
      </c>
      <c r="H3743" s="6" t="s">
        <v>382</v>
      </c>
      <c r="I3743" s="6" t="s">
        <v>20</v>
      </c>
      <c r="J3743" s="6">
        <v>2020.0</v>
      </c>
      <c r="L3743" s="6">
        <v>2.0</v>
      </c>
      <c r="M3743" s="8">
        <f t="shared" si="4"/>
        <v>0.06</v>
      </c>
      <c r="P3743" s="9"/>
    </row>
    <row r="3744">
      <c r="A3744" s="6" t="s">
        <v>8571</v>
      </c>
      <c r="B3744" s="6" t="s">
        <v>74</v>
      </c>
      <c r="C3744" s="6" t="s">
        <v>43</v>
      </c>
      <c r="D3744" s="6" t="s">
        <v>8572</v>
      </c>
      <c r="E3744" s="6" t="s">
        <v>329</v>
      </c>
      <c r="F3744" s="6" t="s">
        <v>112</v>
      </c>
      <c r="G3744" s="7">
        <v>0.06</v>
      </c>
      <c r="H3744" s="6" t="s">
        <v>373</v>
      </c>
      <c r="I3744" s="6" t="s">
        <v>20</v>
      </c>
      <c r="J3744" s="6">
        <v>2015.0</v>
      </c>
      <c r="L3744" s="6">
        <v>2.0</v>
      </c>
      <c r="M3744" s="8">
        <f t="shared" si="4"/>
        <v>0.12</v>
      </c>
      <c r="P3744" s="9"/>
    </row>
    <row r="3745">
      <c r="A3745" s="6" t="s">
        <v>8573</v>
      </c>
      <c r="B3745" s="6" t="s">
        <v>74</v>
      </c>
      <c r="C3745" s="6" t="s">
        <v>43</v>
      </c>
      <c r="D3745" s="6" t="s">
        <v>8574</v>
      </c>
      <c r="E3745" s="6" t="s">
        <v>579</v>
      </c>
      <c r="F3745" s="6" t="s">
        <v>112</v>
      </c>
      <c r="G3745" s="7">
        <v>0.03</v>
      </c>
      <c r="H3745" s="6" t="s">
        <v>382</v>
      </c>
      <c r="I3745" s="6" t="s">
        <v>20</v>
      </c>
      <c r="J3745" s="6">
        <v>2020.0</v>
      </c>
      <c r="L3745" s="6">
        <v>2.0</v>
      </c>
      <c r="M3745" s="8">
        <f t="shared" si="4"/>
        <v>0.06</v>
      </c>
      <c r="P3745" s="9"/>
    </row>
    <row r="3746">
      <c r="A3746" s="6" t="s">
        <v>8575</v>
      </c>
      <c r="B3746" s="6" t="s">
        <v>74</v>
      </c>
      <c r="C3746" s="6" t="s">
        <v>43</v>
      </c>
      <c r="D3746" s="6" t="s">
        <v>8576</v>
      </c>
      <c r="E3746" s="6" t="s">
        <v>329</v>
      </c>
      <c r="F3746" s="6" t="s">
        <v>112</v>
      </c>
      <c r="G3746" s="7">
        <v>0.03</v>
      </c>
      <c r="H3746" s="6" t="s">
        <v>506</v>
      </c>
      <c r="I3746" s="6" t="s">
        <v>20</v>
      </c>
      <c r="J3746" s="6">
        <v>2016.0</v>
      </c>
      <c r="L3746" s="6">
        <v>3.0</v>
      </c>
      <c r="M3746" s="8">
        <f t="shared" si="4"/>
        <v>0.09</v>
      </c>
      <c r="P3746" s="9"/>
    </row>
    <row r="3747">
      <c r="A3747" s="6" t="s">
        <v>3252</v>
      </c>
      <c r="B3747" s="6" t="s">
        <v>74</v>
      </c>
      <c r="C3747" s="6" t="s">
        <v>43</v>
      </c>
      <c r="D3747" s="6" t="s">
        <v>3253</v>
      </c>
      <c r="E3747" s="6" t="s">
        <v>164</v>
      </c>
      <c r="F3747" s="6" t="s">
        <v>112</v>
      </c>
      <c r="G3747" s="7">
        <v>0.03</v>
      </c>
      <c r="H3747" s="6" t="s">
        <v>1856</v>
      </c>
      <c r="I3747" s="6" t="s">
        <v>20</v>
      </c>
      <c r="J3747" s="6">
        <v>2017.0</v>
      </c>
      <c r="L3747" s="6">
        <v>1.0</v>
      </c>
      <c r="M3747" s="8">
        <f t="shared" si="4"/>
        <v>0.03</v>
      </c>
      <c r="P3747" s="9"/>
    </row>
    <row r="3748">
      <c r="A3748" s="6" t="s">
        <v>8577</v>
      </c>
      <c r="B3748" s="6" t="s">
        <v>2356</v>
      </c>
      <c r="C3748" s="6" t="s">
        <v>43</v>
      </c>
      <c r="D3748" s="6" t="s">
        <v>8578</v>
      </c>
      <c r="E3748" s="6" t="s">
        <v>164</v>
      </c>
      <c r="F3748" s="6" t="s">
        <v>112</v>
      </c>
      <c r="G3748" s="7">
        <v>0.03</v>
      </c>
      <c r="H3748" s="6" t="s">
        <v>1856</v>
      </c>
      <c r="I3748" s="6" t="s">
        <v>20</v>
      </c>
      <c r="J3748" s="6">
        <v>2017.0</v>
      </c>
      <c r="K3748" s="10">
        <v>46055.0</v>
      </c>
      <c r="L3748" s="6">
        <v>1.0</v>
      </c>
      <c r="M3748" s="8">
        <f t="shared" si="4"/>
        <v>0.03</v>
      </c>
      <c r="P3748" s="9"/>
    </row>
    <row r="3749">
      <c r="A3749" s="6" t="s">
        <v>8579</v>
      </c>
      <c r="B3749" s="6" t="s">
        <v>74</v>
      </c>
      <c r="C3749" s="6" t="s">
        <v>43</v>
      </c>
      <c r="D3749" s="6" t="s">
        <v>8580</v>
      </c>
      <c r="E3749" s="6" t="s">
        <v>164</v>
      </c>
      <c r="F3749" s="6" t="s">
        <v>112</v>
      </c>
      <c r="G3749" s="7">
        <v>0.03</v>
      </c>
      <c r="H3749" s="6" t="s">
        <v>1776</v>
      </c>
      <c r="I3749" s="6" t="s">
        <v>20</v>
      </c>
      <c r="J3749" s="6">
        <v>2017.0</v>
      </c>
      <c r="L3749" s="6">
        <v>1.0</v>
      </c>
      <c r="M3749" s="8">
        <f t="shared" si="4"/>
        <v>0.03</v>
      </c>
      <c r="P3749" s="9"/>
    </row>
    <row r="3750">
      <c r="A3750" s="6" t="s">
        <v>8581</v>
      </c>
      <c r="B3750" s="6" t="s">
        <v>74</v>
      </c>
      <c r="C3750" s="6" t="s">
        <v>43</v>
      </c>
      <c r="D3750" s="6" t="s">
        <v>8582</v>
      </c>
      <c r="E3750" s="6" t="s">
        <v>179</v>
      </c>
      <c r="F3750" s="6" t="s">
        <v>112</v>
      </c>
      <c r="G3750" s="7">
        <v>0.06</v>
      </c>
      <c r="H3750" s="6" t="s">
        <v>373</v>
      </c>
      <c r="I3750" s="6" t="s">
        <v>20</v>
      </c>
      <c r="J3750" s="6">
        <v>2015.0</v>
      </c>
      <c r="L3750" s="6">
        <v>1.0</v>
      </c>
      <c r="M3750" s="8">
        <f t="shared" si="4"/>
        <v>0.06</v>
      </c>
      <c r="P3750" s="9"/>
    </row>
    <row r="3751">
      <c r="A3751" s="6" t="s">
        <v>8583</v>
      </c>
      <c r="B3751" s="6" t="s">
        <v>74</v>
      </c>
      <c r="C3751" s="6" t="s">
        <v>43</v>
      </c>
      <c r="D3751" s="6" t="s">
        <v>8584</v>
      </c>
      <c r="E3751" s="6" t="s">
        <v>329</v>
      </c>
      <c r="F3751" s="6" t="s">
        <v>112</v>
      </c>
      <c r="G3751" s="7">
        <v>0.03</v>
      </c>
      <c r="H3751" s="6" t="s">
        <v>709</v>
      </c>
      <c r="I3751" s="6" t="s">
        <v>20</v>
      </c>
      <c r="J3751" s="6">
        <v>2017.0</v>
      </c>
      <c r="L3751" s="6">
        <v>1.0</v>
      </c>
      <c r="M3751" s="8">
        <f t="shared" si="4"/>
        <v>0.03</v>
      </c>
      <c r="P3751" s="9"/>
    </row>
    <row r="3752">
      <c r="A3752" s="6" t="s">
        <v>8585</v>
      </c>
      <c r="B3752" s="6" t="s">
        <v>74</v>
      </c>
      <c r="C3752" s="6" t="s">
        <v>43</v>
      </c>
      <c r="D3752" s="6" t="s">
        <v>8586</v>
      </c>
      <c r="E3752" s="6" t="s">
        <v>164</v>
      </c>
      <c r="F3752" s="6" t="s">
        <v>112</v>
      </c>
      <c r="G3752" s="7">
        <v>0.03</v>
      </c>
      <c r="H3752" s="6" t="s">
        <v>506</v>
      </c>
      <c r="I3752" s="6" t="s">
        <v>20</v>
      </c>
      <c r="J3752" s="6">
        <v>2016.0</v>
      </c>
      <c r="L3752" s="6">
        <v>2.0</v>
      </c>
      <c r="M3752" s="8">
        <f t="shared" si="4"/>
        <v>0.06</v>
      </c>
      <c r="P3752" s="9"/>
    </row>
    <row r="3753">
      <c r="A3753" s="6" t="s">
        <v>5561</v>
      </c>
      <c r="B3753" s="6" t="s">
        <v>74</v>
      </c>
      <c r="C3753" s="6" t="s">
        <v>43</v>
      </c>
      <c r="D3753" s="6" t="s">
        <v>5562</v>
      </c>
      <c r="E3753" s="6" t="s">
        <v>164</v>
      </c>
      <c r="F3753" s="6" t="s">
        <v>112</v>
      </c>
      <c r="G3753" s="7">
        <v>0.03</v>
      </c>
      <c r="H3753" s="6" t="s">
        <v>382</v>
      </c>
      <c r="I3753" s="6" t="s">
        <v>20</v>
      </c>
      <c r="J3753" s="6">
        <v>2020.0</v>
      </c>
      <c r="L3753" s="6">
        <v>2.0</v>
      </c>
      <c r="M3753" s="8">
        <f t="shared" si="4"/>
        <v>0.06</v>
      </c>
      <c r="P3753" s="9"/>
    </row>
    <row r="3754">
      <c r="A3754" s="6" t="s">
        <v>8587</v>
      </c>
      <c r="B3754" s="6" t="s">
        <v>74</v>
      </c>
      <c r="C3754" s="6" t="s">
        <v>43</v>
      </c>
      <c r="D3754" s="6" t="s">
        <v>8588</v>
      </c>
      <c r="E3754" s="6" t="s">
        <v>329</v>
      </c>
      <c r="F3754" s="6" t="s">
        <v>112</v>
      </c>
      <c r="G3754" s="7">
        <v>0.08</v>
      </c>
      <c r="H3754" s="6" t="s">
        <v>922</v>
      </c>
      <c r="I3754" s="6" t="s">
        <v>20</v>
      </c>
      <c r="J3754" s="6">
        <v>2014.0</v>
      </c>
      <c r="L3754" s="6">
        <v>1.0</v>
      </c>
      <c r="M3754" s="8">
        <f t="shared" si="4"/>
        <v>0.08</v>
      </c>
      <c r="P3754" s="9"/>
    </row>
    <row r="3755">
      <c r="A3755" s="6" t="s">
        <v>8589</v>
      </c>
      <c r="B3755" s="6" t="s">
        <v>74</v>
      </c>
      <c r="C3755" s="6" t="s">
        <v>43</v>
      </c>
      <c r="D3755" s="6" t="s">
        <v>8590</v>
      </c>
      <c r="E3755" s="6" t="s">
        <v>329</v>
      </c>
      <c r="F3755" s="6" t="s">
        <v>112</v>
      </c>
      <c r="G3755" s="7">
        <v>0.05</v>
      </c>
      <c r="H3755" s="6" t="s">
        <v>1071</v>
      </c>
      <c r="I3755" s="6" t="s">
        <v>20</v>
      </c>
      <c r="J3755" s="6">
        <v>2012.0</v>
      </c>
      <c r="L3755" s="6">
        <v>1.0</v>
      </c>
      <c r="M3755" s="8">
        <f t="shared" si="4"/>
        <v>0.05</v>
      </c>
      <c r="P3755" s="9"/>
    </row>
    <row r="3756">
      <c r="A3756" s="6" t="s">
        <v>1257</v>
      </c>
      <c r="B3756" s="6" t="s">
        <v>74</v>
      </c>
      <c r="C3756" s="6" t="s">
        <v>43</v>
      </c>
      <c r="D3756" s="6" t="s">
        <v>1258</v>
      </c>
      <c r="E3756" s="6" t="s">
        <v>329</v>
      </c>
      <c r="F3756" s="6" t="s">
        <v>112</v>
      </c>
      <c r="G3756" s="7">
        <v>0.2</v>
      </c>
      <c r="H3756" s="6" t="s">
        <v>88</v>
      </c>
      <c r="I3756" s="6" t="s">
        <v>45</v>
      </c>
      <c r="J3756" s="6">
        <v>2024.0</v>
      </c>
      <c r="L3756" s="6">
        <v>1.0</v>
      </c>
      <c r="M3756" s="8">
        <f t="shared" si="4"/>
        <v>0.2</v>
      </c>
      <c r="P3756" s="9"/>
    </row>
    <row r="3757">
      <c r="A3757" s="6" t="s">
        <v>8591</v>
      </c>
      <c r="B3757" s="6" t="s">
        <v>74</v>
      </c>
      <c r="C3757" s="6" t="s">
        <v>43</v>
      </c>
      <c r="D3757" s="6" t="s">
        <v>8592</v>
      </c>
      <c r="E3757" s="6" t="s">
        <v>329</v>
      </c>
      <c r="F3757" s="6" t="s">
        <v>112</v>
      </c>
      <c r="G3757" s="7">
        <v>0.03</v>
      </c>
      <c r="H3757" s="6" t="s">
        <v>1856</v>
      </c>
      <c r="I3757" s="6" t="s">
        <v>20</v>
      </c>
      <c r="J3757" s="6">
        <v>2017.0</v>
      </c>
      <c r="L3757" s="6">
        <v>1.0</v>
      </c>
      <c r="M3757" s="8">
        <f t="shared" si="4"/>
        <v>0.03</v>
      </c>
      <c r="P3757" s="9"/>
    </row>
    <row r="3758">
      <c r="A3758" s="6" t="s">
        <v>8256</v>
      </c>
      <c r="B3758" s="6" t="s">
        <v>162</v>
      </c>
      <c r="C3758" s="6" t="s">
        <v>43</v>
      </c>
      <c r="D3758" s="6" t="s">
        <v>8257</v>
      </c>
      <c r="E3758" s="6" t="s">
        <v>579</v>
      </c>
      <c r="F3758" s="6" t="s">
        <v>112</v>
      </c>
      <c r="G3758" s="7">
        <v>0.03</v>
      </c>
      <c r="H3758" s="6" t="s">
        <v>1076</v>
      </c>
      <c r="I3758" s="6" t="s">
        <v>20</v>
      </c>
      <c r="J3758" s="6">
        <v>2018.0</v>
      </c>
      <c r="L3758" s="6">
        <v>1.0</v>
      </c>
      <c r="M3758" s="8">
        <f t="shared" si="4"/>
        <v>0.03</v>
      </c>
      <c r="P3758" s="9"/>
    </row>
    <row r="3759">
      <c r="A3759" s="6" t="s">
        <v>5621</v>
      </c>
      <c r="B3759" s="6" t="s">
        <v>162</v>
      </c>
      <c r="C3759" s="6" t="s">
        <v>43</v>
      </c>
      <c r="D3759" s="6" t="s">
        <v>5622</v>
      </c>
      <c r="E3759" s="6" t="s">
        <v>179</v>
      </c>
      <c r="F3759" s="6" t="s">
        <v>112</v>
      </c>
      <c r="G3759" s="7">
        <v>0.05</v>
      </c>
      <c r="H3759" s="6" t="s">
        <v>895</v>
      </c>
      <c r="I3759" s="6" t="s">
        <v>20</v>
      </c>
      <c r="J3759" s="6">
        <v>2018.0</v>
      </c>
      <c r="L3759" s="6">
        <v>2.0</v>
      </c>
      <c r="M3759" s="8">
        <f t="shared" si="4"/>
        <v>0.1</v>
      </c>
      <c r="P3759" s="9"/>
    </row>
    <row r="3760">
      <c r="A3760" s="6" t="s">
        <v>8593</v>
      </c>
      <c r="B3760" s="6" t="s">
        <v>162</v>
      </c>
      <c r="C3760" s="6" t="s">
        <v>43</v>
      </c>
      <c r="D3760" s="6" t="s">
        <v>8594</v>
      </c>
      <c r="E3760" s="6" t="s">
        <v>329</v>
      </c>
      <c r="F3760" s="6" t="s">
        <v>112</v>
      </c>
      <c r="G3760" s="7">
        <v>0.03</v>
      </c>
      <c r="H3760" s="6" t="s">
        <v>1856</v>
      </c>
      <c r="I3760" s="6" t="s">
        <v>20</v>
      </c>
      <c r="J3760" s="6">
        <v>2017.0</v>
      </c>
      <c r="L3760" s="6">
        <v>1.0</v>
      </c>
      <c r="M3760" s="8">
        <f t="shared" si="4"/>
        <v>0.03</v>
      </c>
      <c r="P3760" s="9"/>
    </row>
    <row r="3761">
      <c r="A3761" s="6" t="s">
        <v>8595</v>
      </c>
      <c r="B3761" s="6" t="s">
        <v>162</v>
      </c>
      <c r="C3761" s="6" t="s">
        <v>43</v>
      </c>
      <c r="D3761" s="6" t="s">
        <v>8596</v>
      </c>
      <c r="E3761" s="6" t="s">
        <v>329</v>
      </c>
      <c r="F3761" s="6" t="s">
        <v>112</v>
      </c>
      <c r="G3761" s="7">
        <v>0.03</v>
      </c>
      <c r="H3761" s="6" t="s">
        <v>531</v>
      </c>
      <c r="I3761" s="6" t="s">
        <v>20</v>
      </c>
      <c r="J3761" s="6">
        <v>2017.0</v>
      </c>
      <c r="L3761" s="6">
        <v>1.0</v>
      </c>
      <c r="M3761" s="8">
        <f t="shared" si="4"/>
        <v>0.03</v>
      </c>
      <c r="P3761" s="9"/>
    </row>
    <row r="3762">
      <c r="A3762" s="6" t="s">
        <v>8597</v>
      </c>
      <c r="B3762" s="6" t="s">
        <v>162</v>
      </c>
      <c r="C3762" s="6" t="s">
        <v>43</v>
      </c>
      <c r="D3762" s="6" t="s">
        <v>8598</v>
      </c>
      <c r="E3762" s="6" t="s">
        <v>329</v>
      </c>
      <c r="F3762" s="6" t="s">
        <v>112</v>
      </c>
      <c r="G3762" s="7">
        <v>0.3</v>
      </c>
      <c r="H3762" s="6" t="s">
        <v>373</v>
      </c>
      <c r="I3762" s="6" t="s">
        <v>20</v>
      </c>
      <c r="J3762" s="6">
        <v>2015.0</v>
      </c>
      <c r="L3762" s="6">
        <v>1.0</v>
      </c>
      <c r="M3762" s="8">
        <f t="shared" si="4"/>
        <v>0.3</v>
      </c>
      <c r="P3762" s="9"/>
    </row>
    <row r="3763">
      <c r="A3763" s="6" t="s">
        <v>8599</v>
      </c>
      <c r="B3763" s="6" t="s">
        <v>162</v>
      </c>
      <c r="C3763" s="6" t="s">
        <v>30</v>
      </c>
      <c r="D3763" s="6" t="s">
        <v>8600</v>
      </c>
      <c r="E3763" s="6" t="s">
        <v>448</v>
      </c>
      <c r="F3763" s="6" t="s">
        <v>112</v>
      </c>
      <c r="G3763" s="7">
        <v>0.5</v>
      </c>
      <c r="H3763" s="6" t="s">
        <v>1856</v>
      </c>
      <c r="I3763" s="6" t="s">
        <v>20</v>
      </c>
      <c r="J3763" s="6">
        <v>2017.0</v>
      </c>
      <c r="L3763" s="6">
        <v>1.0</v>
      </c>
      <c r="M3763" s="8">
        <f t="shared" si="4"/>
        <v>0.5</v>
      </c>
      <c r="P3763" s="9"/>
    </row>
    <row r="3764">
      <c r="A3764" s="6" t="s">
        <v>8601</v>
      </c>
      <c r="B3764" s="6" t="s">
        <v>162</v>
      </c>
      <c r="C3764" s="6" t="s">
        <v>43</v>
      </c>
      <c r="D3764" s="6" t="s">
        <v>8602</v>
      </c>
      <c r="E3764" s="6" t="s">
        <v>329</v>
      </c>
      <c r="F3764" s="6" t="s">
        <v>112</v>
      </c>
      <c r="G3764" s="7">
        <v>0.25</v>
      </c>
      <c r="H3764" s="6" t="s">
        <v>918</v>
      </c>
      <c r="I3764" s="6" t="s">
        <v>45</v>
      </c>
      <c r="J3764" s="6">
        <v>2023.0</v>
      </c>
      <c r="L3764" s="6">
        <v>1.0</v>
      </c>
      <c r="M3764" s="8">
        <f t="shared" si="4"/>
        <v>0.25</v>
      </c>
      <c r="P3764" s="9"/>
    </row>
    <row r="3765">
      <c r="A3765" s="6" t="s">
        <v>8603</v>
      </c>
      <c r="B3765" s="6" t="s">
        <v>162</v>
      </c>
      <c r="C3765" s="6" t="s">
        <v>43</v>
      </c>
      <c r="D3765" s="6" t="s">
        <v>8604</v>
      </c>
      <c r="E3765" s="6" t="s">
        <v>179</v>
      </c>
      <c r="F3765" s="6" t="s">
        <v>112</v>
      </c>
      <c r="G3765" s="7">
        <v>0.07</v>
      </c>
      <c r="H3765" s="6" t="s">
        <v>506</v>
      </c>
      <c r="I3765" s="6" t="s">
        <v>20</v>
      </c>
      <c r="J3765" s="6">
        <v>2016.0</v>
      </c>
      <c r="L3765" s="6">
        <v>1.0</v>
      </c>
      <c r="M3765" s="8">
        <f t="shared" si="4"/>
        <v>0.07</v>
      </c>
      <c r="P3765" s="9"/>
    </row>
    <row r="3766">
      <c r="A3766" s="6" t="s">
        <v>7058</v>
      </c>
      <c r="B3766" s="6" t="s">
        <v>162</v>
      </c>
      <c r="C3766" s="6" t="s">
        <v>37</v>
      </c>
      <c r="D3766" s="6" t="s">
        <v>8605</v>
      </c>
      <c r="E3766" s="6" t="s">
        <v>164</v>
      </c>
      <c r="F3766" s="6" t="s">
        <v>112</v>
      </c>
      <c r="G3766" s="7">
        <v>0.34</v>
      </c>
      <c r="H3766" s="6" t="s">
        <v>460</v>
      </c>
      <c r="I3766" s="6" t="s">
        <v>20</v>
      </c>
      <c r="J3766" s="6">
        <v>2015.0</v>
      </c>
      <c r="L3766" s="6">
        <v>2.0</v>
      </c>
      <c r="M3766" s="8">
        <f t="shared" si="4"/>
        <v>0.68</v>
      </c>
      <c r="P3766" s="9"/>
    </row>
    <row r="3767">
      <c r="A3767" s="6" t="s">
        <v>8256</v>
      </c>
      <c r="B3767" s="6" t="s">
        <v>162</v>
      </c>
      <c r="C3767" s="6" t="s">
        <v>43</v>
      </c>
      <c r="D3767" s="6" t="s">
        <v>8257</v>
      </c>
      <c r="E3767" s="6" t="s">
        <v>579</v>
      </c>
      <c r="F3767" s="6" t="s">
        <v>112</v>
      </c>
      <c r="G3767" s="7">
        <v>0.03</v>
      </c>
      <c r="H3767" s="6" t="s">
        <v>506</v>
      </c>
      <c r="I3767" s="6" t="s">
        <v>20</v>
      </c>
      <c r="J3767" s="6">
        <v>2016.0</v>
      </c>
      <c r="L3767" s="6">
        <v>4.0</v>
      </c>
      <c r="M3767" s="8">
        <f t="shared" si="4"/>
        <v>0.12</v>
      </c>
      <c r="P3767" s="9"/>
    </row>
    <row r="3768">
      <c r="A3768" s="6" t="s">
        <v>8606</v>
      </c>
      <c r="B3768" s="6" t="s">
        <v>8607</v>
      </c>
      <c r="C3768" s="6" t="s">
        <v>43</v>
      </c>
      <c r="D3768" s="6" t="s">
        <v>8608</v>
      </c>
      <c r="E3768" s="6" t="s">
        <v>329</v>
      </c>
      <c r="F3768" s="6" t="s">
        <v>112</v>
      </c>
      <c r="G3768" s="7">
        <v>0.06</v>
      </c>
      <c r="H3768" s="6" t="s">
        <v>531</v>
      </c>
      <c r="I3768" s="6" t="s">
        <v>20</v>
      </c>
      <c r="J3768" s="6">
        <v>2017.0</v>
      </c>
      <c r="L3768" s="6">
        <v>2.0</v>
      </c>
      <c r="M3768" s="8">
        <f t="shared" si="4"/>
        <v>0.12</v>
      </c>
      <c r="P3768" s="9"/>
    </row>
    <row r="3769">
      <c r="A3769" s="6" t="s">
        <v>8609</v>
      </c>
      <c r="B3769" s="6" t="s">
        <v>494</v>
      </c>
      <c r="C3769" s="6" t="s">
        <v>43</v>
      </c>
      <c r="D3769" s="6" t="s">
        <v>8610</v>
      </c>
      <c r="E3769" s="6" t="s">
        <v>164</v>
      </c>
      <c r="F3769" s="6" t="s">
        <v>112</v>
      </c>
      <c r="G3769" s="7">
        <v>0.04</v>
      </c>
      <c r="H3769" s="6" t="s">
        <v>382</v>
      </c>
      <c r="I3769" s="6" t="s">
        <v>20</v>
      </c>
      <c r="J3769" s="6">
        <v>2020.0</v>
      </c>
      <c r="L3769" s="6">
        <v>1.0</v>
      </c>
      <c r="M3769" s="8">
        <f t="shared" si="4"/>
        <v>0.04</v>
      </c>
      <c r="P3769" s="9"/>
    </row>
    <row r="3770">
      <c r="A3770" s="6" t="s">
        <v>8611</v>
      </c>
      <c r="B3770" s="6" t="s">
        <v>494</v>
      </c>
      <c r="C3770" s="6" t="s">
        <v>43</v>
      </c>
      <c r="D3770" s="6" t="s">
        <v>8612</v>
      </c>
      <c r="E3770" s="6" t="s">
        <v>164</v>
      </c>
      <c r="F3770" s="6" t="s">
        <v>112</v>
      </c>
      <c r="G3770" s="7">
        <v>0.06</v>
      </c>
      <c r="H3770" s="6" t="s">
        <v>373</v>
      </c>
      <c r="I3770" s="6" t="s">
        <v>20</v>
      </c>
      <c r="J3770" s="6">
        <v>2015.0</v>
      </c>
      <c r="L3770" s="6">
        <v>1.0</v>
      </c>
      <c r="M3770" s="8">
        <f t="shared" si="4"/>
        <v>0.06</v>
      </c>
      <c r="P3770" s="9"/>
    </row>
    <row r="3771">
      <c r="A3771" s="6" t="s">
        <v>8613</v>
      </c>
      <c r="B3771" s="6" t="s">
        <v>494</v>
      </c>
      <c r="C3771" s="6" t="s">
        <v>43</v>
      </c>
      <c r="D3771" s="6" t="s">
        <v>8614</v>
      </c>
      <c r="E3771" s="6" t="s">
        <v>579</v>
      </c>
      <c r="F3771" s="6" t="s">
        <v>112</v>
      </c>
      <c r="G3771" s="7">
        <v>0.25</v>
      </c>
      <c r="H3771" s="6" t="s">
        <v>655</v>
      </c>
      <c r="I3771" s="6" t="s">
        <v>45</v>
      </c>
      <c r="J3771" s="6">
        <v>2023.0</v>
      </c>
      <c r="L3771" s="6">
        <v>1.0</v>
      </c>
      <c r="M3771" s="8">
        <f t="shared" si="4"/>
        <v>0.25</v>
      </c>
      <c r="P3771" s="9"/>
    </row>
    <row r="3772">
      <c r="A3772" s="6" t="s">
        <v>8615</v>
      </c>
      <c r="B3772" s="6" t="s">
        <v>8616</v>
      </c>
      <c r="C3772" s="6" t="s">
        <v>8616</v>
      </c>
      <c r="D3772" s="6" t="s">
        <v>8616</v>
      </c>
      <c r="E3772" s="6" t="s">
        <v>5137</v>
      </c>
      <c r="F3772" s="6" t="s">
        <v>5137</v>
      </c>
      <c r="G3772" s="7">
        <v>0.5</v>
      </c>
      <c r="H3772" s="6" t="s">
        <v>8617</v>
      </c>
      <c r="I3772" s="6" t="s">
        <v>20</v>
      </c>
      <c r="J3772" s="6">
        <v>2026.0</v>
      </c>
      <c r="K3772" s="10">
        <v>46024.0</v>
      </c>
      <c r="L3772" s="6">
        <v>3.0</v>
      </c>
      <c r="M3772" s="8">
        <f t="shared" si="4"/>
        <v>1.5</v>
      </c>
      <c r="P3772" s="9"/>
    </row>
    <row r="3773">
      <c r="A3773" s="6" t="s">
        <v>8618</v>
      </c>
      <c r="B3773" s="6" t="s">
        <v>8616</v>
      </c>
      <c r="C3773" s="6" t="s">
        <v>8616</v>
      </c>
      <c r="D3773" s="6" t="s">
        <v>8616</v>
      </c>
      <c r="E3773" s="6" t="s">
        <v>5137</v>
      </c>
      <c r="F3773" s="6" t="s">
        <v>5137</v>
      </c>
      <c r="G3773" s="7">
        <v>0.99</v>
      </c>
      <c r="H3773" s="6" t="s">
        <v>8617</v>
      </c>
      <c r="I3773" s="6" t="s">
        <v>20</v>
      </c>
      <c r="J3773" s="6">
        <v>2026.0</v>
      </c>
      <c r="K3773" s="10">
        <v>46055.0</v>
      </c>
      <c r="L3773" s="6">
        <v>1.0</v>
      </c>
      <c r="M3773" s="8">
        <f t="shared" si="4"/>
        <v>0.99</v>
      </c>
      <c r="P3773" s="9"/>
    </row>
    <row r="3774">
      <c r="A3774" s="6" t="s">
        <v>8619</v>
      </c>
      <c r="B3774" s="6" t="s">
        <v>8616</v>
      </c>
      <c r="C3774" s="6" t="s">
        <v>8616</v>
      </c>
      <c r="D3774" s="6" t="s">
        <v>8616</v>
      </c>
      <c r="E3774" s="6" t="s">
        <v>5137</v>
      </c>
      <c r="F3774" s="6" t="s">
        <v>5137</v>
      </c>
      <c r="G3774" s="7">
        <v>0.5</v>
      </c>
      <c r="H3774" s="6" t="s">
        <v>8617</v>
      </c>
      <c r="I3774" s="6" t="s">
        <v>20</v>
      </c>
      <c r="J3774" s="6">
        <v>2026.0</v>
      </c>
      <c r="K3774" s="10">
        <v>46024.0</v>
      </c>
      <c r="L3774" s="6">
        <v>2.0</v>
      </c>
      <c r="M3774" s="8">
        <f t="shared" si="4"/>
        <v>1</v>
      </c>
      <c r="P3774" s="9"/>
    </row>
    <row r="3775">
      <c r="A3775" s="6" t="s">
        <v>8620</v>
      </c>
      <c r="B3775" s="6" t="s">
        <v>8621</v>
      </c>
      <c r="C3775" s="6" t="s">
        <v>43</v>
      </c>
      <c r="D3775" s="6" t="s">
        <v>8622</v>
      </c>
      <c r="F3775" s="6" t="s">
        <v>87</v>
      </c>
      <c r="G3775" s="7">
        <v>0.89</v>
      </c>
      <c r="H3775" s="6" t="s">
        <v>8623</v>
      </c>
      <c r="I3775" s="6" t="s">
        <v>20</v>
      </c>
      <c r="J3775" s="6">
        <v>2026.0</v>
      </c>
      <c r="L3775" s="6">
        <v>1.0</v>
      </c>
      <c r="M3775" s="8">
        <f t="shared" si="4"/>
        <v>0.89</v>
      </c>
      <c r="P3775" s="9"/>
    </row>
    <row r="3776">
      <c r="A3776" s="6" t="s">
        <v>8624</v>
      </c>
      <c r="B3776" s="6" t="s">
        <v>52</v>
      </c>
      <c r="C3776" s="6" t="s">
        <v>30</v>
      </c>
      <c r="D3776" s="6" t="s">
        <v>8625</v>
      </c>
      <c r="F3776" s="6" t="s">
        <v>26</v>
      </c>
      <c r="G3776" s="7">
        <v>11.18</v>
      </c>
      <c r="H3776" s="6" t="s">
        <v>8623</v>
      </c>
      <c r="I3776" s="6" t="s">
        <v>20</v>
      </c>
      <c r="J3776" s="6">
        <v>2026.0</v>
      </c>
      <c r="L3776" s="6">
        <v>1.0</v>
      </c>
      <c r="M3776" s="8">
        <f t="shared" si="4"/>
        <v>11.18</v>
      </c>
      <c r="P3776" s="9"/>
    </row>
    <row r="3777">
      <c r="A3777" s="6" t="s">
        <v>8626</v>
      </c>
      <c r="B3777" s="6" t="s">
        <v>8627</v>
      </c>
      <c r="C3777" s="6" t="s">
        <v>37</v>
      </c>
      <c r="D3777" s="6" t="s">
        <v>8628</v>
      </c>
      <c r="E3777" s="6" t="s">
        <v>420</v>
      </c>
      <c r="F3777" s="6" t="s">
        <v>40</v>
      </c>
      <c r="G3777" s="7">
        <v>1.33</v>
      </c>
      <c r="H3777" s="6" t="s">
        <v>8629</v>
      </c>
      <c r="I3777" s="6" t="s">
        <v>20</v>
      </c>
      <c r="J3777" s="6">
        <v>2026.0</v>
      </c>
      <c r="K3777" s="10">
        <v>46144.0</v>
      </c>
      <c r="L3777" s="6">
        <v>1.0</v>
      </c>
      <c r="M3777" s="8">
        <f t="shared" si="4"/>
        <v>1.33</v>
      </c>
      <c r="P3777" s="9"/>
    </row>
    <row r="3778">
      <c r="A3778" s="6" t="s">
        <v>8630</v>
      </c>
      <c r="B3778" s="6" t="s">
        <v>8631</v>
      </c>
      <c r="C3778" s="6" t="s">
        <v>37</v>
      </c>
      <c r="D3778" s="6" t="s">
        <v>8632</v>
      </c>
      <c r="E3778" s="6" t="s">
        <v>86</v>
      </c>
      <c r="F3778" s="6" t="s">
        <v>87</v>
      </c>
      <c r="G3778" s="7">
        <v>0.19</v>
      </c>
      <c r="H3778" s="6" t="s">
        <v>8623</v>
      </c>
      <c r="I3778" s="6" t="s">
        <v>45</v>
      </c>
      <c r="J3778" s="6">
        <v>2026.0</v>
      </c>
      <c r="K3778" s="10">
        <v>46055.0</v>
      </c>
      <c r="L3778" s="6">
        <v>1.0</v>
      </c>
      <c r="M3778" s="8">
        <f t="shared" si="4"/>
        <v>0.19</v>
      </c>
      <c r="P3778" s="9"/>
    </row>
    <row r="3779">
      <c r="A3779" s="6" t="s">
        <v>8633</v>
      </c>
      <c r="B3779" s="6" t="s">
        <v>8634</v>
      </c>
      <c r="C3779" s="6" t="s">
        <v>37</v>
      </c>
      <c r="D3779" s="6" t="s">
        <v>8635</v>
      </c>
      <c r="E3779" s="6" t="s">
        <v>164</v>
      </c>
      <c r="F3779" s="6" t="s">
        <v>112</v>
      </c>
      <c r="G3779" s="7">
        <v>0.5</v>
      </c>
      <c r="H3779" s="6" t="s">
        <v>8623</v>
      </c>
      <c r="I3779" s="6" t="s">
        <v>20</v>
      </c>
      <c r="J3779" s="6">
        <v>2026.0</v>
      </c>
      <c r="K3779" s="10">
        <v>46024.0</v>
      </c>
      <c r="L3779" s="6">
        <v>1.0</v>
      </c>
      <c r="M3779" s="8">
        <f t="shared" si="4"/>
        <v>0.5</v>
      </c>
      <c r="P3779" s="9"/>
    </row>
    <row r="3780">
      <c r="A3780" s="6" t="s">
        <v>8636</v>
      </c>
      <c r="B3780" s="6" t="s">
        <v>52</v>
      </c>
      <c r="C3780" s="6" t="s">
        <v>37</v>
      </c>
      <c r="D3780" s="6" t="s">
        <v>8637</v>
      </c>
      <c r="F3780" s="6" t="s">
        <v>26</v>
      </c>
      <c r="G3780" s="7">
        <v>0.6</v>
      </c>
      <c r="H3780" s="6" t="s">
        <v>8623</v>
      </c>
      <c r="I3780" s="6" t="s">
        <v>20</v>
      </c>
      <c r="J3780" s="6">
        <v>2026.0</v>
      </c>
      <c r="L3780" s="6">
        <v>1.0</v>
      </c>
      <c r="M3780" s="8">
        <f t="shared" si="4"/>
        <v>0.6</v>
      </c>
      <c r="P3780" s="9"/>
    </row>
    <row r="3781">
      <c r="A3781" s="6" t="s">
        <v>8638</v>
      </c>
      <c r="B3781" s="6" t="s">
        <v>1677</v>
      </c>
      <c r="C3781" s="6" t="s">
        <v>43</v>
      </c>
      <c r="D3781" s="6" t="s">
        <v>8639</v>
      </c>
      <c r="E3781" s="6" t="s">
        <v>185</v>
      </c>
      <c r="F3781" s="6" t="s">
        <v>26</v>
      </c>
      <c r="G3781" s="7">
        <v>0.12</v>
      </c>
      <c r="H3781" s="6" t="s">
        <v>8623</v>
      </c>
      <c r="I3781" s="6" t="s">
        <v>20</v>
      </c>
      <c r="J3781" s="6">
        <v>2026.0</v>
      </c>
      <c r="K3781" s="10">
        <v>46084.0</v>
      </c>
      <c r="L3781" s="6">
        <v>1.0</v>
      </c>
      <c r="M3781" s="8">
        <f t="shared" si="4"/>
        <v>0.12</v>
      </c>
      <c r="P3781" s="9"/>
    </row>
    <row r="3782">
      <c r="A3782" s="6" t="s">
        <v>8640</v>
      </c>
      <c r="B3782" s="6" t="s">
        <v>8641</v>
      </c>
      <c r="C3782" s="6" t="s">
        <v>43</v>
      </c>
      <c r="D3782" s="6" t="s">
        <v>8642</v>
      </c>
      <c r="E3782" s="6" t="s">
        <v>190</v>
      </c>
      <c r="F3782" s="6" t="s">
        <v>18</v>
      </c>
      <c r="G3782" s="7">
        <v>0.05</v>
      </c>
      <c r="H3782" s="6" t="s">
        <v>8623</v>
      </c>
      <c r="I3782" s="6" t="s">
        <v>20</v>
      </c>
      <c r="J3782" s="6">
        <v>2026.0</v>
      </c>
      <c r="K3782" s="10">
        <v>46023.0</v>
      </c>
      <c r="L3782" s="6">
        <v>2.0</v>
      </c>
      <c r="M3782" s="8">
        <f t="shared" si="4"/>
        <v>0.1</v>
      </c>
      <c r="P3782" s="9"/>
    </row>
    <row r="3783">
      <c r="A3783" s="6" t="s">
        <v>4531</v>
      </c>
      <c r="B3783" s="6" t="s">
        <v>74</v>
      </c>
      <c r="C3783" s="6" t="s">
        <v>43</v>
      </c>
      <c r="D3783" s="6" t="s">
        <v>4532</v>
      </c>
      <c r="E3783" s="6" t="s">
        <v>86</v>
      </c>
      <c r="F3783" s="6" t="s">
        <v>87</v>
      </c>
      <c r="G3783" s="7">
        <v>0.04</v>
      </c>
      <c r="H3783" s="6" t="s">
        <v>8623</v>
      </c>
      <c r="I3783" s="6" t="s">
        <v>20</v>
      </c>
      <c r="J3783" s="6">
        <v>2026.0</v>
      </c>
      <c r="L3783" s="6">
        <v>1.0</v>
      </c>
      <c r="M3783" s="8">
        <f t="shared" si="4"/>
        <v>0.04</v>
      </c>
      <c r="P3783" s="9"/>
    </row>
    <row r="3784">
      <c r="A3784" s="6" t="s">
        <v>8643</v>
      </c>
      <c r="B3784" s="6" t="s">
        <v>8644</v>
      </c>
      <c r="C3784" s="6" t="s">
        <v>43</v>
      </c>
      <c r="D3784" s="6" t="s">
        <v>8645</v>
      </c>
      <c r="E3784" s="6" t="s">
        <v>164</v>
      </c>
      <c r="F3784" s="6" t="s">
        <v>112</v>
      </c>
      <c r="G3784" s="7">
        <v>0.12</v>
      </c>
      <c r="H3784" s="6" t="s">
        <v>8623</v>
      </c>
      <c r="I3784" s="6" t="s">
        <v>20</v>
      </c>
      <c r="J3784" s="6">
        <v>2026.0</v>
      </c>
      <c r="K3784" s="10">
        <v>46055.0</v>
      </c>
      <c r="L3784" s="6">
        <v>1.0</v>
      </c>
      <c r="M3784" s="8">
        <f t="shared" si="4"/>
        <v>0.12</v>
      </c>
      <c r="P3784" s="9"/>
    </row>
    <row r="3785">
      <c r="A3785" s="6" t="s">
        <v>8646</v>
      </c>
      <c r="B3785" s="6" t="s">
        <v>8647</v>
      </c>
      <c r="C3785" s="6" t="s">
        <v>43</v>
      </c>
      <c r="D3785" s="6" t="s">
        <v>8648</v>
      </c>
      <c r="E3785" s="6" t="s">
        <v>107</v>
      </c>
      <c r="F3785" s="6" t="s">
        <v>18</v>
      </c>
      <c r="G3785" s="7">
        <v>0.09</v>
      </c>
      <c r="H3785" s="6" t="s">
        <v>8623</v>
      </c>
      <c r="I3785" s="6" t="s">
        <v>20</v>
      </c>
      <c r="J3785" s="6">
        <v>2026.0</v>
      </c>
      <c r="K3785" s="10">
        <v>46082.0</v>
      </c>
      <c r="L3785" s="6">
        <v>2.0</v>
      </c>
      <c r="M3785" s="8">
        <f t="shared" si="4"/>
        <v>0.18</v>
      </c>
      <c r="P3785" s="9"/>
    </row>
    <row r="3786">
      <c r="A3786" s="6" t="s">
        <v>8649</v>
      </c>
      <c r="B3786" s="6" t="s">
        <v>8650</v>
      </c>
      <c r="C3786" s="6" t="s">
        <v>43</v>
      </c>
      <c r="D3786" s="6" t="s">
        <v>8651</v>
      </c>
      <c r="E3786" s="6" t="s">
        <v>57</v>
      </c>
      <c r="F3786" s="6" t="s">
        <v>40</v>
      </c>
      <c r="G3786" s="7">
        <v>0.09</v>
      </c>
      <c r="H3786" s="6" t="s">
        <v>8623</v>
      </c>
      <c r="I3786" s="6" t="s">
        <v>20</v>
      </c>
      <c r="J3786" s="6">
        <v>2026.0</v>
      </c>
      <c r="K3786" s="10">
        <v>46055.0</v>
      </c>
      <c r="L3786" s="6">
        <v>3.0</v>
      </c>
      <c r="M3786" s="8">
        <f t="shared" si="4"/>
        <v>0.27</v>
      </c>
      <c r="P3786" s="9"/>
    </row>
    <row r="3787">
      <c r="A3787" s="6" t="s">
        <v>8652</v>
      </c>
      <c r="B3787" s="6" t="s">
        <v>440</v>
      </c>
      <c r="C3787" s="6" t="s">
        <v>43</v>
      </c>
      <c r="D3787" s="6" t="s">
        <v>8653</v>
      </c>
      <c r="E3787" s="6" t="s">
        <v>248</v>
      </c>
      <c r="F3787" s="6" t="s">
        <v>77</v>
      </c>
      <c r="G3787" s="7">
        <v>0.11</v>
      </c>
      <c r="H3787" s="6" t="s">
        <v>8623</v>
      </c>
      <c r="I3787" s="6" t="s">
        <v>20</v>
      </c>
      <c r="J3787" s="6">
        <v>2026.0</v>
      </c>
      <c r="L3787" s="6">
        <v>1.0</v>
      </c>
      <c r="M3787" s="8">
        <f t="shared" si="4"/>
        <v>0.11</v>
      </c>
      <c r="P3787" s="9"/>
    </row>
    <row r="3788">
      <c r="A3788" s="6" t="s">
        <v>8654</v>
      </c>
      <c r="B3788" s="6" t="s">
        <v>789</v>
      </c>
      <c r="C3788" s="6" t="s">
        <v>43</v>
      </c>
      <c r="D3788" s="6" t="s">
        <v>8655</v>
      </c>
      <c r="E3788" s="6" t="s">
        <v>125</v>
      </c>
      <c r="F3788" s="6" t="s">
        <v>40</v>
      </c>
      <c r="G3788" s="7">
        <v>0.22</v>
      </c>
      <c r="H3788" s="6" t="s">
        <v>8623</v>
      </c>
      <c r="I3788" s="6" t="s">
        <v>45</v>
      </c>
      <c r="J3788" s="6">
        <v>2026.0</v>
      </c>
      <c r="L3788" s="6">
        <v>1.0</v>
      </c>
      <c r="M3788" s="8">
        <f t="shared" si="4"/>
        <v>0.22</v>
      </c>
      <c r="P3788" s="9"/>
    </row>
    <row r="3789">
      <c r="A3789" s="6" t="s">
        <v>8656</v>
      </c>
      <c r="B3789" s="6" t="s">
        <v>8657</v>
      </c>
      <c r="C3789" s="6" t="s">
        <v>37</v>
      </c>
      <c r="D3789" s="6" t="s">
        <v>8658</v>
      </c>
      <c r="E3789" s="6" t="s">
        <v>5560</v>
      </c>
      <c r="F3789" s="6" t="s">
        <v>977</v>
      </c>
      <c r="G3789" s="7">
        <v>7.6</v>
      </c>
      <c r="H3789" s="6" t="s">
        <v>8659</v>
      </c>
      <c r="I3789" s="6" t="s">
        <v>20</v>
      </c>
      <c r="J3789" s="6">
        <v>2026.0</v>
      </c>
      <c r="K3789" s="10">
        <v>46023.0</v>
      </c>
      <c r="L3789" s="6">
        <v>1.0</v>
      </c>
      <c r="M3789" s="8">
        <f t="shared" si="4"/>
        <v>7.6</v>
      </c>
      <c r="P3789" s="9"/>
    </row>
    <row r="3790">
      <c r="A3790" s="6" t="s">
        <v>8660</v>
      </c>
      <c r="B3790" s="6" t="s">
        <v>8641</v>
      </c>
      <c r="C3790" s="6" t="s">
        <v>43</v>
      </c>
      <c r="D3790" s="6" t="s">
        <v>8661</v>
      </c>
      <c r="E3790" s="6" t="s">
        <v>98</v>
      </c>
      <c r="F3790" s="6" t="s">
        <v>18</v>
      </c>
      <c r="G3790" s="7">
        <v>4.03</v>
      </c>
      <c r="H3790" s="6" t="s">
        <v>8659</v>
      </c>
      <c r="I3790" s="6" t="s">
        <v>20</v>
      </c>
      <c r="J3790" s="6">
        <v>2026.0</v>
      </c>
      <c r="K3790" s="10">
        <v>46083.0</v>
      </c>
      <c r="L3790" s="6">
        <v>2.0</v>
      </c>
      <c r="M3790" s="8">
        <f t="shared" si="4"/>
        <v>8.06</v>
      </c>
      <c r="P3790" s="9"/>
    </row>
    <row r="3791">
      <c r="A3791" s="6" t="s">
        <v>8662</v>
      </c>
      <c r="B3791" s="6" t="s">
        <v>2537</v>
      </c>
      <c r="C3791" s="6" t="s">
        <v>43</v>
      </c>
      <c r="D3791" s="6" t="s">
        <v>8663</v>
      </c>
      <c r="E3791" s="6" t="s">
        <v>98</v>
      </c>
      <c r="F3791" s="6" t="s">
        <v>18</v>
      </c>
      <c r="G3791" s="7">
        <v>0.09</v>
      </c>
      <c r="H3791" s="6" t="s">
        <v>8623</v>
      </c>
      <c r="I3791" s="6" t="s">
        <v>20</v>
      </c>
      <c r="J3791" s="6">
        <v>2026.0</v>
      </c>
      <c r="K3791" s="10">
        <v>46056.0</v>
      </c>
      <c r="L3791" s="6">
        <v>1.0</v>
      </c>
      <c r="M3791" s="8">
        <f t="shared" si="4"/>
        <v>0.09</v>
      </c>
      <c r="P3791" s="9"/>
    </row>
    <row r="3792">
      <c r="A3792" s="6" t="s">
        <v>8664</v>
      </c>
      <c r="B3792" s="6" t="s">
        <v>8665</v>
      </c>
      <c r="C3792" s="6" t="s">
        <v>37</v>
      </c>
      <c r="D3792" s="6" t="s">
        <v>8666</v>
      </c>
      <c r="E3792" s="6" t="s">
        <v>98</v>
      </c>
      <c r="F3792" s="6" t="s">
        <v>18</v>
      </c>
      <c r="G3792" s="7">
        <v>1.87</v>
      </c>
      <c r="H3792" s="6" t="s">
        <v>8659</v>
      </c>
      <c r="I3792" s="6" t="s">
        <v>20</v>
      </c>
      <c r="J3792" s="6">
        <v>2026.0</v>
      </c>
      <c r="K3792" s="10">
        <v>46084.0</v>
      </c>
      <c r="L3792" s="6">
        <v>1.0</v>
      </c>
      <c r="M3792" s="8">
        <f t="shared" si="4"/>
        <v>1.87</v>
      </c>
      <c r="P3792" s="9"/>
    </row>
    <row r="3793">
      <c r="A3793" s="6" t="s">
        <v>8667</v>
      </c>
      <c r="B3793" s="6" t="s">
        <v>8668</v>
      </c>
      <c r="C3793" s="6" t="s">
        <v>37</v>
      </c>
      <c r="D3793" s="6" t="s">
        <v>8669</v>
      </c>
      <c r="E3793" s="6" t="s">
        <v>1840</v>
      </c>
      <c r="F3793" s="6" t="s">
        <v>18</v>
      </c>
      <c r="G3793" s="7">
        <v>1.34</v>
      </c>
      <c r="H3793" s="6" t="s">
        <v>8659</v>
      </c>
      <c r="I3793" s="6" t="s">
        <v>20</v>
      </c>
      <c r="J3793" s="6">
        <v>2026.0</v>
      </c>
      <c r="K3793" s="10">
        <v>46145.0</v>
      </c>
      <c r="L3793" s="6">
        <v>1.0</v>
      </c>
      <c r="M3793" s="8">
        <f t="shared" si="4"/>
        <v>1.34</v>
      </c>
      <c r="P3793" s="9"/>
    </row>
    <row r="3794">
      <c r="A3794" s="6" t="s">
        <v>8670</v>
      </c>
      <c r="B3794" s="6" t="s">
        <v>8671</v>
      </c>
      <c r="C3794" s="6" t="s">
        <v>43</v>
      </c>
      <c r="D3794" s="6" t="s">
        <v>8672</v>
      </c>
      <c r="E3794" s="6" t="s">
        <v>224</v>
      </c>
      <c r="F3794" s="6" t="s">
        <v>18</v>
      </c>
      <c r="G3794" s="7">
        <v>0.09</v>
      </c>
      <c r="H3794" s="6" t="s">
        <v>8623</v>
      </c>
      <c r="I3794" s="6" t="s">
        <v>20</v>
      </c>
      <c r="J3794" s="6">
        <v>2026.0</v>
      </c>
      <c r="K3794" s="10">
        <v>46084.0</v>
      </c>
      <c r="L3794" s="6">
        <v>1.0</v>
      </c>
      <c r="M3794" s="8">
        <f t="shared" si="4"/>
        <v>0.09</v>
      </c>
      <c r="P3794" s="9"/>
    </row>
    <row r="3795">
      <c r="A3795" s="6" t="s">
        <v>8673</v>
      </c>
      <c r="B3795" s="6" t="s">
        <v>254</v>
      </c>
      <c r="C3795" s="6" t="s">
        <v>37</v>
      </c>
      <c r="D3795" s="6" t="s">
        <v>8674</v>
      </c>
      <c r="E3795" s="6" t="s">
        <v>190</v>
      </c>
      <c r="F3795" s="6" t="s">
        <v>18</v>
      </c>
      <c r="G3795" s="7">
        <v>0.73</v>
      </c>
      <c r="H3795" s="6" t="s">
        <v>8623</v>
      </c>
      <c r="I3795" s="6" t="s">
        <v>20</v>
      </c>
      <c r="J3795" s="6">
        <v>2026.0</v>
      </c>
      <c r="L3795" s="6">
        <v>1.0</v>
      </c>
      <c r="M3795" s="8">
        <f t="shared" si="4"/>
        <v>0.73</v>
      </c>
      <c r="P3795" s="9"/>
    </row>
    <row r="3796">
      <c r="A3796" s="6" t="s">
        <v>8675</v>
      </c>
      <c r="B3796" s="6" t="s">
        <v>8676</v>
      </c>
      <c r="C3796" s="6" t="s">
        <v>43</v>
      </c>
      <c r="D3796" s="6" t="s">
        <v>8677</v>
      </c>
      <c r="E3796" s="6" t="s">
        <v>994</v>
      </c>
      <c r="F3796" s="6" t="s">
        <v>26</v>
      </c>
      <c r="G3796" s="7">
        <v>0.12</v>
      </c>
      <c r="H3796" s="6" t="s">
        <v>8623</v>
      </c>
      <c r="I3796" s="6" t="s">
        <v>20</v>
      </c>
      <c r="J3796" s="6">
        <v>2026.0</v>
      </c>
      <c r="K3796" s="10">
        <v>46024.0</v>
      </c>
      <c r="L3796" s="6">
        <v>1.0</v>
      </c>
      <c r="M3796" s="8">
        <f t="shared" si="4"/>
        <v>0.12</v>
      </c>
      <c r="P3796" s="9"/>
    </row>
    <row r="3797">
      <c r="A3797" s="6" t="s">
        <v>8678</v>
      </c>
      <c r="B3797" s="6" t="s">
        <v>138</v>
      </c>
      <c r="C3797" s="6" t="s">
        <v>43</v>
      </c>
      <c r="D3797" s="6" t="s">
        <v>8679</v>
      </c>
      <c r="E3797" s="6" t="s">
        <v>98</v>
      </c>
      <c r="F3797" s="6" t="s">
        <v>18</v>
      </c>
      <c r="G3797" s="7">
        <v>0.09</v>
      </c>
      <c r="H3797" s="6" t="s">
        <v>8623</v>
      </c>
      <c r="I3797" s="6" t="s">
        <v>20</v>
      </c>
      <c r="J3797" s="6">
        <v>2026.0</v>
      </c>
      <c r="L3797" s="6">
        <v>1.0</v>
      </c>
      <c r="M3797" s="8">
        <f t="shared" si="4"/>
        <v>0.09</v>
      </c>
      <c r="P3797" s="9"/>
    </row>
    <row r="3798">
      <c r="A3798" s="6" t="s">
        <v>8680</v>
      </c>
      <c r="B3798" s="6" t="s">
        <v>462</v>
      </c>
      <c r="C3798" s="6" t="s">
        <v>43</v>
      </c>
      <c r="D3798" s="6" t="s">
        <v>8681</v>
      </c>
      <c r="E3798" s="6" t="s">
        <v>224</v>
      </c>
      <c r="F3798" s="6" t="s">
        <v>18</v>
      </c>
      <c r="G3798" s="7">
        <v>0.09</v>
      </c>
      <c r="H3798" s="6" t="s">
        <v>8623</v>
      </c>
      <c r="I3798" s="6" t="s">
        <v>20</v>
      </c>
      <c r="J3798" s="6">
        <v>2026.0</v>
      </c>
      <c r="L3798" s="6">
        <v>1.0</v>
      </c>
      <c r="M3798" s="8">
        <f t="shared" si="4"/>
        <v>0.09</v>
      </c>
      <c r="P3798" s="9"/>
    </row>
    <row r="3799">
      <c r="A3799" s="6" t="s">
        <v>8682</v>
      </c>
      <c r="B3799" s="6" t="s">
        <v>254</v>
      </c>
      <c r="C3799" s="6" t="s">
        <v>30</v>
      </c>
      <c r="D3799" s="6" t="s">
        <v>8683</v>
      </c>
      <c r="E3799" s="6" t="s">
        <v>98</v>
      </c>
      <c r="F3799" s="6" t="s">
        <v>18</v>
      </c>
      <c r="G3799" s="7">
        <v>27.55</v>
      </c>
      <c r="H3799" s="6" t="s">
        <v>8659</v>
      </c>
      <c r="I3799" s="6" t="s">
        <v>20</v>
      </c>
      <c r="J3799" s="6">
        <v>2026.0</v>
      </c>
      <c r="L3799" s="6">
        <v>1.0</v>
      </c>
      <c r="M3799" s="8">
        <f t="shared" si="4"/>
        <v>27.55</v>
      </c>
      <c r="P3799" s="9"/>
    </row>
    <row r="3800">
      <c r="A3800" s="6" t="s">
        <v>8684</v>
      </c>
      <c r="B3800" s="6" t="s">
        <v>1577</v>
      </c>
      <c r="C3800" s="6" t="s">
        <v>43</v>
      </c>
      <c r="D3800" s="6" t="s">
        <v>8685</v>
      </c>
      <c r="F3800" s="6" t="s">
        <v>18</v>
      </c>
      <c r="G3800" s="7">
        <v>0.43</v>
      </c>
      <c r="H3800" s="6" t="s">
        <v>8659</v>
      </c>
      <c r="I3800" s="6" t="s">
        <v>20</v>
      </c>
      <c r="J3800" s="6">
        <v>2026.0</v>
      </c>
      <c r="L3800" s="6">
        <v>2.0</v>
      </c>
      <c r="M3800" s="8">
        <f t="shared" si="4"/>
        <v>0.86</v>
      </c>
      <c r="P3800" s="9"/>
    </row>
    <row r="3801">
      <c r="A3801" s="6" t="s">
        <v>8686</v>
      </c>
      <c r="B3801" s="6" t="s">
        <v>8687</v>
      </c>
      <c r="C3801" s="6" t="s">
        <v>43</v>
      </c>
      <c r="D3801" s="6" t="s">
        <v>8688</v>
      </c>
      <c r="F3801" s="6" t="s">
        <v>18</v>
      </c>
      <c r="G3801" s="7">
        <v>0.8</v>
      </c>
      <c r="H3801" s="6" t="s">
        <v>8689</v>
      </c>
      <c r="I3801" s="6" t="s">
        <v>20</v>
      </c>
      <c r="J3801" s="6">
        <v>2026.0</v>
      </c>
      <c r="L3801" s="6">
        <v>1.0</v>
      </c>
      <c r="M3801" s="8">
        <f t="shared" si="4"/>
        <v>0.8</v>
      </c>
      <c r="P3801" s="9"/>
    </row>
    <row r="3802">
      <c r="A3802" s="6" t="s">
        <v>8686</v>
      </c>
      <c r="B3802" s="6" t="s">
        <v>8687</v>
      </c>
      <c r="C3802" s="6" t="s">
        <v>43</v>
      </c>
      <c r="D3802" s="6" t="s">
        <v>8688</v>
      </c>
      <c r="F3802" s="6" t="s">
        <v>18</v>
      </c>
      <c r="G3802" s="7">
        <v>0.2</v>
      </c>
      <c r="H3802" s="6" t="s">
        <v>8623</v>
      </c>
      <c r="I3802" s="6" t="s">
        <v>20</v>
      </c>
      <c r="J3802" s="6">
        <v>2026.0</v>
      </c>
      <c r="L3802" s="6">
        <v>12.0</v>
      </c>
      <c r="M3802" s="8">
        <f t="shared" si="4"/>
        <v>2.4</v>
      </c>
      <c r="P3802" s="9"/>
    </row>
    <row r="3803">
      <c r="A3803" s="6" t="s">
        <v>8690</v>
      </c>
      <c r="B3803" s="6" t="s">
        <v>3744</v>
      </c>
      <c r="C3803" s="6" t="s">
        <v>43</v>
      </c>
      <c r="D3803" s="6" t="s">
        <v>8691</v>
      </c>
      <c r="E3803" s="6" t="s">
        <v>98</v>
      </c>
      <c r="F3803" s="6" t="s">
        <v>18</v>
      </c>
      <c r="G3803" s="7">
        <v>0.09</v>
      </c>
      <c r="H3803" s="6" t="s">
        <v>8623</v>
      </c>
      <c r="I3803" s="6" t="s">
        <v>20</v>
      </c>
      <c r="J3803" s="6">
        <v>2026.0</v>
      </c>
      <c r="K3803" s="10">
        <v>46055.0</v>
      </c>
      <c r="L3803" s="6">
        <v>1.0</v>
      </c>
      <c r="M3803" s="8">
        <f t="shared" si="4"/>
        <v>0.09</v>
      </c>
      <c r="P3803" s="9"/>
    </row>
    <row r="3804">
      <c r="A3804" s="6" t="s">
        <v>8692</v>
      </c>
      <c r="B3804" s="6" t="s">
        <v>3744</v>
      </c>
      <c r="C3804" s="6" t="s">
        <v>43</v>
      </c>
      <c r="D3804" s="6" t="s">
        <v>8693</v>
      </c>
      <c r="E3804" s="6" t="s">
        <v>107</v>
      </c>
      <c r="F3804" s="6" t="s">
        <v>18</v>
      </c>
      <c r="G3804" s="7">
        <v>0.09</v>
      </c>
      <c r="H3804" s="6" t="s">
        <v>8623</v>
      </c>
      <c r="I3804" s="6" t="s">
        <v>20</v>
      </c>
      <c r="J3804" s="6">
        <v>2026.0</v>
      </c>
      <c r="K3804" s="10">
        <v>46083.0</v>
      </c>
      <c r="L3804" s="6">
        <v>1.0</v>
      </c>
      <c r="M3804" s="8">
        <f t="shared" si="4"/>
        <v>0.09</v>
      </c>
      <c r="P3804" s="9"/>
    </row>
    <row r="3805">
      <c r="A3805" s="6" t="s">
        <v>8694</v>
      </c>
      <c r="B3805" s="6" t="s">
        <v>8641</v>
      </c>
      <c r="C3805" s="6" t="s">
        <v>43</v>
      </c>
      <c r="D3805" s="6" t="s">
        <v>8695</v>
      </c>
      <c r="E3805" s="6" t="s">
        <v>185</v>
      </c>
      <c r="F3805" s="6" t="s">
        <v>26</v>
      </c>
      <c r="G3805" s="7">
        <v>0.12</v>
      </c>
      <c r="H3805" s="6" t="s">
        <v>8623</v>
      </c>
      <c r="I3805" s="6" t="s">
        <v>20</v>
      </c>
      <c r="J3805" s="6">
        <v>2026.0</v>
      </c>
      <c r="K3805" s="10">
        <v>46083.0</v>
      </c>
      <c r="L3805" s="6">
        <v>1.0</v>
      </c>
      <c r="M3805" s="8">
        <f t="shared" si="4"/>
        <v>0.12</v>
      </c>
      <c r="P3805" s="9"/>
    </row>
    <row r="3806">
      <c r="A3806" s="6" t="s">
        <v>8696</v>
      </c>
      <c r="B3806" s="6" t="s">
        <v>8697</v>
      </c>
      <c r="C3806" s="6" t="s">
        <v>37</v>
      </c>
      <c r="D3806" s="6" t="s">
        <v>8698</v>
      </c>
      <c r="E3806" s="6" t="s">
        <v>681</v>
      </c>
      <c r="F3806" s="6" t="s">
        <v>26</v>
      </c>
      <c r="G3806" s="7">
        <v>2.35</v>
      </c>
      <c r="H3806" s="6" t="s">
        <v>8659</v>
      </c>
      <c r="I3806" s="6" t="s">
        <v>20</v>
      </c>
      <c r="J3806" s="6">
        <v>2026.0</v>
      </c>
      <c r="K3806" s="10">
        <v>46116.0</v>
      </c>
      <c r="L3806" s="6">
        <v>1.0</v>
      </c>
      <c r="M3806" s="8">
        <f t="shared" si="4"/>
        <v>2.35</v>
      </c>
      <c r="P3806" s="9"/>
    </row>
    <row r="3807">
      <c r="A3807" s="6" t="s">
        <v>8699</v>
      </c>
      <c r="B3807" s="6" t="s">
        <v>8697</v>
      </c>
      <c r="C3807" s="6" t="s">
        <v>37</v>
      </c>
      <c r="D3807" s="6" t="s">
        <v>8700</v>
      </c>
      <c r="E3807" s="6" t="s">
        <v>1424</v>
      </c>
      <c r="F3807" s="6" t="s">
        <v>519</v>
      </c>
      <c r="G3807" s="7">
        <v>7.6</v>
      </c>
      <c r="H3807" s="6" t="s">
        <v>8659</v>
      </c>
      <c r="I3807" s="6" t="s">
        <v>20</v>
      </c>
      <c r="J3807" s="6">
        <v>2026.0</v>
      </c>
      <c r="K3807" s="10">
        <v>46056.0</v>
      </c>
      <c r="L3807" s="6">
        <v>1.0</v>
      </c>
      <c r="M3807" s="8">
        <f t="shared" si="4"/>
        <v>7.6</v>
      </c>
      <c r="P3807" s="9"/>
    </row>
    <row r="3808">
      <c r="A3808" s="6" t="s">
        <v>8701</v>
      </c>
      <c r="B3808" s="6" t="s">
        <v>8702</v>
      </c>
      <c r="C3808" s="6" t="s">
        <v>30</v>
      </c>
      <c r="D3808" s="6" t="s">
        <v>8703</v>
      </c>
      <c r="E3808" s="6" t="s">
        <v>237</v>
      </c>
      <c r="F3808" s="6" t="s">
        <v>18</v>
      </c>
      <c r="G3808" s="7">
        <v>24.7</v>
      </c>
      <c r="H3808" s="6" t="s">
        <v>8659</v>
      </c>
      <c r="I3808" s="6" t="s">
        <v>20</v>
      </c>
      <c r="J3808" s="6">
        <v>2026.0</v>
      </c>
      <c r="K3808" s="10">
        <v>46116.0</v>
      </c>
      <c r="L3808" s="6">
        <v>1.0</v>
      </c>
      <c r="M3808" s="8">
        <f t="shared" si="4"/>
        <v>24.7</v>
      </c>
      <c r="P3808" s="9"/>
    </row>
    <row r="3809">
      <c r="A3809" s="6" t="s">
        <v>8704</v>
      </c>
      <c r="B3809" s="6" t="s">
        <v>789</v>
      </c>
      <c r="C3809" s="6" t="s">
        <v>43</v>
      </c>
      <c r="D3809" s="6" t="s">
        <v>8705</v>
      </c>
      <c r="E3809" s="6" t="s">
        <v>215</v>
      </c>
      <c r="F3809" s="6" t="s">
        <v>26</v>
      </c>
      <c r="G3809" s="7">
        <v>0.12</v>
      </c>
      <c r="H3809" s="6" t="s">
        <v>8623</v>
      </c>
      <c r="I3809" s="6" t="s">
        <v>20</v>
      </c>
      <c r="J3809" s="6">
        <v>2026.0</v>
      </c>
      <c r="L3809" s="6">
        <v>1.0</v>
      </c>
      <c r="M3809" s="8">
        <f t="shared" si="4"/>
        <v>0.12</v>
      </c>
      <c r="P3809" s="9"/>
    </row>
    <row r="3810">
      <c r="A3810" s="6" t="s">
        <v>8706</v>
      </c>
      <c r="B3810" s="6" t="s">
        <v>192</v>
      </c>
      <c r="C3810" s="6" t="s">
        <v>43</v>
      </c>
      <c r="D3810" s="6" t="s">
        <v>8707</v>
      </c>
      <c r="E3810" s="6" t="s">
        <v>107</v>
      </c>
      <c r="F3810" s="6" t="s">
        <v>18</v>
      </c>
      <c r="G3810" s="7">
        <v>0.18</v>
      </c>
      <c r="H3810" s="6" t="s">
        <v>8623</v>
      </c>
      <c r="I3810" s="6" t="s">
        <v>20</v>
      </c>
      <c r="J3810" s="6">
        <v>2026.0</v>
      </c>
      <c r="L3810" s="6">
        <v>1.0</v>
      </c>
      <c r="M3810" s="8">
        <f t="shared" si="4"/>
        <v>0.18</v>
      </c>
      <c r="P3810" s="9"/>
    </row>
    <row r="3811">
      <c r="A3811" s="6" t="s">
        <v>8708</v>
      </c>
      <c r="B3811" s="6" t="s">
        <v>74</v>
      </c>
      <c r="C3811" s="6" t="s">
        <v>37</v>
      </c>
      <c r="D3811" s="6" t="s">
        <v>8709</v>
      </c>
      <c r="E3811" s="6" t="s">
        <v>98</v>
      </c>
      <c r="F3811" s="6" t="s">
        <v>18</v>
      </c>
      <c r="G3811" s="7">
        <v>0.12</v>
      </c>
      <c r="H3811" s="6" t="s">
        <v>8623</v>
      </c>
      <c r="I3811" s="6" t="s">
        <v>20</v>
      </c>
      <c r="J3811" s="6">
        <v>2026.0</v>
      </c>
      <c r="L3811" s="6">
        <v>1.0</v>
      </c>
      <c r="M3811" s="8">
        <f t="shared" si="4"/>
        <v>0.12</v>
      </c>
      <c r="P3811" s="9"/>
    </row>
    <row r="3812">
      <c r="A3812" s="6" t="s">
        <v>8710</v>
      </c>
      <c r="B3812" s="6" t="s">
        <v>254</v>
      </c>
      <c r="C3812" s="6" t="s">
        <v>43</v>
      </c>
      <c r="D3812" s="6" t="s">
        <v>8711</v>
      </c>
      <c r="E3812" s="6" t="s">
        <v>98</v>
      </c>
      <c r="F3812" s="6" t="s">
        <v>18</v>
      </c>
      <c r="G3812" s="7">
        <v>0.09</v>
      </c>
      <c r="H3812" s="6" t="s">
        <v>8623</v>
      </c>
      <c r="I3812" s="6" t="s">
        <v>20</v>
      </c>
      <c r="J3812" s="6">
        <v>2026.0</v>
      </c>
      <c r="L3812" s="6">
        <v>1.0</v>
      </c>
      <c r="M3812" s="8">
        <f t="shared" si="4"/>
        <v>0.09</v>
      </c>
      <c r="P3812" s="9"/>
    </row>
    <row r="3813">
      <c r="A3813" s="6" t="s">
        <v>8686</v>
      </c>
      <c r="B3813" s="6" t="s">
        <v>8687</v>
      </c>
      <c r="C3813" s="6" t="s">
        <v>43</v>
      </c>
      <c r="D3813" s="6" t="s">
        <v>8688</v>
      </c>
      <c r="F3813" s="6" t="s">
        <v>18</v>
      </c>
      <c r="G3813" s="7">
        <v>0.8</v>
      </c>
      <c r="H3813" s="6" t="s">
        <v>8712</v>
      </c>
      <c r="I3813" s="6" t="s">
        <v>20</v>
      </c>
      <c r="J3813" s="6">
        <v>2026.0</v>
      </c>
      <c r="L3813" s="6">
        <v>1.0</v>
      </c>
      <c r="M3813" s="8">
        <f t="shared" si="4"/>
        <v>0.8</v>
      </c>
      <c r="P3813" s="9"/>
    </row>
    <row r="3814">
      <c r="A3814" s="6" t="s">
        <v>8713</v>
      </c>
      <c r="B3814" s="6" t="s">
        <v>8714</v>
      </c>
      <c r="C3814" s="6" t="s">
        <v>43</v>
      </c>
      <c r="D3814" s="6" t="s">
        <v>8715</v>
      </c>
      <c r="E3814" s="6" t="s">
        <v>76</v>
      </c>
      <c r="F3814" s="6" t="s">
        <v>77</v>
      </c>
      <c r="G3814" s="7">
        <v>0.1</v>
      </c>
      <c r="H3814" s="6" t="s">
        <v>8623</v>
      </c>
      <c r="I3814" s="6" t="s">
        <v>20</v>
      </c>
      <c r="J3814" s="6">
        <v>2026.0</v>
      </c>
      <c r="K3814" s="10">
        <v>46054.0</v>
      </c>
      <c r="L3814" s="6">
        <v>1.0</v>
      </c>
      <c r="M3814" s="8">
        <f t="shared" si="4"/>
        <v>0.1</v>
      </c>
      <c r="P3814" s="9"/>
    </row>
    <row r="3815">
      <c r="A3815" s="6" t="s">
        <v>8716</v>
      </c>
      <c r="B3815" s="6" t="s">
        <v>74</v>
      </c>
      <c r="C3815" s="6" t="s">
        <v>43</v>
      </c>
      <c r="D3815" s="6" t="s">
        <v>8717</v>
      </c>
      <c r="E3815" s="6" t="s">
        <v>1859</v>
      </c>
      <c r="F3815" s="6" t="s">
        <v>18</v>
      </c>
      <c r="G3815" s="7">
        <v>0.68</v>
      </c>
      <c r="H3815" s="6" t="s">
        <v>8623</v>
      </c>
      <c r="I3815" s="6" t="s">
        <v>20</v>
      </c>
      <c r="J3815" s="6">
        <v>2024.0</v>
      </c>
      <c r="L3815" s="6">
        <v>1.0</v>
      </c>
      <c r="M3815" s="8">
        <f t="shared" si="4"/>
        <v>0.68</v>
      </c>
      <c r="P3815" s="9"/>
    </row>
    <row r="3816">
      <c r="A3816" s="6" t="s">
        <v>8718</v>
      </c>
      <c r="B3816" s="6" t="s">
        <v>8719</v>
      </c>
      <c r="C3816" s="6" t="s">
        <v>43</v>
      </c>
      <c r="D3816" s="6" t="s">
        <v>8720</v>
      </c>
      <c r="E3816" s="6" t="s">
        <v>176</v>
      </c>
      <c r="F3816" s="6" t="s">
        <v>77</v>
      </c>
      <c r="G3816" s="7">
        <v>0.08</v>
      </c>
      <c r="H3816" s="6" t="s">
        <v>8623</v>
      </c>
      <c r="I3816" s="6" t="s">
        <v>20</v>
      </c>
      <c r="J3816" s="6">
        <v>2026.0</v>
      </c>
      <c r="K3816" s="10">
        <v>46055.0</v>
      </c>
      <c r="L3816" s="6">
        <v>1.0</v>
      </c>
      <c r="M3816" s="8">
        <f t="shared" si="4"/>
        <v>0.08</v>
      </c>
      <c r="P3816" s="9"/>
    </row>
    <row r="3817">
      <c r="A3817" s="6" t="s">
        <v>8721</v>
      </c>
      <c r="B3817" s="6" t="s">
        <v>8665</v>
      </c>
      <c r="C3817" s="6" t="s">
        <v>37</v>
      </c>
      <c r="D3817" s="6" t="s">
        <v>8722</v>
      </c>
      <c r="E3817" s="6" t="s">
        <v>176</v>
      </c>
      <c r="F3817" s="6" t="s">
        <v>77</v>
      </c>
      <c r="G3817" s="7">
        <v>0.15</v>
      </c>
      <c r="H3817" s="6" t="s">
        <v>8623</v>
      </c>
      <c r="I3817" s="6" t="s">
        <v>45</v>
      </c>
      <c r="J3817" s="6">
        <v>2026.0</v>
      </c>
      <c r="K3817" s="10">
        <v>46055.0</v>
      </c>
      <c r="L3817" s="6">
        <v>1.0</v>
      </c>
      <c r="M3817" s="8">
        <f t="shared" si="4"/>
        <v>0.15</v>
      </c>
      <c r="P3817" s="9"/>
    </row>
    <row r="3818">
      <c r="A3818" s="6" t="s">
        <v>8723</v>
      </c>
      <c r="B3818" s="6" t="s">
        <v>8665</v>
      </c>
      <c r="C3818" s="6" t="s">
        <v>37</v>
      </c>
      <c r="D3818" s="6" t="s">
        <v>8724</v>
      </c>
      <c r="E3818" s="6" t="s">
        <v>176</v>
      </c>
      <c r="F3818" s="6" t="s">
        <v>77</v>
      </c>
      <c r="G3818" s="7">
        <v>0.21</v>
      </c>
      <c r="H3818" s="6" t="s">
        <v>8659</v>
      </c>
      <c r="I3818" s="6" t="s">
        <v>20</v>
      </c>
      <c r="J3818" s="6">
        <v>2026.0</v>
      </c>
      <c r="K3818" s="10">
        <v>46055.0</v>
      </c>
      <c r="L3818" s="6">
        <v>1.0</v>
      </c>
      <c r="M3818" s="8">
        <f t="shared" si="4"/>
        <v>0.21</v>
      </c>
      <c r="P3818" s="9"/>
    </row>
    <row r="3819">
      <c r="A3819" s="6" t="s">
        <v>8725</v>
      </c>
      <c r="B3819" s="6" t="s">
        <v>8726</v>
      </c>
      <c r="C3819" s="6" t="s">
        <v>37</v>
      </c>
      <c r="D3819" s="6" t="s">
        <v>8727</v>
      </c>
      <c r="E3819" s="6" t="s">
        <v>248</v>
      </c>
      <c r="F3819" s="6" t="s">
        <v>77</v>
      </c>
      <c r="G3819" s="7">
        <v>0.38</v>
      </c>
      <c r="H3819" s="6" t="s">
        <v>8623</v>
      </c>
      <c r="I3819" s="6" t="s">
        <v>20</v>
      </c>
      <c r="J3819" s="6">
        <v>2026.0</v>
      </c>
      <c r="K3819" s="10">
        <v>46084.0</v>
      </c>
      <c r="L3819" s="6">
        <v>1.0</v>
      </c>
      <c r="M3819" s="8">
        <f t="shared" si="4"/>
        <v>0.38</v>
      </c>
      <c r="P3819" s="9"/>
    </row>
    <row r="3820">
      <c r="A3820" s="6" t="s">
        <v>8728</v>
      </c>
      <c r="B3820" s="6" t="s">
        <v>8729</v>
      </c>
      <c r="C3820" s="6" t="s">
        <v>43</v>
      </c>
      <c r="D3820" s="6" t="s">
        <v>8730</v>
      </c>
      <c r="E3820" s="6" t="s">
        <v>248</v>
      </c>
      <c r="F3820" s="6" t="s">
        <v>77</v>
      </c>
      <c r="G3820" s="7">
        <v>4.75</v>
      </c>
      <c r="H3820" s="6" t="s">
        <v>8659</v>
      </c>
      <c r="I3820" s="6" t="s">
        <v>20</v>
      </c>
      <c r="J3820" s="6">
        <v>2026.0</v>
      </c>
      <c r="K3820" s="10">
        <v>46084.0</v>
      </c>
      <c r="L3820" s="6">
        <v>1.0</v>
      </c>
      <c r="M3820" s="8">
        <f t="shared" si="4"/>
        <v>4.75</v>
      </c>
      <c r="P3820" s="9"/>
    </row>
    <row r="3821">
      <c r="A3821" s="6" t="s">
        <v>8731</v>
      </c>
      <c r="B3821" s="6" t="s">
        <v>8732</v>
      </c>
      <c r="C3821" s="6" t="s">
        <v>43</v>
      </c>
      <c r="D3821" s="6" t="s">
        <v>8733</v>
      </c>
      <c r="E3821" s="6" t="s">
        <v>891</v>
      </c>
      <c r="F3821" s="6" t="s">
        <v>77</v>
      </c>
      <c r="G3821" s="7">
        <v>0.11</v>
      </c>
      <c r="H3821" s="6" t="s">
        <v>8623</v>
      </c>
      <c r="I3821" s="6" t="s">
        <v>20</v>
      </c>
      <c r="J3821" s="6">
        <v>2026.0</v>
      </c>
      <c r="K3821" s="10">
        <v>46116.0</v>
      </c>
      <c r="L3821" s="6">
        <v>1.0</v>
      </c>
      <c r="M3821" s="8">
        <f t="shared" si="4"/>
        <v>0.11</v>
      </c>
      <c r="P3821" s="9"/>
    </row>
    <row r="3822">
      <c r="A3822" s="6" t="s">
        <v>8734</v>
      </c>
      <c r="B3822" s="6" t="s">
        <v>8735</v>
      </c>
      <c r="C3822" s="6" t="s">
        <v>30</v>
      </c>
      <c r="D3822" s="6" t="s">
        <v>8736</v>
      </c>
      <c r="E3822" s="6" t="s">
        <v>1093</v>
      </c>
      <c r="F3822" s="6" t="s">
        <v>77</v>
      </c>
      <c r="G3822" s="7">
        <v>25.65</v>
      </c>
      <c r="H3822" s="6" t="s">
        <v>8659</v>
      </c>
      <c r="I3822" s="6" t="s">
        <v>20</v>
      </c>
      <c r="J3822" s="6">
        <v>2026.0</v>
      </c>
      <c r="K3822" s="10">
        <v>46116.0</v>
      </c>
      <c r="L3822" s="6">
        <v>1.0</v>
      </c>
      <c r="M3822" s="8">
        <f t="shared" si="4"/>
        <v>25.65</v>
      </c>
      <c r="P3822" s="9"/>
    </row>
    <row r="3823">
      <c r="A3823" s="6" t="s">
        <v>8737</v>
      </c>
      <c r="B3823" s="6" t="s">
        <v>138</v>
      </c>
      <c r="C3823" s="6" t="s">
        <v>37</v>
      </c>
      <c r="D3823" s="6" t="s">
        <v>8738</v>
      </c>
      <c r="E3823" s="6" t="s">
        <v>76</v>
      </c>
      <c r="F3823" s="6" t="s">
        <v>77</v>
      </c>
      <c r="G3823" s="7">
        <v>0.32</v>
      </c>
      <c r="H3823" s="6" t="s">
        <v>8623</v>
      </c>
      <c r="I3823" s="6" t="s">
        <v>20</v>
      </c>
      <c r="J3823" s="6">
        <v>2026.0</v>
      </c>
      <c r="L3823" s="6">
        <v>1.0</v>
      </c>
      <c r="M3823" s="8">
        <f t="shared" si="4"/>
        <v>0.32</v>
      </c>
      <c r="P3823" s="9"/>
    </row>
    <row r="3824">
      <c r="A3824" s="6" t="s">
        <v>8739</v>
      </c>
      <c r="B3824" s="6" t="s">
        <v>138</v>
      </c>
      <c r="C3824" s="6" t="s">
        <v>43</v>
      </c>
      <c r="D3824" s="6" t="s">
        <v>8740</v>
      </c>
      <c r="E3824" s="6" t="s">
        <v>176</v>
      </c>
      <c r="F3824" s="6" t="s">
        <v>77</v>
      </c>
      <c r="G3824" s="7">
        <v>0.05</v>
      </c>
      <c r="H3824" s="6" t="s">
        <v>8623</v>
      </c>
      <c r="I3824" s="6" t="s">
        <v>20</v>
      </c>
      <c r="J3824" s="6">
        <v>2026.0</v>
      </c>
      <c r="L3824" s="6">
        <v>1.0</v>
      </c>
      <c r="M3824" s="8">
        <f t="shared" si="4"/>
        <v>0.05</v>
      </c>
      <c r="P3824" s="9"/>
    </row>
    <row r="3825">
      <c r="A3825" s="6" t="s">
        <v>8741</v>
      </c>
      <c r="B3825" s="6" t="s">
        <v>138</v>
      </c>
      <c r="C3825" s="6" t="s">
        <v>43</v>
      </c>
      <c r="D3825" s="6" t="s">
        <v>8742</v>
      </c>
      <c r="E3825" s="6" t="s">
        <v>248</v>
      </c>
      <c r="F3825" s="6" t="s">
        <v>77</v>
      </c>
      <c r="G3825" s="7">
        <v>0.02</v>
      </c>
      <c r="H3825" s="6" t="s">
        <v>8623</v>
      </c>
      <c r="I3825" s="6" t="s">
        <v>20</v>
      </c>
      <c r="J3825" s="6">
        <v>2026.0</v>
      </c>
      <c r="L3825" s="6">
        <v>1.0</v>
      </c>
      <c r="M3825" s="8">
        <f t="shared" si="4"/>
        <v>0.02</v>
      </c>
      <c r="P3825" s="9"/>
    </row>
    <row r="3826">
      <c r="A3826" s="6" t="s">
        <v>8743</v>
      </c>
      <c r="B3826" s="6" t="s">
        <v>1577</v>
      </c>
      <c r="C3826" s="6" t="s">
        <v>43</v>
      </c>
      <c r="D3826" s="6" t="s">
        <v>8744</v>
      </c>
      <c r="F3826" s="6" t="s">
        <v>77</v>
      </c>
      <c r="G3826" s="7">
        <v>0.17</v>
      </c>
      <c r="H3826" s="6" t="s">
        <v>8659</v>
      </c>
      <c r="I3826" s="6" t="s">
        <v>20</v>
      </c>
      <c r="J3826" s="6">
        <v>2026.0</v>
      </c>
      <c r="L3826" s="6">
        <v>1.0</v>
      </c>
      <c r="M3826" s="8">
        <f t="shared" si="4"/>
        <v>0.17</v>
      </c>
      <c r="P3826" s="9"/>
    </row>
    <row r="3827">
      <c r="A3827" s="6" t="s">
        <v>8745</v>
      </c>
      <c r="B3827" s="6" t="s">
        <v>8746</v>
      </c>
      <c r="C3827" s="6" t="s">
        <v>43</v>
      </c>
      <c r="D3827" s="6" t="s">
        <v>8747</v>
      </c>
      <c r="F3827" s="6" t="s">
        <v>77</v>
      </c>
      <c r="G3827" s="7">
        <v>0.49</v>
      </c>
      <c r="H3827" s="6" t="s">
        <v>8748</v>
      </c>
      <c r="I3827" s="6" t="s">
        <v>45</v>
      </c>
      <c r="J3827" s="6">
        <v>2026.0</v>
      </c>
      <c r="L3827" s="6">
        <v>1.0</v>
      </c>
      <c r="M3827" s="8">
        <f t="shared" si="4"/>
        <v>0.49</v>
      </c>
      <c r="P3827" s="9"/>
    </row>
    <row r="3828">
      <c r="A3828" s="6" t="s">
        <v>8745</v>
      </c>
      <c r="B3828" s="6" t="s">
        <v>8746</v>
      </c>
      <c r="C3828" s="6" t="s">
        <v>43</v>
      </c>
      <c r="D3828" s="6" t="s">
        <v>8747</v>
      </c>
      <c r="F3828" s="6" t="s">
        <v>77</v>
      </c>
      <c r="G3828" s="7">
        <v>0.2</v>
      </c>
      <c r="H3828" s="6" t="s">
        <v>8749</v>
      </c>
      <c r="I3828" s="6" t="s">
        <v>45</v>
      </c>
      <c r="J3828" s="6">
        <v>2026.0</v>
      </c>
      <c r="L3828" s="6">
        <v>6.0</v>
      </c>
      <c r="M3828" s="8">
        <f t="shared" si="4"/>
        <v>1.2</v>
      </c>
      <c r="P3828" s="9"/>
    </row>
    <row r="3829">
      <c r="A3829" s="6" t="s">
        <v>8750</v>
      </c>
      <c r="B3829" s="6" t="s">
        <v>8751</v>
      </c>
      <c r="C3829" s="6" t="s">
        <v>43</v>
      </c>
      <c r="D3829" s="6" t="s">
        <v>8752</v>
      </c>
      <c r="E3829" s="6" t="s">
        <v>135</v>
      </c>
      <c r="F3829" s="6" t="s">
        <v>40</v>
      </c>
      <c r="G3829" s="7">
        <v>0.07</v>
      </c>
      <c r="H3829" s="6" t="s">
        <v>8623</v>
      </c>
      <c r="I3829" s="6" t="s">
        <v>20</v>
      </c>
      <c r="J3829" s="6">
        <v>2026.0</v>
      </c>
      <c r="K3829" s="10">
        <v>46055.0</v>
      </c>
      <c r="L3829" s="6">
        <v>1.0</v>
      </c>
      <c r="M3829" s="8">
        <f t="shared" si="4"/>
        <v>0.07</v>
      </c>
      <c r="P3829" s="9"/>
    </row>
    <row r="3830">
      <c r="A3830" s="6" t="s">
        <v>8753</v>
      </c>
      <c r="B3830" s="6" t="s">
        <v>8754</v>
      </c>
      <c r="C3830" s="6" t="s">
        <v>37</v>
      </c>
      <c r="D3830" s="6" t="s">
        <v>8755</v>
      </c>
      <c r="E3830" s="6" t="s">
        <v>135</v>
      </c>
      <c r="F3830" s="6" t="s">
        <v>40</v>
      </c>
      <c r="G3830" s="7">
        <v>7.5</v>
      </c>
      <c r="H3830" s="6" t="s">
        <v>8659</v>
      </c>
      <c r="I3830" s="6" t="s">
        <v>20</v>
      </c>
      <c r="J3830" s="6">
        <v>2026.0</v>
      </c>
      <c r="K3830" s="10">
        <v>46024.0</v>
      </c>
      <c r="L3830" s="6">
        <v>1.0</v>
      </c>
      <c r="M3830" s="8">
        <f t="shared" si="4"/>
        <v>7.5</v>
      </c>
      <c r="P3830" s="9"/>
    </row>
    <row r="3831">
      <c r="A3831" s="6" t="s">
        <v>8756</v>
      </c>
      <c r="B3831" s="6" t="s">
        <v>8757</v>
      </c>
      <c r="C3831" s="6" t="s">
        <v>43</v>
      </c>
      <c r="D3831" s="6" t="s">
        <v>8758</v>
      </c>
      <c r="E3831" s="6" t="s">
        <v>135</v>
      </c>
      <c r="F3831" s="6" t="s">
        <v>40</v>
      </c>
      <c r="G3831" s="7">
        <v>0.11</v>
      </c>
      <c r="H3831" s="6" t="s">
        <v>8623</v>
      </c>
      <c r="I3831" s="6" t="s">
        <v>20</v>
      </c>
      <c r="J3831" s="6">
        <v>2026.0</v>
      </c>
      <c r="K3831" s="10">
        <v>46024.0</v>
      </c>
      <c r="L3831" s="6">
        <v>1.0</v>
      </c>
      <c r="M3831" s="8">
        <f t="shared" si="4"/>
        <v>0.11</v>
      </c>
      <c r="P3831" s="9"/>
    </row>
    <row r="3832">
      <c r="A3832" s="6" t="s">
        <v>8759</v>
      </c>
      <c r="B3832" s="6" t="s">
        <v>8751</v>
      </c>
      <c r="C3832" s="6" t="s">
        <v>43</v>
      </c>
      <c r="D3832" s="6" t="s">
        <v>8760</v>
      </c>
      <c r="E3832" s="6" t="s">
        <v>57</v>
      </c>
      <c r="F3832" s="6" t="s">
        <v>40</v>
      </c>
      <c r="G3832" s="7">
        <v>0.11</v>
      </c>
      <c r="H3832" s="6" t="s">
        <v>8623</v>
      </c>
      <c r="I3832" s="6" t="s">
        <v>20</v>
      </c>
      <c r="J3832" s="6">
        <v>2026.0</v>
      </c>
      <c r="K3832" s="10">
        <v>46114.0</v>
      </c>
      <c r="L3832" s="6">
        <v>1.0</v>
      </c>
      <c r="M3832" s="8">
        <f t="shared" si="4"/>
        <v>0.11</v>
      </c>
      <c r="P3832" s="9"/>
    </row>
    <row r="3833">
      <c r="A3833" s="6" t="s">
        <v>8761</v>
      </c>
      <c r="B3833" s="6" t="s">
        <v>8762</v>
      </c>
      <c r="C3833" s="6" t="s">
        <v>37</v>
      </c>
      <c r="D3833" s="6" t="s">
        <v>8763</v>
      </c>
      <c r="E3833" s="6" t="s">
        <v>39</v>
      </c>
      <c r="F3833" s="6" t="s">
        <v>40</v>
      </c>
      <c r="G3833" s="7">
        <v>1.0</v>
      </c>
      <c r="H3833" s="6" t="s">
        <v>8659</v>
      </c>
      <c r="I3833" s="6" t="s">
        <v>20</v>
      </c>
      <c r="J3833" s="6">
        <v>2026.0</v>
      </c>
      <c r="K3833" s="10">
        <v>46145.0</v>
      </c>
      <c r="L3833" s="6">
        <v>2.0</v>
      </c>
      <c r="M3833" s="8">
        <f t="shared" si="4"/>
        <v>2</v>
      </c>
      <c r="P3833" s="9"/>
    </row>
    <row r="3834">
      <c r="A3834" s="6" t="s">
        <v>8764</v>
      </c>
      <c r="B3834" s="6" t="s">
        <v>8765</v>
      </c>
      <c r="C3834" s="6" t="s">
        <v>37</v>
      </c>
      <c r="D3834" s="6" t="s">
        <v>8766</v>
      </c>
      <c r="E3834" s="6" t="s">
        <v>39</v>
      </c>
      <c r="F3834" s="6" t="s">
        <v>40</v>
      </c>
      <c r="G3834" s="7">
        <v>0.18</v>
      </c>
      <c r="H3834" s="6" t="s">
        <v>8623</v>
      </c>
      <c r="I3834" s="6" t="s">
        <v>20</v>
      </c>
      <c r="J3834" s="6">
        <v>2026.0</v>
      </c>
      <c r="K3834" s="10">
        <v>46056.0</v>
      </c>
      <c r="L3834" s="6">
        <v>1.0</v>
      </c>
      <c r="M3834" s="8">
        <f t="shared" si="4"/>
        <v>0.18</v>
      </c>
      <c r="P3834" s="9"/>
    </row>
    <row r="3835">
      <c r="A3835" s="6" t="s">
        <v>8767</v>
      </c>
      <c r="B3835" s="6" t="s">
        <v>8768</v>
      </c>
      <c r="C3835" s="6" t="s">
        <v>43</v>
      </c>
      <c r="D3835" s="6" t="s">
        <v>8769</v>
      </c>
      <c r="E3835" s="6" t="s">
        <v>420</v>
      </c>
      <c r="F3835" s="6" t="s">
        <v>40</v>
      </c>
      <c r="G3835" s="7">
        <v>1.28</v>
      </c>
      <c r="H3835" s="6" t="s">
        <v>8659</v>
      </c>
      <c r="I3835" s="6" t="s">
        <v>20</v>
      </c>
      <c r="J3835" s="6">
        <v>2026.0</v>
      </c>
      <c r="K3835" s="10">
        <v>46115.0</v>
      </c>
      <c r="L3835" s="6">
        <v>1.0</v>
      </c>
      <c r="M3835" s="8">
        <f t="shared" si="4"/>
        <v>1.28</v>
      </c>
      <c r="P3835" s="9"/>
    </row>
    <row r="3836">
      <c r="A3836" s="6" t="s">
        <v>8770</v>
      </c>
      <c r="B3836" s="6" t="s">
        <v>462</v>
      </c>
      <c r="C3836" s="6" t="s">
        <v>30</v>
      </c>
      <c r="D3836" s="6" t="s">
        <v>8771</v>
      </c>
      <c r="E3836" s="6" t="s">
        <v>1752</v>
      </c>
      <c r="F3836" s="6" t="s">
        <v>40</v>
      </c>
      <c r="G3836" s="7">
        <v>28.5</v>
      </c>
      <c r="H3836" s="6" t="s">
        <v>8659</v>
      </c>
      <c r="I3836" s="6" t="s">
        <v>20</v>
      </c>
      <c r="J3836" s="6">
        <v>2026.0</v>
      </c>
      <c r="L3836" s="6">
        <v>1.0</v>
      </c>
      <c r="M3836" s="8">
        <f t="shared" si="4"/>
        <v>28.5</v>
      </c>
      <c r="P3836" s="9"/>
    </row>
    <row r="3837">
      <c r="A3837" s="6" t="s">
        <v>8772</v>
      </c>
      <c r="B3837" s="6" t="s">
        <v>789</v>
      </c>
      <c r="C3837" s="6" t="s">
        <v>37</v>
      </c>
      <c r="D3837" s="6" t="s">
        <v>8773</v>
      </c>
      <c r="E3837" s="6" t="s">
        <v>125</v>
      </c>
      <c r="F3837" s="6" t="s">
        <v>40</v>
      </c>
      <c r="G3837" s="7">
        <v>7.6</v>
      </c>
      <c r="H3837" s="6" t="s">
        <v>8659</v>
      </c>
      <c r="I3837" s="6" t="s">
        <v>20</v>
      </c>
      <c r="J3837" s="6">
        <v>2026.0</v>
      </c>
      <c r="L3837" s="6">
        <v>1.0</v>
      </c>
      <c r="M3837" s="8">
        <f t="shared" si="4"/>
        <v>7.6</v>
      </c>
      <c r="P3837" s="9"/>
    </row>
    <row r="3838">
      <c r="A3838" s="6" t="s">
        <v>8774</v>
      </c>
      <c r="B3838" s="6" t="s">
        <v>138</v>
      </c>
      <c r="C3838" s="6" t="s">
        <v>43</v>
      </c>
      <c r="D3838" s="6" t="s">
        <v>8775</v>
      </c>
      <c r="E3838" s="6" t="s">
        <v>420</v>
      </c>
      <c r="F3838" s="6" t="s">
        <v>40</v>
      </c>
      <c r="G3838" s="7">
        <v>1.38</v>
      </c>
      <c r="H3838" s="6" t="s">
        <v>8659</v>
      </c>
      <c r="I3838" s="6" t="s">
        <v>20</v>
      </c>
      <c r="J3838" s="6">
        <v>2026.0</v>
      </c>
      <c r="L3838" s="6">
        <v>1.0</v>
      </c>
      <c r="M3838" s="8">
        <f t="shared" si="4"/>
        <v>1.38</v>
      </c>
      <c r="P3838" s="9"/>
    </row>
    <row r="3839">
      <c r="A3839" s="6" t="s">
        <v>5413</v>
      </c>
      <c r="B3839" s="6" t="s">
        <v>494</v>
      </c>
      <c r="C3839" s="6" t="s">
        <v>43</v>
      </c>
      <c r="D3839" s="6" t="s">
        <v>1184</v>
      </c>
      <c r="E3839" s="6" t="s">
        <v>135</v>
      </c>
      <c r="F3839" s="6" t="s">
        <v>40</v>
      </c>
      <c r="G3839" s="7">
        <v>0.23</v>
      </c>
      <c r="H3839" s="6" t="s">
        <v>8659</v>
      </c>
      <c r="I3839" s="6" t="s">
        <v>20</v>
      </c>
      <c r="J3839" s="6">
        <v>2026.0</v>
      </c>
      <c r="L3839" s="6">
        <v>1.0</v>
      </c>
      <c r="M3839" s="8">
        <f t="shared" si="4"/>
        <v>0.23</v>
      </c>
      <c r="P3839" s="9"/>
    </row>
    <row r="3840">
      <c r="A3840" s="6" t="s">
        <v>8776</v>
      </c>
      <c r="B3840" s="6" t="s">
        <v>1577</v>
      </c>
      <c r="C3840" s="6" t="s">
        <v>43</v>
      </c>
      <c r="D3840" s="6" t="s">
        <v>8777</v>
      </c>
      <c r="F3840" s="6" t="s">
        <v>40</v>
      </c>
      <c r="G3840" s="7">
        <v>0.43</v>
      </c>
      <c r="H3840" s="6" t="s">
        <v>8659</v>
      </c>
      <c r="I3840" s="6" t="s">
        <v>20</v>
      </c>
      <c r="J3840" s="6">
        <v>2026.0</v>
      </c>
      <c r="L3840" s="6">
        <v>1.0</v>
      </c>
      <c r="M3840" s="8">
        <f t="shared" si="4"/>
        <v>0.43</v>
      </c>
      <c r="P3840" s="9"/>
    </row>
    <row r="3841">
      <c r="A3841" s="6" t="s">
        <v>5551</v>
      </c>
      <c r="B3841" s="6" t="s">
        <v>5552</v>
      </c>
      <c r="C3841" s="6" t="s">
        <v>43</v>
      </c>
      <c r="D3841" s="6" t="s">
        <v>5553</v>
      </c>
      <c r="F3841" s="6" t="s">
        <v>40</v>
      </c>
      <c r="G3841" s="7">
        <v>0.46</v>
      </c>
      <c r="H3841" s="6" t="s">
        <v>8778</v>
      </c>
      <c r="I3841" s="6" t="s">
        <v>45</v>
      </c>
      <c r="J3841" s="6">
        <v>2026.0</v>
      </c>
      <c r="L3841" s="6">
        <v>1.0</v>
      </c>
      <c r="M3841" s="8">
        <f t="shared" si="4"/>
        <v>0.46</v>
      </c>
      <c r="P3841" s="9"/>
    </row>
    <row r="3842">
      <c r="A3842" s="6" t="s">
        <v>5551</v>
      </c>
      <c r="B3842" s="6" t="s">
        <v>5552</v>
      </c>
      <c r="C3842" s="6" t="s">
        <v>43</v>
      </c>
      <c r="D3842" s="6" t="s">
        <v>5553</v>
      </c>
      <c r="F3842" s="6" t="s">
        <v>40</v>
      </c>
      <c r="G3842" s="7">
        <v>0.2</v>
      </c>
      <c r="H3842" s="6" t="s">
        <v>8623</v>
      </c>
      <c r="I3842" s="6" t="s">
        <v>45</v>
      </c>
      <c r="J3842" s="6">
        <v>2026.0</v>
      </c>
      <c r="L3842" s="6">
        <v>14.0</v>
      </c>
      <c r="M3842" s="8">
        <f t="shared" si="4"/>
        <v>2.8</v>
      </c>
      <c r="P3842" s="9"/>
    </row>
    <row r="3843">
      <c r="A3843" s="6" t="s">
        <v>8779</v>
      </c>
      <c r="B3843" s="6" t="s">
        <v>462</v>
      </c>
      <c r="C3843" s="6" t="s">
        <v>43</v>
      </c>
      <c r="D3843" s="6" t="s">
        <v>8780</v>
      </c>
      <c r="E3843" s="6" t="s">
        <v>420</v>
      </c>
      <c r="F3843" s="6" t="s">
        <v>40</v>
      </c>
      <c r="G3843" s="7">
        <v>0.9</v>
      </c>
      <c r="H3843" s="6" t="s">
        <v>8659</v>
      </c>
      <c r="I3843" s="6" t="s">
        <v>20</v>
      </c>
      <c r="J3843" s="6">
        <v>2026.0</v>
      </c>
      <c r="L3843" s="6">
        <v>1.0</v>
      </c>
      <c r="M3843" s="8">
        <f t="shared" si="4"/>
        <v>0.9</v>
      </c>
      <c r="P3843" s="9"/>
    </row>
    <row r="3844">
      <c r="A3844" s="6" t="s">
        <v>8781</v>
      </c>
      <c r="B3844" s="6" t="s">
        <v>138</v>
      </c>
      <c r="C3844" s="6" t="s">
        <v>43</v>
      </c>
      <c r="D3844" s="6" t="s">
        <v>8782</v>
      </c>
      <c r="E3844" s="6" t="s">
        <v>57</v>
      </c>
      <c r="F3844" s="6" t="s">
        <v>40</v>
      </c>
      <c r="G3844" s="7">
        <v>0.9</v>
      </c>
      <c r="H3844" s="6" t="s">
        <v>8659</v>
      </c>
      <c r="I3844" s="6" t="s">
        <v>20</v>
      </c>
      <c r="J3844" s="6">
        <v>2026.0</v>
      </c>
      <c r="L3844" s="6">
        <v>1.0</v>
      </c>
      <c r="M3844" s="8">
        <f t="shared" si="4"/>
        <v>0.9</v>
      </c>
      <c r="P3844" s="9"/>
    </row>
    <row r="3845">
      <c r="A3845" s="6" t="s">
        <v>8783</v>
      </c>
      <c r="B3845" s="6" t="s">
        <v>8627</v>
      </c>
      <c r="C3845" s="6" t="s">
        <v>43</v>
      </c>
      <c r="D3845" s="6" t="s">
        <v>8784</v>
      </c>
      <c r="E3845" s="6" t="s">
        <v>39</v>
      </c>
      <c r="F3845" s="6" t="s">
        <v>40</v>
      </c>
      <c r="G3845" s="7">
        <v>1.0</v>
      </c>
      <c r="H3845" s="6" t="s">
        <v>8659</v>
      </c>
      <c r="I3845" s="6" t="s">
        <v>20</v>
      </c>
      <c r="J3845" s="6">
        <v>2026.0</v>
      </c>
      <c r="K3845" s="10">
        <v>46084.0</v>
      </c>
      <c r="L3845" s="6">
        <v>1.0</v>
      </c>
      <c r="M3845" s="8">
        <f t="shared" si="4"/>
        <v>1</v>
      </c>
      <c r="P3845" s="9"/>
    </row>
    <row r="3846">
      <c r="A3846" s="6" t="s">
        <v>8785</v>
      </c>
      <c r="B3846" s="6" t="s">
        <v>8627</v>
      </c>
      <c r="C3846" s="6" t="s">
        <v>43</v>
      </c>
      <c r="D3846" s="6" t="s">
        <v>8786</v>
      </c>
      <c r="E3846" s="6" t="s">
        <v>135</v>
      </c>
      <c r="F3846" s="6" t="s">
        <v>40</v>
      </c>
      <c r="G3846" s="7">
        <v>1.0</v>
      </c>
      <c r="H3846" s="6" t="s">
        <v>8659</v>
      </c>
      <c r="I3846" s="6" t="s">
        <v>20</v>
      </c>
      <c r="J3846" s="6">
        <v>2026.0</v>
      </c>
      <c r="K3846" s="10">
        <v>46055.0</v>
      </c>
      <c r="L3846" s="6">
        <v>1.0</v>
      </c>
      <c r="M3846" s="8">
        <f t="shared" si="4"/>
        <v>1</v>
      </c>
      <c r="P3846" s="9"/>
    </row>
    <row r="3847">
      <c r="A3847" s="6" t="s">
        <v>8787</v>
      </c>
      <c r="B3847" s="6" t="s">
        <v>8788</v>
      </c>
      <c r="C3847" s="6" t="s">
        <v>30</v>
      </c>
      <c r="D3847" s="6" t="s">
        <v>8789</v>
      </c>
      <c r="E3847" s="6" t="s">
        <v>2030</v>
      </c>
      <c r="F3847" s="6" t="s">
        <v>40</v>
      </c>
      <c r="G3847" s="7">
        <v>29.7</v>
      </c>
      <c r="H3847" s="6" t="s">
        <v>8659</v>
      </c>
      <c r="I3847" s="6" t="s">
        <v>20</v>
      </c>
      <c r="J3847" s="6">
        <v>2026.0</v>
      </c>
      <c r="K3847" s="10">
        <v>46116.0</v>
      </c>
      <c r="L3847" s="6">
        <v>1.0</v>
      </c>
      <c r="M3847" s="8">
        <f t="shared" si="4"/>
        <v>29.7</v>
      </c>
      <c r="P3847" s="9"/>
    </row>
    <row r="3848">
      <c r="A3848" s="6" t="s">
        <v>8790</v>
      </c>
      <c r="B3848" s="6" t="s">
        <v>138</v>
      </c>
      <c r="C3848" s="6" t="s">
        <v>43</v>
      </c>
      <c r="D3848" s="6" t="s">
        <v>8791</v>
      </c>
      <c r="E3848" s="6" t="s">
        <v>125</v>
      </c>
      <c r="F3848" s="6" t="s">
        <v>40</v>
      </c>
      <c r="G3848" s="7">
        <v>1.0</v>
      </c>
      <c r="H3848" s="6" t="s">
        <v>8659</v>
      </c>
      <c r="I3848" s="6" t="s">
        <v>20</v>
      </c>
      <c r="J3848" s="6">
        <v>2026.0</v>
      </c>
      <c r="L3848" s="6">
        <v>1.0</v>
      </c>
      <c r="M3848" s="8">
        <f t="shared" si="4"/>
        <v>1</v>
      </c>
      <c r="P3848" s="9"/>
    </row>
    <row r="3849">
      <c r="A3849" s="6" t="s">
        <v>8792</v>
      </c>
      <c r="B3849" s="6" t="s">
        <v>8627</v>
      </c>
      <c r="C3849" s="6" t="s">
        <v>37</v>
      </c>
      <c r="D3849" s="6" t="s">
        <v>8793</v>
      </c>
      <c r="E3849" s="6" t="s">
        <v>420</v>
      </c>
      <c r="F3849" s="6" t="s">
        <v>40</v>
      </c>
      <c r="G3849" s="7">
        <v>1.0</v>
      </c>
      <c r="H3849" s="6" t="s">
        <v>8659</v>
      </c>
      <c r="I3849" s="6" t="s">
        <v>20</v>
      </c>
      <c r="J3849" s="6">
        <v>2026.0</v>
      </c>
      <c r="K3849" s="10">
        <v>46084.0</v>
      </c>
      <c r="L3849" s="6">
        <v>1.0</v>
      </c>
      <c r="M3849" s="8">
        <f t="shared" si="4"/>
        <v>1</v>
      </c>
      <c r="P3849" s="9"/>
    </row>
    <row r="3850">
      <c r="A3850" s="6" t="s">
        <v>8794</v>
      </c>
      <c r="B3850" s="6" t="s">
        <v>8627</v>
      </c>
      <c r="C3850" s="6" t="s">
        <v>37</v>
      </c>
      <c r="D3850" s="6" t="s">
        <v>8795</v>
      </c>
      <c r="E3850" s="6" t="s">
        <v>57</v>
      </c>
      <c r="F3850" s="6" t="s">
        <v>40</v>
      </c>
      <c r="G3850" s="7">
        <v>1.98</v>
      </c>
      <c r="H3850" s="6" t="s">
        <v>8659</v>
      </c>
      <c r="I3850" s="6" t="s">
        <v>20</v>
      </c>
      <c r="J3850" s="6">
        <v>2026.0</v>
      </c>
      <c r="K3850" s="10">
        <v>46023.0</v>
      </c>
      <c r="L3850" s="6">
        <v>1.0</v>
      </c>
      <c r="M3850" s="8">
        <f t="shared" si="4"/>
        <v>1.98</v>
      </c>
      <c r="P3850" s="9"/>
    </row>
    <row r="3851">
      <c r="A3851" s="6" t="s">
        <v>8796</v>
      </c>
      <c r="B3851" s="6" t="s">
        <v>8797</v>
      </c>
      <c r="C3851" s="6" t="s">
        <v>43</v>
      </c>
      <c r="D3851" s="6" t="s">
        <v>8798</v>
      </c>
      <c r="E3851" s="6" t="s">
        <v>135</v>
      </c>
      <c r="F3851" s="6" t="s">
        <v>40</v>
      </c>
      <c r="G3851" s="7">
        <v>1.0</v>
      </c>
      <c r="H3851" s="6" t="s">
        <v>8659</v>
      </c>
      <c r="I3851" s="6" t="s">
        <v>20</v>
      </c>
      <c r="J3851" s="6">
        <v>2026.0</v>
      </c>
      <c r="K3851" s="6" t="s">
        <v>445</v>
      </c>
      <c r="L3851" s="6">
        <v>1.0</v>
      </c>
      <c r="M3851" s="8">
        <f t="shared" si="4"/>
        <v>1</v>
      </c>
      <c r="P3851" s="9"/>
    </row>
    <row r="3852">
      <c r="A3852" s="6" t="s">
        <v>3104</v>
      </c>
      <c r="B3852" s="6" t="s">
        <v>162</v>
      </c>
      <c r="C3852" s="6" t="s">
        <v>43</v>
      </c>
      <c r="D3852" s="6" t="s">
        <v>3105</v>
      </c>
      <c r="E3852" s="6" t="s">
        <v>117</v>
      </c>
      <c r="F3852" s="6" t="s">
        <v>77</v>
      </c>
      <c r="G3852" s="7">
        <v>0.07</v>
      </c>
      <c r="H3852" s="6" t="s">
        <v>382</v>
      </c>
      <c r="I3852" s="6" t="s">
        <v>20</v>
      </c>
      <c r="J3852" s="6">
        <v>2020.0</v>
      </c>
      <c r="L3852" s="6">
        <v>1.0</v>
      </c>
      <c r="M3852" s="8">
        <f t="shared" si="4"/>
        <v>0.07</v>
      </c>
      <c r="P3852" s="9"/>
    </row>
    <row r="3853">
      <c r="A3853" s="6" t="s">
        <v>1999</v>
      </c>
      <c r="B3853" s="6" t="s">
        <v>162</v>
      </c>
      <c r="C3853" s="6" t="s">
        <v>43</v>
      </c>
      <c r="D3853" s="6" t="s">
        <v>2000</v>
      </c>
      <c r="E3853" s="6" t="s">
        <v>176</v>
      </c>
      <c r="F3853" s="6" t="s">
        <v>77</v>
      </c>
      <c r="G3853" s="7">
        <v>0.03</v>
      </c>
      <c r="H3853" s="6" t="s">
        <v>1076</v>
      </c>
      <c r="I3853" s="6" t="s">
        <v>20</v>
      </c>
      <c r="J3853" s="6">
        <v>2018.0</v>
      </c>
      <c r="L3853" s="6">
        <v>1.0</v>
      </c>
      <c r="M3853" s="8">
        <f t="shared" si="4"/>
        <v>0.03</v>
      </c>
      <c r="P3853" s="9"/>
    </row>
    <row r="3854">
      <c r="A3854" s="6" t="s">
        <v>1992</v>
      </c>
      <c r="B3854" s="6" t="s">
        <v>162</v>
      </c>
      <c r="C3854" s="6" t="s">
        <v>43</v>
      </c>
      <c r="D3854" s="6" t="s">
        <v>1993</v>
      </c>
      <c r="E3854" s="6" t="s">
        <v>93</v>
      </c>
      <c r="F3854" s="6" t="s">
        <v>77</v>
      </c>
      <c r="G3854" s="7">
        <v>0.03</v>
      </c>
      <c r="H3854" s="6" t="s">
        <v>1776</v>
      </c>
      <c r="I3854" s="6" t="s">
        <v>20</v>
      </c>
      <c r="J3854" s="6">
        <v>2017.0</v>
      </c>
      <c r="L3854" s="6">
        <v>1.0</v>
      </c>
      <c r="M3854" s="8">
        <f t="shared" si="4"/>
        <v>0.03</v>
      </c>
      <c r="P3854" s="9"/>
    </row>
    <row r="3855">
      <c r="A3855" s="6" t="s">
        <v>8799</v>
      </c>
      <c r="B3855" s="6" t="s">
        <v>162</v>
      </c>
      <c r="C3855" s="6" t="s">
        <v>43</v>
      </c>
      <c r="D3855" s="6" t="s">
        <v>8800</v>
      </c>
      <c r="E3855" s="6" t="s">
        <v>1917</v>
      </c>
      <c r="F3855" s="6" t="s">
        <v>77</v>
      </c>
      <c r="G3855" s="7">
        <v>0.03</v>
      </c>
      <c r="H3855" s="6" t="s">
        <v>431</v>
      </c>
      <c r="I3855" s="6" t="s">
        <v>20</v>
      </c>
      <c r="J3855" s="6">
        <v>2019.0</v>
      </c>
      <c r="L3855" s="6">
        <v>1.0</v>
      </c>
      <c r="M3855" s="8">
        <f t="shared" si="4"/>
        <v>0.03</v>
      </c>
      <c r="P3855" s="9"/>
    </row>
    <row r="3856">
      <c r="A3856" s="6" t="s">
        <v>8801</v>
      </c>
      <c r="B3856" s="6" t="s">
        <v>162</v>
      </c>
      <c r="C3856" s="6" t="s">
        <v>30</v>
      </c>
      <c r="D3856" s="6" t="s">
        <v>8802</v>
      </c>
      <c r="E3856" s="6" t="s">
        <v>2694</v>
      </c>
      <c r="F3856" s="6" t="s">
        <v>77</v>
      </c>
      <c r="G3856" s="7">
        <v>0.3</v>
      </c>
      <c r="H3856" s="6" t="s">
        <v>2157</v>
      </c>
      <c r="I3856" s="6" t="s">
        <v>20</v>
      </c>
      <c r="J3856" s="6">
        <v>2008.0</v>
      </c>
      <c r="L3856" s="6">
        <v>1.0</v>
      </c>
      <c r="M3856" s="8">
        <f t="shared" si="4"/>
        <v>0.3</v>
      </c>
      <c r="P3856" s="9"/>
    </row>
    <row r="3857">
      <c r="A3857" s="6" t="s">
        <v>8803</v>
      </c>
      <c r="B3857" s="6" t="s">
        <v>162</v>
      </c>
      <c r="C3857" s="6" t="s">
        <v>30</v>
      </c>
      <c r="D3857" s="6" t="s">
        <v>8804</v>
      </c>
      <c r="E3857" s="6" t="s">
        <v>2382</v>
      </c>
      <c r="F3857" s="6" t="s">
        <v>77</v>
      </c>
      <c r="G3857" s="7">
        <v>0.3</v>
      </c>
      <c r="H3857" s="6" t="s">
        <v>1071</v>
      </c>
      <c r="I3857" s="6" t="s">
        <v>20</v>
      </c>
      <c r="J3857" s="6">
        <v>2012.0</v>
      </c>
      <c r="L3857" s="6">
        <v>1.0</v>
      </c>
      <c r="M3857" s="8">
        <f t="shared" si="4"/>
        <v>0.3</v>
      </c>
      <c r="P3857" s="9"/>
    </row>
    <row r="3858">
      <c r="A3858" s="6" t="s">
        <v>8805</v>
      </c>
      <c r="B3858" s="6" t="s">
        <v>162</v>
      </c>
      <c r="C3858" s="6" t="s">
        <v>37</v>
      </c>
      <c r="D3858" s="6" t="s">
        <v>8806</v>
      </c>
      <c r="E3858" s="6" t="s">
        <v>1027</v>
      </c>
      <c r="F3858" s="6" t="s">
        <v>77</v>
      </c>
      <c r="G3858" s="7">
        <v>0.06</v>
      </c>
      <c r="H3858" s="6" t="s">
        <v>407</v>
      </c>
      <c r="I3858" s="6" t="s">
        <v>20</v>
      </c>
      <c r="J3858" s="6">
        <v>2016.0</v>
      </c>
      <c r="L3858" s="6">
        <v>1.0</v>
      </c>
      <c r="M3858" s="8">
        <f t="shared" si="4"/>
        <v>0.06</v>
      </c>
      <c r="P3858" s="9"/>
    </row>
    <row r="3859">
      <c r="A3859" s="6" t="s">
        <v>8807</v>
      </c>
      <c r="B3859" s="6" t="s">
        <v>162</v>
      </c>
      <c r="C3859" s="6" t="s">
        <v>37</v>
      </c>
      <c r="D3859" s="6" t="s">
        <v>8808</v>
      </c>
      <c r="E3859" s="6" t="s">
        <v>76</v>
      </c>
      <c r="F3859" s="6" t="s">
        <v>77</v>
      </c>
      <c r="G3859" s="7">
        <v>0.09</v>
      </c>
      <c r="H3859" s="6" t="s">
        <v>460</v>
      </c>
      <c r="I3859" s="6" t="s">
        <v>20</v>
      </c>
      <c r="J3859" s="6">
        <v>2015.0</v>
      </c>
      <c r="L3859" s="6">
        <v>1.0</v>
      </c>
      <c r="M3859" s="8">
        <f t="shared" si="4"/>
        <v>0.09</v>
      </c>
      <c r="P3859" s="9"/>
    </row>
    <row r="3860">
      <c r="A3860" s="6" t="s">
        <v>8809</v>
      </c>
      <c r="B3860" s="6" t="s">
        <v>162</v>
      </c>
      <c r="C3860" s="6" t="s">
        <v>43</v>
      </c>
      <c r="D3860" s="6" t="s">
        <v>8810</v>
      </c>
      <c r="E3860" s="6" t="s">
        <v>176</v>
      </c>
      <c r="F3860" s="6" t="s">
        <v>77</v>
      </c>
      <c r="G3860" s="7">
        <v>0.03</v>
      </c>
      <c r="H3860" s="6" t="s">
        <v>1076</v>
      </c>
      <c r="I3860" s="6" t="s">
        <v>20</v>
      </c>
      <c r="J3860" s="6">
        <v>2018.0</v>
      </c>
      <c r="L3860" s="6">
        <v>2.0</v>
      </c>
      <c r="M3860" s="8">
        <f t="shared" si="4"/>
        <v>0.06</v>
      </c>
      <c r="P3860" s="9"/>
    </row>
    <row r="3861">
      <c r="A3861" s="6" t="s">
        <v>8811</v>
      </c>
      <c r="B3861" s="6" t="s">
        <v>162</v>
      </c>
      <c r="C3861" s="6" t="s">
        <v>43</v>
      </c>
      <c r="D3861" s="6" t="s">
        <v>8812</v>
      </c>
      <c r="E3861" s="6" t="s">
        <v>248</v>
      </c>
      <c r="F3861" s="6" t="s">
        <v>77</v>
      </c>
      <c r="G3861" s="7">
        <v>0.06</v>
      </c>
      <c r="H3861" s="6" t="s">
        <v>373</v>
      </c>
      <c r="I3861" s="6" t="s">
        <v>20</v>
      </c>
      <c r="J3861" s="6">
        <v>2015.0</v>
      </c>
      <c r="L3861" s="6">
        <v>2.0</v>
      </c>
      <c r="M3861" s="8">
        <f t="shared" si="4"/>
        <v>0.12</v>
      </c>
      <c r="P3861" s="9"/>
    </row>
    <row r="3862">
      <c r="A3862" s="6" t="s">
        <v>8813</v>
      </c>
      <c r="B3862" s="6" t="s">
        <v>162</v>
      </c>
      <c r="C3862" s="6" t="s">
        <v>43</v>
      </c>
      <c r="D3862" s="6" t="s">
        <v>5082</v>
      </c>
      <c r="E3862" s="6" t="s">
        <v>93</v>
      </c>
      <c r="F3862" s="6" t="s">
        <v>77</v>
      </c>
      <c r="G3862" s="7">
        <v>0.03</v>
      </c>
      <c r="H3862" s="6" t="s">
        <v>1076</v>
      </c>
      <c r="I3862" s="6" t="s">
        <v>20</v>
      </c>
      <c r="J3862" s="6">
        <v>2018.0</v>
      </c>
      <c r="L3862" s="6">
        <v>2.0</v>
      </c>
      <c r="M3862" s="8">
        <f t="shared" si="4"/>
        <v>0.06</v>
      </c>
      <c r="P3862" s="9"/>
    </row>
    <row r="3863">
      <c r="A3863" s="6" t="s">
        <v>8814</v>
      </c>
      <c r="B3863" s="6" t="s">
        <v>162</v>
      </c>
      <c r="C3863" s="6" t="s">
        <v>43</v>
      </c>
      <c r="D3863" s="6" t="s">
        <v>8815</v>
      </c>
      <c r="E3863" s="6" t="s">
        <v>176</v>
      </c>
      <c r="F3863" s="6" t="s">
        <v>77</v>
      </c>
      <c r="G3863" s="7">
        <v>0.03</v>
      </c>
      <c r="H3863" s="6" t="s">
        <v>382</v>
      </c>
      <c r="I3863" s="6" t="s">
        <v>20</v>
      </c>
      <c r="J3863" s="6">
        <v>2020.0</v>
      </c>
      <c r="L3863" s="6">
        <v>3.0</v>
      </c>
      <c r="M3863" s="8">
        <f t="shared" si="4"/>
        <v>0.09</v>
      </c>
      <c r="P3863" s="9"/>
    </row>
    <row r="3864">
      <c r="A3864" s="6" t="s">
        <v>5863</v>
      </c>
      <c r="B3864" s="6" t="s">
        <v>162</v>
      </c>
      <c r="C3864" s="6" t="s">
        <v>43</v>
      </c>
      <c r="D3864" s="6" t="s">
        <v>5864</v>
      </c>
      <c r="E3864" s="6" t="s">
        <v>176</v>
      </c>
      <c r="F3864" s="6" t="s">
        <v>77</v>
      </c>
      <c r="G3864" s="7">
        <v>0.3</v>
      </c>
      <c r="H3864" s="6" t="s">
        <v>373</v>
      </c>
      <c r="I3864" s="6" t="s">
        <v>20</v>
      </c>
      <c r="J3864" s="6">
        <v>2015.0</v>
      </c>
      <c r="L3864" s="6">
        <v>7.0</v>
      </c>
      <c r="M3864" s="8">
        <f t="shared" si="4"/>
        <v>2.1</v>
      </c>
      <c r="P3864" s="9"/>
    </row>
    <row r="3865">
      <c r="A3865" s="6" t="s">
        <v>8816</v>
      </c>
      <c r="B3865" s="6" t="s">
        <v>162</v>
      </c>
      <c r="C3865" s="6" t="s">
        <v>43</v>
      </c>
      <c r="D3865" s="6" t="s">
        <v>8817</v>
      </c>
      <c r="E3865" s="6" t="s">
        <v>76</v>
      </c>
      <c r="F3865" s="6" t="s">
        <v>77</v>
      </c>
      <c r="G3865" s="7">
        <v>0.05</v>
      </c>
      <c r="H3865" s="6" t="s">
        <v>373</v>
      </c>
      <c r="I3865" s="6" t="s">
        <v>20</v>
      </c>
      <c r="J3865" s="6">
        <v>2015.0</v>
      </c>
      <c r="L3865" s="6">
        <v>6.0</v>
      </c>
      <c r="M3865" s="8">
        <f t="shared" si="4"/>
        <v>0.3</v>
      </c>
      <c r="P3865" s="9"/>
    </row>
    <row r="3866">
      <c r="A3866" s="6" t="s">
        <v>4645</v>
      </c>
      <c r="B3866" s="6" t="s">
        <v>162</v>
      </c>
      <c r="C3866" s="6" t="s">
        <v>43</v>
      </c>
      <c r="D3866" s="6" t="s">
        <v>4646</v>
      </c>
      <c r="E3866" s="6" t="s">
        <v>76</v>
      </c>
      <c r="F3866" s="6" t="s">
        <v>77</v>
      </c>
      <c r="G3866" s="7">
        <v>0.06</v>
      </c>
      <c r="H3866" s="6" t="s">
        <v>373</v>
      </c>
      <c r="I3866" s="6" t="s">
        <v>20</v>
      </c>
      <c r="J3866" s="6">
        <v>2015.0</v>
      </c>
      <c r="L3866" s="6">
        <v>9.0</v>
      </c>
      <c r="M3866" s="8">
        <f t="shared" si="4"/>
        <v>0.54</v>
      </c>
      <c r="P3866" s="9"/>
    </row>
    <row r="3867">
      <c r="A3867" s="6" t="s">
        <v>8818</v>
      </c>
      <c r="B3867" s="6" t="s">
        <v>74</v>
      </c>
      <c r="C3867" s="6" t="s">
        <v>37</v>
      </c>
      <c r="D3867" s="6" t="s">
        <v>8819</v>
      </c>
      <c r="E3867" s="6" t="s">
        <v>891</v>
      </c>
      <c r="F3867" s="6" t="s">
        <v>77</v>
      </c>
      <c r="G3867" s="7">
        <v>0.03</v>
      </c>
      <c r="H3867" s="6" t="s">
        <v>1776</v>
      </c>
      <c r="I3867" s="6" t="s">
        <v>20</v>
      </c>
      <c r="J3867" s="6">
        <v>2017.0</v>
      </c>
      <c r="L3867" s="6">
        <v>1.0</v>
      </c>
      <c r="M3867" s="8">
        <f t="shared" si="4"/>
        <v>0.03</v>
      </c>
      <c r="P3867" s="9"/>
    </row>
    <row r="3868">
      <c r="A3868" s="6" t="s">
        <v>8820</v>
      </c>
      <c r="B3868" s="6" t="s">
        <v>74</v>
      </c>
      <c r="C3868" s="6" t="s">
        <v>43</v>
      </c>
      <c r="D3868" s="6" t="s">
        <v>8821</v>
      </c>
      <c r="E3868" s="6" t="s">
        <v>76</v>
      </c>
      <c r="F3868" s="6" t="s">
        <v>77</v>
      </c>
      <c r="G3868" s="7">
        <v>0.04</v>
      </c>
      <c r="H3868" s="6" t="s">
        <v>415</v>
      </c>
      <c r="I3868" s="6" t="s">
        <v>20</v>
      </c>
      <c r="J3868" s="6">
        <v>2016.0</v>
      </c>
      <c r="L3868" s="6">
        <v>1.0</v>
      </c>
      <c r="M3868" s="8">
        <f t="shared" si="4"/>
        <v>0.04</v>
      </c>
      <c r="P3868" s="9"/>
    </row>
    <row r="3869">
      <c r="A3869" s="6" t="s">
        <v>8822</v>
      </c>
      <c r="B3869" s="6" t="s">
        <v>74</v>
      </c>
      <c r="C3869" s="6" t="s">
        <v>43</v>
      </c>
      <c r="D3869" s="6" t="s">
        <v>8823</v>
      </c>
      <c r="E3869" s="6" t="s">
        <v>176</v>
      </c>
      <c r="F3869" s="6" t="s">
        <v>77</v>
      </c>
      <c r="G3869" s="7">
        <v>0.04</v>
      </c>
      <c r="H3869" s="6" t="s">
        <v>431</v>
      </c>
      <c r="I3869" s="6" t="s">
        <v>20</v>
      </c>
      <c r="J3869" s="6">
        <v>2019.0</v>
      </c>
      <c r="L3869" s="6">
        <v>1.0</v>
      </c>
      <c r="M3869" s="8">
        <f t="shared" si="4"/>
        <v>0.04</v>
      </c>
      <c r="P3869" s="9"/>
    </row>
    <row r="3870">
      <c r="A3870" s="6" t="s">
        <v>8824</v>
      </c>
      <c r="B3870" s="6" t="s">
        <v>74</v>
      </c>
      <c r="C3870" s="6" t="s">
        <v>43</v>
      </c>
      <c r="D3870" s="6" t="s">
        <v>8825</v>
      </c>
      <c r="E3870" s="6" t="s">
        <v>176</v>
      </c>
      <c r="F3870" s="6" t="s">
        <v>77</v>
      </c>
      <c r="G3870" s="7">
        <v>0.05</v>
      </c>
      <c r="H3870" s="6" t="s">
        <v>460</v>
      </c>
      <c r="I3870" s="6" t="s">
        <v>20</v>
      </c>
      <c r="J3870" s="6">
        <v>2015.0</v>
      </c>
      <c r="L3870" s="6">
        <v>1.0</v>
      </c>
      <c r="M3870" s="8">
        <f t="shared" si="4"/>
        <v>0.05</v>
      </c>
      <c r="P3870" s="9"/>
    </row>
    <row r="3871">
      <c r="A3871" s="6" t="s">
        <v>8826</v>
      </c>
      <c r="B3871" s="6" t="s">
        <v>74</v>
      </c>
      <c r="C3871" s="6" t="s">
        <v>43</v>
      </c>
      <c r="D3871" s="6" t="s">
        <v>8827</v>
      </c>
      <c r="E3871" s="6" t="s">
        <v>176</v>
      </c>
      <c r="F3871" s="6" t="s">
        <v>77</v>
      </c>
      <c r="G3871" s="7">
        <v>0.06</v>
      </c>
      <c r="H3871" s="6" t="s">
        <v>373</v>
      </c>
      <c r="I3871" s="6" t="s">
        <v>20</v>
      </c>
      <c r="J3871" s="6">
        <v>2015.0</v>
      </c>
      <c r="L3871" s="6">
        <v>7.0</v>
      </c>
      <c r="M3871" s="8">
        <f t="shared" si="4"/>
        <v>0.42</v>
      </c>
      <c r="P3871" s="9"/>
    </row>
    <row r="3872">
      <c r="A3872" s="6" t="s">
        <v>8828</v>
      </c>
      <c r="B3872" s="6" t="s">
        <v>74</v>
      </c>
      <c r="C3872" s="6" t="s">
        <v>43</v>
      </c>
      <c r="D3872" s="6" t="s">
        <v>8829</v>
      </c>
      <c r="E3872" s="6" t="s">
        <v>117</v>
      </c>
      <c r="F3872" s="6" t="s">
        <v>77</v>
      </c>
      <c r="G3872" s="7">
        <v>0.08</v>
      </c>
      <c r="H3872" s="6" t="s">
        <v>373</v>
      </c>
      <c r="I3872" s="6" t="s">
        <v>20</v>
      </c>
      <c r="J3872" s="6">
        <v>2015.0</v>
      </c>
      <c r="L3872" s="6">
        <v>8.0</v>
      </c>
      <c r="M3872" s="8">
        <f t="shared" si="4"/>
        <v>0.64</v>
      </c>
      <c r="P3872" s="9"/>
    </row>
    <row r="3873">
      <c r="A3873" s="6" t="s">
        <v>8830</v>
      </c>
      <c r="B3873" s="6" t="s">
        <v>74</v>
      </c>
      <c r="C3873" s="6" t="s">
        <v>43</v>
      </c>
      <c r="D3873" s="6" t="s">
        <v>7917</v>
      </c>
      <c r="E3873" s="6" t="s">
        <v>891</v>
      </c>
      <c r="F3873" s="6" t="s">
        <v>77</v>
      </c>
      <c r="G3873" s="7">
        <v>0.03</v>
      </c>
      <c r="H3873" s="6" t="s">
        <v>382</v>
      </c>
      <c r="I3873" s="6" t="s">
        <v>20</v>
      </c>
      <c r="J3873" s="6">
        <v>2020.0</v>
      </c>
      <c r="L3873" s="6">
        <v>2.0</v>
      </c>
      <c r="M3873" s="8">
        <f t="shared" si="4"/>
        <v>0.06</v>
      </c>
      <c r="P3873" s="9"/>
    </row>
    <row r="3874">
      <c r="A3874" s="6" t="s">
        <v>8831</v>
      </c>
      <c r="B3874" s="6" t="s">
        <v>74</v>
      </c>
      <c r="C3874" s="6" t="s">
        <v>43</v>
      </c>
      <c r="D3874" s="6" t="s">
        <v>8832</v>
      </c>
      <c r="E3874" s="6" t="s">
        <v>82</v>
      </c>
      <c r="F3874" s="6" t="s">
        <v>77</v>
      </c>
      <c r="G3874" s="7">
        <v>0.06</v>
      </c>
      <c r="H3874" s="6" t="s">
        <v>373</v>
      </c>
      <c r="I3874" s="6" t="s">
        <v>20</v>
      </c>
      <c r="J3874" s="6">
        <v>2015.0</v>
      </c>
      <c r="L3874" s="6">
        <v>8.0</v>
      </c>
      <c r="M3874" s="8">
        <f t="shared" si="4"/>
        <v>0.48</v>
      </c>
      <c r="P3874" s="9"/>
    </row>
    <row r="3875">
      <c r="A3875" s="6" t="s">
        <v>8833</v>
      </c>
      <c r="B3875" s="6" t="s">
        <v>494</v>
      </c>
      <c r="C3875" s="6" t="s">
        <v>37</v>
      </c>
      <c r="D3875" s="6" t="s">
        <v>8834</v>
      </c>
      <c r="E3875" s="6" t="s">
        <v>76</v>
      </c>
      <c r="F3875" s="6" t="s">
        <v>77</v>
      </c>
      <c r="G3875" s="7">
        <v>0.14</v>
      </c>
      <c r="H3875" s="6" t="s">
        <v>407</v>
      </c>
      <c r="I3875" s="6" t="s">
        <v>20</v>
      </c>
      <c r="J3875" s="6">
        <v>2016.0</v>
      </c>
      <c r="L3875" s="6">
        <v>1.0</v>
      </c>
      <c r="M3875" s="8">
        <f t="shared" si="4"/>
        <v>0.14</v>
      </c>
      <c r="P3875" s="9"/>
    </row>
    <row r="3876">
      <c r="A3876" s="6" t="s">
        <v>2276</v>
      </c>
      <c r="B3876" s="6" t="s">
        <v>2277</v>
      </c>
      <c r="C3876" s="6" t="s">
        <v>30</v>
      </c>
      <c r="D3876" s="6" t="s">
        <v>2278</v>
      </c>
      <c r="E3876" s="6" t="s">
        <v>891</v>
      </c>
      <c r="F3876" s="6" t="s">
        <v>77</v>
      </c>
      <c r="G3876" s="7">
        <v>0.8</v>
      </c>
      <c r="H3876" s="6" t="s">
        <v>2279</v>
      </c>
      <c r="I3876" s="6" t="s">
        <v>20</v>
      </c>
      <c r="J3876" s="6">
        <v>2015.0</v>
      </c>
      <c r="K3876" s="10">
        <v>46177.0</v>
      </c>
      <c r="L3876" s="6">
        <v>1.0</v>
      </c>
      <c r="M3876" s="8">
        <f t="shared" si="4"/>
        <v>0.8</v>
      </c>
      <c r="P3876" s="9"/>
    </row>
    <row r="3877">
      <c r="A3877" s="6" t="s">
        <v>8835</v>
      </c>
      <c r="B3877" s="6" t="s">
        <v>494</v>
      </c>
      <c r="C3877" s="6" t="s">
        <v>43</v>
      </c>
      <c r="D3877" s="6" t="s">
        <v>8836</v>
      </c>
      <c r="E3877" s="6" t="s">
        <v>117</v>
      </c>
      <c r="F3877" s="6" t="s">
        <v>77</v>
      </c>
      <c r="G3877" s="7">
        <v>0.03</v>
      </c>
      <c r="H3877" s="6" t="s">
        <v>382</v>
      </c>
      <c r="I3877" s="6" t="s">
        <v>20</v>
      </c>
      <c r="J3877" s="6">
        <v>2020.0</v>
      </c>
      <c r="L3877" s="6">
        <v>1.0</v>
      </c>
      <c r="M3877" s="8">
        <f t="shared" si="4"/>
        <v>0.03</v>
      </c>
      <c r="P3877" s="9"/>
    </row>
    <row r="3878">
      <c r="A3878" s="6" t="s">
        <v>4511</v>
      </c>
      <c r="B3878" s="6" t="s">
        <v>4512</v>
      </c>
      <c r="C3878" s="6" t="s">
        <v>30</v>
      </c>
      <c r="D3878" s="6" t="s">
        <v>4513</v>
      </c>
      <c r="E3878" s="6" t="s">
        <v>1820</v>
      </c>
      <c r="F3878" s="6" t="s">
        <v>77</v>
      </c>
      <c r="G3878" s="7">
        <v>0.3</v>
      </c>
      <c r="H3878" s="6" t="s">
        <v>144</v>
      </c>
      <c r="I3878" s="6" t="s">
        <v>20</v>
      </c>
      <c r="J3878" s="6">
        <v>2018.0</v>
      </c>
      <c r="L3878" s="6">
        <v>1.0</v>
      </c>
      <c r="M3878" s="8">
        <f t="shared" si="4"/>
        <v>0.3</v>
      </c>
      <c r="P3878" s="9"/>
    </row>
    <row r="3879">
      <c r="A3879" s="6" t="s">
        <v>8837</v>
      </c>
      <c r="B3879" s="6" t="s">
        <v>494</v>
      </c>
      <c r="C3879" s="6" t="s">
        <v>43</v>
      </c>
      <c r="D3879" s="6" t="s">
        <v>8838</v>
      </c>
      <c r="E3879" s="6" t="s">
        <v>76</v>
      </c>
      <c r="F3879" s="6" t="s">
        <v>77</v>
      </c>
      <c r="G3879" s="7">
        <v>0.05</v>
      </c>
      <c r="H3879" s="6" t="s">
        <v>373</v>
      </c>
      <c r="I3879" s="6" t="s">
        <v>20</v>
      </c>
      <c r="J3879" s="6">
        <v>2015.0</v>
      </c>
      <c r="L3879" s="6">
        <v>3.0</v>
      </c>
      <c r="M3879" s="8">
        <f t="shared" si="4"/>
        <v>0.15</v>
      </c>
      <c r="P3879" s="9"/>
    </row>
    <row r="3880">
      <c r="A3880" s="6" t="s">
        <v>8839</v>
      </c>
      <c r="B3880" s="6" t="s">
        <v>146</v>
      </c>
      <c r="C3880" s="6" t="s">
        <v>43</v>
      </c>
      <c r="D3880" s="6" t="s">
        <v>8840</v>
      </c>
      <c r="E3880" s="6" t="s">
        <v>117</v>
      </c>
      <c r="F3880" s="6" t="s">
        <v>77</v>
      </c>
      <c r="G3880" s="7">
        <v>0.13</v>
      </c>
      <c r="H3880" s="6" t="s">
        <v>382</v>
      </c>
      <c r="I3880" s="6" t="s">
        <v>20</v>
      </c>
      <c r="J3880" s="6">
        <v>2020.0</v>
      </c>
      <c r="L3880" s="6">
        <v>4.0</v>
      </c>
      <c r="M3880" s="8">
        <f t="shared" si="4"/>
        <v>0.52</v>
      </c>
      <c r="P3880" s="9"/>
    </row>
    <row r="3881">
      <c r="A3881" s="6" t="s">
        <v>8841</v>
      </c>
      <c r="B3881" s="6" t="s">
        <v>494</v>
      </c>
      <c r="C3881" s="6" t="s">
        <v>43</v>
      </c>
      <c r="D3881" s="6" t="s">
        <v>8842</v>
      </c>
      <c r="E3881" s="6" t="s">
        <v>76</v>
      </c>
      <c r="F3881" s="6" t="s">
        <v>77</v>
      </c>
      <c r="G3881" s="7">
        <v>0.03</v>
      </c>
      <c r="H3881" s="6" t="s">
        <v>382</v>
      </c>
      <c r="I3881" s="6" t="s">
        <v>20</v>
      </c>
      <c r="J3881" s="6">
        <v>2020.0</v>
      </c>
      <c r="L3881" s="6">
        <v>2.0</v>
      </c>
      <c r="M3881" s="8">
        <f t="shared" si="4"/>
        <v>0.06</v>
      </c>
      <c r="P3881" s="9"/>
    </row>
    <row r="3882">
      <c r="A3882" s="6" t="s">
        <v>8843</v>
      </c>
      <c r="B3882" s="6" t="s">
        <v>494</v>
      </c>
      <c r="C3882" s="6" t="s">
        <v>43</v>
      </c>
      <c r="D3882" s="6" t="s">
        <v>8844</v>
      </c>
      <c r="E3882" s="6" t="s">
        <v>248</v>
      </c>
      <c r="F3882" s="6" t="s">
        <v>77</v>
      </c>
      <c r="G3882" s="7">
        <v>0.03</v>
      </c>
      <c r="H3882" s="6" t="s">
        <v>382</v>
      </c>
      <c r="I3882" s="6" t="s">
        <v>20</v>
      </c>
      <c r="J3882" s="6">
        <v>2020.0</v>
      </c>
      <c r="L3882" s="6">
        <v>3.0</v>
      </c>
      <c r="M3882" s="8">
        <f t="shared" si="4"/>
        <v>0.09</v>
      </c>
      <c r="P3882" s="9"/>
    </row>
    <row r="3883">
      <c r="A3883" s="6" t="s">
        <v>8845</v>
      </c>
      <c r="B3883" s="6" t="s">
        <v>494</v>
      </c>
      <c r="C3883" s="6" t="s">
        <v>43</v>
      </c>
      <c r="D3883" s="6" t="s">
        <v>8846</v>
      </c>
      <c r="E3883" s="6" t="s">
        <v>248</v>
      </c>
      <c r="F3883" s="6" t="s">
        <v>77</v>
      </c>
      <c r="G3883" s="7">
        <v>0.03</v>
      </c>
      <c r="H3883" s="6" t="s">
        <v>373</v>
      </c>
      <c r="I3883" s="6" t="s">
        <v>20</v>
      </c>
      <c r="J3883" s="6">
        <v>2015.0</v>
      </c>
      <c r="L3883" s="6">
        <v>4.0</v>
      </c>
      <c r="M3883" s="8">
        <f t="shared" si="4"/>
        <v>0.12</v>
      </c>
      <c r="P3883" s="9"/>
    </row>
    <row r="3884">
      <c r="A3884" s="6" t="s">
        <v>8847</v>
      </c>
      <c r="B3884" s="6" t="s">
        <v>504</v>
      </c>
      <c r="C3884" s="6" t="s">
        <v>43</v>
      </c>
      <c r="D3884" s="6" t="s">
        <v>8848</v>
      </c>
      <c r="E3884" s="6" t="s">
        <v>1093</v>
      </c>
      <c r="F3884" s="6" t="s">
        <v>77</v>
      </c>
      <c r="G3884" s="7">
        <v>0.03</v>
      </c>
      <c r="H3884" s="6" t="s">
        <v>382</v>
      </c>
      <c r="I3884" s="6" t="s">
        <v>20</v>
      </c>
      <c r="J3884" s="6">
        <v>2020.0</v>
      </c>
      <c r="K3884" s="10">
        <v>46056.0</v>
      </c>
      <c r="L3884" s="6">
        <v>3.0</v>
      </c>
      <c r="M3884" s="8">
        <f t="shared" si="4"/>
        <v>0.09</v>
      </c>
      <c r="P3884" s="9"/>
    </row>
    <row r="3885">
      <c r="A3885" s="6" t="s">
        <v>8849</v>
      </c>
      <c r="B3885" s="6" t="s">
        <v>5189</v>
      </c>
      <c r="C3885" s="6" t="s">
        <v>43</v>
      </c>
      <c r="D3885" s="6" t="s">
        <v>8850</v>
      </c>
      <c r="E3885" s="6" t="s">
        <v>176</v>
      </c>
      <c r="F3885" s="6" t="s">
        <v>77</v>
      </c>
      <c r="G3885" s="7">
        <v>0.03</v>
      </c>
      <c r="H3885" s="6" t="s">
        <v>382</v>
      </c>
      <c r="I3885" s="6" t="s">
        <v>20</v>
      </c>
      <c r="J3885" s="6">
        <v>2020.0</v>
      </c>
      <c r="K3885" s="10">
        <v>46084.0</v>
      </c>
      <c r="L3885" s="6">
        <v>3.0</v>
      </c>
      <c r="M3885" s="8">
        <f t="shared" si="4"/>
        <v>0.09</v>
      </c>
      <c r="P3885" s="9"/>
    </row>
    <row r="3886">
      <c r="A3886" s="6" t="s">
        <v>8851</v>
      </c>
      <c r="B3886" s="6" t="s">
        <v>6293</v>
      </c>
      <c r="C3886" s="6" t="s">
        <v>43</v>
      </c>
      <c r="D3886" s="6" t="s">
        <v>8852</v>
      </c>
      <c r="E3886" s="6" t="s">
        <v>176</v>
      </c>
      <c r="F3886" s="6" t="s">
        <v>77</v>
      </c>
      <c r="G3886" s="7">
        <v>0.03</v>
      </c>
      <c r="H3886" s="6" t="s">
        <v>531</v>
      </c>
      <c r="I3886" s="6" t="s">
        <v>20</v>
      </c>
      <c r="J3886" s="6">
        <v>2017.0</v>
      </c>
      <c r="K3886" s="10">
        <v>46055.0</v>
      </c>
      <c r="L3886" s="6">
        <v>2.0</v>
      </c>
      <c r="M3886" s="8">
        <f t="shared" si="4"/>
        <v>0.06</v>
      </c>
      <c r="P3886" s="9"/>
    </row>
    <row r="3887">
      <c r="A3887" s="6" t="s">
        <v>8853</v>
      </c>
      <c r="B3887" s="6" t="s">
        <v>2192</v>
      </c>
      <c r="C3887" s="6" t="s">
        <v>43</v>
      </c>
      <c r="D3887" s="6" t="s">
        <v>8854</v>
      </c>
      <c r="E3887" s="6" t="s">
        <v>117</v>
      </c>
      <c r="F3887" s="6" t="s">
        <v>77</v>
      </c>
      <c r="G3887" s="7">
        <v>0.03</v>
      </c>
      <c r="H3887" s="6" t="s">
        <v>531</v>
      </c>
      <c r="I3887" s="6" t="s">
        <v>20</v>
      </c>
      <c r="J3887" s="6">
        <v>2017.0</v>
      </c>
      <c r="K3887" s="10">
        <v>46023.0</v>
      </c>
      <c r="L3887" s="6">
        <v>1.0</v>
      </c>
      <c r="M3887" s="8">
        <f t="shared" si="4"/>
        <v>0.03</v>
      </c>
      <c r="P3887" s="9"/>
    </row>
    <row r="3888">
      <c r="A3888" s="6" t="s">
        <v>8855</v>
      </c>
      <c r="B3888" s="6" t="s">
        <v>8856</v>
      </c>
      <c r="C3888" s="6" t="s">
        <v>43</v>
      </c>
      <c r="D3888" s="6" t="s">
        <v>8857</v>
      </c>
      <c r="E3888" s="6" t="s">
        <v>176</v>
      </c>
      <c r="F3888" s="6" t="s">
        <v>77</v>
      </c>
      <c r="G3888" s="7">
        <v>0.03</v>
      </c>
      <c r="H3888" s="6" t="s">
        <v>1776</v>
      </c>
      <c r="I3888" s="6" t="s">
        <v>20</v>
      </c>
      <c r="J3888" s="6">
        <v>2017.0</v>
      </c>
      <c r="K3888" s="10">
        <v>46055.0</v>
      </c>
      <c r="L3888" s="6">
        <v>1.0</v>
      </c>
      <c r="M3888" s="8">
        <f t="shared" si="4"/>
        <v>0.03</v>
      </c>
      <c r="P3888" s="9"/>
    </row>
    <row r="3889">
      <c r="A3889" s="6" t="s">
        <v>8858</v>
      </c>
      <c r="B3889" s="6" t="s">
        <v>1214</v>
      </c>
      <c r="C3889" s="6" t="s">
        <v>43</v>
      </c>
      <c r="D3889" s="6" t="s">
        <v>8859</v>
      </c>
      <c r="E3889" s="6" t="s">
        <v>176</v>
      </c>
      <c r="F3889" s="6" t="s">
        <v>77</v>
      </c>
      <c r="G3889" s="7">
        <v>0.03</v>
      </c>
      <c r="H3889" s="6" t="s">
        <v>1076</v>
      </c>
      <c r="I3889" s="6" t="s">
        <v>20</v>
      </c>
      <c r="J3889" s="6">
        <v>2018.0</v>
      </c>
      <c r="K3889" s="10">
        <v>46084.0</v>
      </c>
      <c r="L3889" s="6">
        <v>1.0</v>
      </c>
      <c r="M3889" s="8">
        <f t="shared" si="4"/>
        <v>0.03</v>
      </c>
      <c r="P3889" s="9"/>
    </row>
    <row r="3890">
      <c r="A3890" s="6" t="s">
        <v>8860</v>
      </c>
      <c r="B3890" s="6" t="s">
        <v>2192</v>
      </c>
      <c r="C3890" s="6" t="s">
        <v>43</v>
      </c>
      <c r="D3890" s="6" t="s">
        <v>8861</v>
      </c>
      <c r="E3890" s="6" t="s">
        <v>248</v>
      </c>
      <c r="F3890" s="6" t="s">
        <v>77</v>
      </c>
      <c r="G3890" s="7">
        <v>0.09</v>
      </c>
      <c r="H3890" s="6" t="s">
        <v>415</v>
      </c>
      <c r="I3890" s="6" t="s">
        <v>20</v>
      </c>
      <c r="J3890" s="6">
        <v>2016.0</v>
      </c>
      <c r="K3890" s="10">
        <v>46114.0</v>
      </c>
      <c r="L3890" s="6">
        <v>1.0</v>
      </c>
      <c r="M3890" s="8">
        <f t="shared" si="4"/>
        <v>0.09</v>
      </c>
      <c r="P3890" s="9"/>
    </row>
    <row r="3891">
      <c r="A3891" s="6" t="s">
        <v>8862</v>
      </c>
      <c r="B3891" s="6" t="s">
        <v>1875</v>
      </c>
      <c r="C3891" s="6" t="s">
        <v>43</v>
      </c>
      <c r="D3891" s="6" t="s">
        <v>8863</v>
      </c>
      <c r="E3891" s="6" t="s">
        <v>891</v>
      </c>
      <c r="F3891" s="6" t="s">
        <v>77</v>
      </c>
      <c r="G3891" s="7">
        <v>0.03</v>
      </c>
      <c r="H3891" s="6" t="s">
        <v>431</v>
      </c>
      <c r="I3891" s="6" t="s">
        <v>20</v>
      </c>
      <c r="J3891" s="6">
        <v>2019.0</v>
      </c>
      <c r="K3891" s="10">
        <v>46056.0</v>
      </c>
      <c r="L3891" s="6">
        <v>1.0</v>
      </c>
      <c r="M3891" s="8">
        <f t="shared" si="4"/>
        <v>0.03</v>
      </c>
      <c r="P3891" s="9"/>
    </row>
    <row r="3892">
      <c r="A3892" s="6" t="s">
        <v>8864</v>
      </c>
      <c r="B3892" s="6" t="s">
        <v>504</v>
      </c>
      <c r="C3892" s="6" t="s">
        <v>43</v>
      </c>
      <c r="D3892" s="6" t="s">
        <v>4381</v>
      </c>
      <c r="E3892" s="6" t="s">
        <v>176</v>
      </c>
      <c r="F3892" s="6" t="s">
        <v>77</v>
      </c>
      <c r="G3892" s="7">
        <v>0.03</v>
      </c>
      <c r="H3892" s="6" t="s">
        <v>431</v>
      </c>
      <c r="I3892" s="6" t="s">
        <v>20</v>
      </c>
      <c r="J3892" s="6">
        <v>2019.0</v>
      </c>
      <c r="K3892" s="10">
        <v>46055.0</v>
      </c>
      <c r="L3892" s="6">
        <v>1.0</v>
      </c>
      <c r="M3892" s="8">
        <f t="shared" si="4"/>
        <v>0.03</v>
      </c>
      <c r="P3892" s="9"/>
    </row>
    <row r="3893">
      <c r="A3893" s="6" t="s">
        <v>8865</v>
      </c>
      <c r="B3893" s="6" t="s">
        <v>7891</v>
      </c>
      <c r="C3893" s="6" t="s">
        <v>43</v>
      </c>
      <c r="D3893" s="6" t="s">
        <v>8866</v>
      </c>
      <c r="E3893" s="6" t="s">
        <v>117</v>
      </c>
      <c r="F3893" s="6" t="s">
        <v>77</v>
      </c>
      <c r="G3893" s="7">
        <v>0.03</v>
      </c>
      <c r="H3893" s="6" t="s">
        <v>1344</v>
      </c>
      <c r="I3893" s="6" t="s">
        <v>20</v>
      </c>
      <c r="J3893" s="6">
        <v>2018.0</v>
      </c>
      <c r="K3893" s="6" t="s">
        <v>1924</v>
      </c>
      <c r="L3893" s="6">
        <v>1.0</v>
      </c>
      <c r="M3893" s="8">
        <f t="shared" si="4"/>
        <v>0.03</v>
      </c>
      <c r="P3893" s="9"/>
    </row>
    <row r="3894">
      <c r="A3894" s="6" t="s">
        <v>8867</v>
      </c>
      <c r="B3894" s="6" t="s">
        <v>8868</v>
      </c>
      <c r="C3894" s="6" t="s">
        <v>43</v>
      </c>
      <c r="D3894" s="6" t="s">
        <v>8869</v>
      </c>
      <c r="E3894" s="6" t="s">
        <v>76</v>
      </c>
      <c r="F3894" s="6" t="s">
        <v>77</v>
      </c>
      <c r="G3894" s="7">
        <v>0.09</v>
      </c>
      <c r="H3894" s="6" t="s">
        <v>460</v>
      </c>
      <c r="I3894" s="6" t="s">
        <v>20</v>
      </c>
      <c r="J3894" s="6">
        <v>2015.0</v>
      </c>
      <c r="K3894" s="10">
        <v>46054.0</v>
      </c>
      <c r="L3894" s="6">
        <v>1.0</v>
      </c>
      <c r="M3894" s="8">
        <f t="shared" si="4"/>
        <v>0.09</v>
      </c>
      <c r="P3894" s="9"/>
    </row>
    <row r="3895">
      <c r="A3895" s="6" t="s">
        <v>8870</v>
      </c>
      <c r="B3895" s="6" t="s">
        <v>2329</v>
      </c>
      <c r="C3895" s="6" t="s">
        <v>43</v>
      </c>
      <c r="D3895" s="6" t="s">
        <v>8871</v>
      </c>
      <c r="E3895" s="6" t="s">
        <v>117</v>
      </c>
      <c r="F3895" s="6" t="s">
        <v>77</v>
      </c>
      <c r="G3895" s="7">
        <v>0.03</v>
      </c>
      <c r="H3895" s="6" t="s">
        <v>431</v>
      </c>
      <c r="I3895" s="6" t="s">
        <v>20</v>
      </c>
      <c r="J3895" s="6">
        <v>2019.0</v>
      </c>
      <c r="K3895" s="10">
        <v>46023.0</v>
      </c>
      <c r="L3895" s="6">
        <v>1.0</v>
      </c>
      <c r="M3895" s="8">
        <f t="shared" si="4"/>
        <v>0.03</v>
      </c>
      <c r="P3895" s="9"/>
    </row>
    <row r="3896">
      <c r="A3896" s="6" t="s">
        <v>8872</v>
      </c>
      <c r="B3896" s="6" t="s">
        <v>8873</v>
      </c>
      <c r="C3896" s="6" t="s">
        <v>43</v>
      </c>
      <c r="D3896" s="6" t="s">
        <v>8874</v>
      </c>
      <c r="E3896" s="6" t="s">
        <v>891</v>
      </c>
      <c r="F3896" s="6" t="s">
        <v>77</v>
      </c>
      <c r="G3896" s="7">
        <v>0.06</v>
      </c>
      <c r="H3896" s="6" t="s">
        <v>415</v>
      </c>
      <c r="I3896" s="6" t="s">
        <v>20</v>
      </c>
      <c r="J3896" s="6">
        <v>2016.0</v>
      </c>
      <c r="K3896" s="10">
        <v>46086.0</v>
      </c>
      <c r="L3896" s="6">
        <v>1.0</v>
      </c>
      <c r="M3896" s="8">
        <f t="shared" si="4"/>
        <v>0.06</v>
      </c>
      <c r="P3896" s="9"/>
    </row>
    <row r="3897">
      <c r="A3897" s="6" t="s">
        <v>8875</v>
      </c>
      <c r="B3897" s="6" t="s">
        <v>8876</v>
      </c>
      <c r="C3897" s="6" t="s">
        <v>43</v>
      </c>
      <c r="D3897" s="6" t="s">
        <v>1500</v>
      </c>
      <c r="E3897" s="6" t="s">
        <v>248</v>
      </c>
      <c r="F3897" s="6" t="s">
        <v>77</v>
      </c>
      <c r="G3897" s="7">
        <v>0.03</v>
      </c>
      <c r="H3897" s="6" t="s">
        <v>1076</v>
      </c>
      <c r="I3897" s="6" t="s">
        <v>20</v>
      </c>
      <c r="J3897" s="6">
        <v>2018.0</v>
      </c>
      <c r="K3897" s="10">
        <v>46025.0</v>
      </c>
      <c r="L3897" s="6">
        <v>1.0</v>
      </c>
      <c r="M3897" s="8">
        <f t="shared" si="4"/>
        <v>0.03</v>
      </c>
      <c r="P3897" s="9"/>
    </row>
    <row r="3898">
      <c r="A3898" s="6" t="s">
        <v>8877</v>
      </c>
      <c r="B3898" s="6" t="s">
        <v>3853</v>
      </c>
      <c r="C3898" s="6" t="s">
        <v>43</v>
      </c>
      <c r="D3898" s="6" t="s">
        <v>8878</v>
      </c>
      <c r="E3898" s="6" t="s">
        <v>176</v>
      </c>
      <c r="F3898" s="6" t="s">
        <v>77</v>
      </c>
      <c r="G3898" s="7">
        <v>0.05</v>
      </c>
      <c r="H3898" s="6" t="s">
        <v>373</v>
      </c>
      <c r="I3898" s="6" t="s">
        <v>20</v>
      </c>
      <c r="J3898" s="6">
        <v>2015.0</v>
      </c>
      <c r="K3898" s="10">
        <v>46055.0</v>
      </c>
      <c r="L3898" s="6">
        <v>4.0</v>
      </c>
      <c r="M3898" s="8">
        <f t="shared" si="4"/>
        <v>0.2</v>
      </c>
      <c r="P3898" s="9"/>
    </row>
    <row r="3899">
      <c r="A3899" s="6" t="s">
        <v>7138</v>
      </c>
      <c r="B3899" s="6" t="s">
        <v>1875</v>
      </c>
      <c r="C3899" s="6" t="s">
        <v>43</v>
      </c>
      <c r="D3899" s="6" t="s">
        <v>7139</v>
      </c>
      <c r="E3899" s="6" t="s">
        <v>76</v>
      </c>
      <c r="F3899" s="6" t="s">
        <v>77</v>
      </c>
      <c r="G3899" s="7">
        <v>0.03</v>
      </c>
      <c r="H3899" s="6" t="s">
        <v>382</v>
      </c>
      <c r="I3899" s="6" t="s">
        <v>20</v>
      </c>
      <c r="J3899" s="6">
        <v>2020.0</v>
      </c>
      <c r="K3899" s="10">
        <v>46055.0</v>
      </c>
      <c r="L3899" s="6">
        <v>1.0</v>
      </c>
      <c r="M3899" s="8">
        <f t="shared" si="4"/>
        <v>0.03</v>
      </c>
      <c r="P3899" s="9"/>
    </row>
    <row r="3900">
      <c r="A3900" s="6" t="s">
        <v>8879</v>
      </c>
      <c r="B3900" s="6" t="s">
        <v>3328</v>
      </c>
      <c r="C3900" s="6" t="s">
        <v>43</v>
      </c>
      <c r="D3900" s="6" t="s">
        <v>8880</v>
      </c>
      <c r="E3900" s="6" t="s">
        <v>176</v>
      </c>
      <c r="F3900" s="6" t="s">
        <v>77</v>
      </c>
      <c r="G3900" s="7">
        <v>0.06</v>
      </c>
      <c r="H3900" s="6" t="s">
        <v>373</v>
      </c>
      <c r="I3900" s="6" t="s">
        <v>20</v>
      </c>
      <c r="J3900" s="6">
        <v>2015.0</v>
      </c>
      <c r="K3900" s="10">
        <v>46025.0</v>
      </c>
      <c r="L3900" s="6">
        <v>4.0</v>
      </c>
      <c r="M3900" s="8">
        <f t="shared" si="4"/>
        <v>0.24</v>
      </c>
      <c r="P3900" s="9"/>
    </row>
    <row r="3901">
      <c r="A3901" s="6" t="s">
        <v>8881</v>
      </c>
      <c r="B3901" s="6" t="s">
        <v>2333</v>
      </c>
      <c r="C3901" s="6" t="s">
        <v>43</v>
      </c>
      <c r="D3901" s="6" t="s">
        <v>8882</v>
      </c>
      <c r="E3901" s="6" t="s">
        <v>76</v>
      </c>
      <c r="F3901" s="6" t="s">
        <v>77</v>
      </c>
      <c r="G3901" s="7">
        <v>0.06</v>
      </c>
      <c r="H3901" s="6" t="s">
        <v>382</v>
      </c>
      <c r="I3901" s="6" t="s">
        <v>20</v>
      </c>
      <c r="J3901" s="6">
        <v>2020.0</v>
      </c>
      <c r="K3901" s="10">
        <v>46082.0</v>
      </c>
      <c r="L3901" s="6">
        <v>2.0</v>
      </c>
      <c r="M3901" s="8">
        <f t="shared" si="4"/>
        <v>0.12</v>
      </c>
      <c r="P3901" s="9"/>
    </row>
    <row r="3902">
      <c r="A3902" s="6" t="s">
        <v>7356</v>
      </c>
      <c r="B3902" s="6" t="s">
        <v>7357</v>
      </c>
      <c r="C3902" s="6" t="s">
        <v>43</v>
      </c>
      <c r="D3902" s="6" t="s">
        <v>7358</v>
      </c>
      <c r="E3902" s="6" t="s">
        <v>1917</v>
      </c>
      <c r="F3902" s="6" t="s">
        <v>77</v>
      </c>
      <c r="G3902" s="7">
        <v>0.02</v>
      </c>
      <c r="H3902" s="6" t="s">
        <v>290</v>
      </c>
      <c r="I3902" s="6" t="s">
        <v>20</v>
      </c>
      <c r="J3902" s="6">
        <v>2019.0</v>
      </c>
      <c r="K3902" s="10">
        <v>46146.0</v>
      </c>
      <c r="L3902" s="6">
        <v>1.0</v>
      </c>
      <c r="M3902" s="8">
        <f t="shared" si="4"/>
        <v>0.02</v>
      </c>
      <c r="P3902" s="9"/>
    </row>
    <row r="3903">
      <c r="A3903" s="6" t="s">
        <v>8883</v>
      </c>
      <c r="B3903" s="6" t="s">
        <v>8433</v>
      </c>
      <c r="C3903" s="6" t="s">
        <v>43</v>
      </c>
      <c r="D3903" s="6" t="s">
        <v>4936</v>
      </c>
      <c r="E3903" s="6" t="s">
        <v>1917</v>
      </c>
      <c r="F3903" s="6" t="s">
        <v>77</v>
      </c>
      <c r="G3903" s="7">
        <v>0.03</v>
      </c>
      <c r="H3903" s="6" t="s">
        <v>431</v>
      </c>
      <c r="I3903" s="6" t="s">
        <v>20</v>
      </c>
      <c r="J3903" s="6">
        <v>2019.0</v>
      </c>
      <c r="K3903" s="10">
        <v>46086.0</v>
      </c>
      <c r="L3903" s="6">
        <v>1.0</v>
      </c>
      <c r="M3903" s="8">
        <f t="shared" si="4"/>
        <v>0.03</v>
      </c>
      <c r="P3903" s="9"/>
    </row>
    <row r="3904">
      <c r="A3904" s="6" t="s">
        <v>8884</v>
      </c>
      <c r="B3904" s="6" t="s">
        <v>1046</v>
      </c>
      <c r="C3904" s="6" t="s">
        <v>43</v>
      </c>
      <c r="D3904" s="6" t="s">
        <v>8885</v>
      </c>
      <c r="E3904" s="6" t="s">
        <v>76</v>
      </c>
      <c r="F3904" s="6" t="s">
        <v>77</v>
      </c>
      <c r="G3904" s="7">
        <v>0.03</v>
      </c>
      <c r="H3904" s="6" t="s">
        <v>373</v>
      </c>
      <c r="I3904" s="6" t="s">
        <v>20</v>
      </c>
      <c r="J3904" s="6">
        <v>2015.0</v>
      </c>
      <c r="K3904" s="10">
        <v>46054.0</v>
      </c>
      <c r="L3904" s="6">
        <v>11.0</v>
      </c>
      <c r="M3904" s="8">
        <f t="shared" si="4"/>
        <v>0.33</v>
      </c>
      <c r="P3904" s="9"/>
    </row>
    <row r="3905">
      <c r="A3905" s="6" t="s">
        <v>8884</v>
      </c>
      <c r="B3905" s="6" t="s">
        <v>1046</v>
      </c>
      <c r="C3905" s="6" t="s">
        <v>43</v>
      </c>
      <c r="D3905" s="6" t="s">
        <v>8885</v>
      </c>
      <c r="E3905" s="6" t="s">
        <v>76</v>
      </c>
      <c r="F3905" s="6" t="s">
        <v>77</v>
      </c>
      <c r="G3905" s="7">
        <v>0.5</v>
      </c>
      <c r="H3905" s="6" t="s">
        <v>373</v>
      </c>
      <c r="I3905" s="6" t="s">
        <v>45</v>
      </c>
      <c r="J3905" s="6">
        <v>2015.0</v>
      </c>
      <c r="K3905" s="10">
        <v>46054.0</v>
      </c>
      <c r="L3905" s="6">
        <v>1.0</v>
      </c>
      <c r="M3905" s="8">
        <f t="shared" si="4"/>
        <v>0.5</v>
      </c>
      <c r="P3905" s="9"/>
    </row>
    <row r="3906">
      <c r="A3906" s="6" t="s">
        <v>8886</v>
      </c>
      <c r="B3906" s="6" t="s">
        <v>861</v>
      </c>
      <c r="C3906" s="6" t="s">
        <v>43</v>
      </c>
      <c r="D3906" s="6" t="s">
        <v>8887</v>
      </c>
      <c r="E3906" s="6" t="s">
        <v>2052</v>
      </c>
      <c r="F3906" s="6" t="s">
        <v>77</v>
      </c>
      <c r="G3906" s="7">
        <v>0.15</v>
      </c>
      <c r="H3906" s="6" t="s">
        <v>1511</v>
      </c>
      <c r="I3906" s="6" t="s">
        <v>45</v>
      </c>
      <c r="J3906" s="6">
        <v>2014.0</v>
      </c>
      <c r="K3906" s="10">
        <v>46146.0</v>
      </c>
      <c r="L3906" s="6">
        <v>1.0</v>
      </c>
      <c r="M3906" s="8">
        <f t="shared" si="4"/>
        <v>0.15</v>
      </c>
      <c r="P3906" s="9"/>
    </row>
    <row r="3907">
      <c r="A3907" s="6" t="s">
        <v>8888</v>
      </c>
      <c r="B3907" s="6" t="s">
        <v>8889</v>
      </c>
      <c r="C3907" s="6" t="s">
        <v>43</v>
      </c>
      <c r="D3907" s="6" t="s">
        <v>8890</v>
      </c>
      <c r="E3907" s="6" t="s">
        <v>176</v>
      </c>
      <c r="F3907" s="6" t="s">
        <v>77</v>
      </c>
      <c r="G3907" s="7">
        <v>0.03</v>
      </c>
      <c r="H3907" s="6" t="s">
        <v>382</v>
      </c>
      <c r="I3907" s="6" t="s">
        <v>20</v>
      </c>
      <c r="J3907" s="6">
        <v>2020.0</v>
      </c>
      <c r="K3907" s="10">
        <v>46083.0</v>
      </c>
      <c r="L3907" s="6">
        <v>1.0</v>
      </c>
      <c r="M3907" s="8">
        <f t="shared" si="4"/>
        <v>0.03</v>
      </c>
      <c r="P3907" s="9"/>
    </row>
    <row r="3908">
      <c r="A3908" s="6" t="s">
        <v>1425</v>
      </c>
      <c r="B3908" s="6" t="s">
        <v>1426</v>
      </c>
      <c r="C3908" s="6" t="s">
        <v>43</v>
      </c>
      <c r="E3908" s="6" t="s">
        <v>891</v>
      </c>
      <c r="F3908" s="6" t="s">
        <v>77</v>
      </c>
      <c r="G3908" s="7">
        <v>0.05</v>
      </c>
      <c r="H3908" s="6" t="s">
        <v>373</v>
      </c>
      <c r="I3908" s="6" t="s">
        <v>20</v>
      </c>
      <c r="J3908" s="6">
        <v>2015.0</v>
      </c>
      <c r="K3908" s="10">
        <v>46175.0</v>
      </c>
      <c r="L3908" s="6">
        <v>3.0</v>
      </c>
      <c r="M3908" s="8">
        <f t="shared" si="4"/>
        <v>0.15</v>
      </c>
      <c r="P3908" s="9"/>
    </row>
    <row r="3909">
      <c r="A3909" s="6" t="s">
        <v>8891</v>
      </c>
      <c r="B3909" s="6" t="s">
        <v>2192</v>
      </c>
      <c r="C3909" s="6" t="s">
        <v>43</v>
      </c>
      <c r="D3909" s="6" t="s">
        <v>8892</v>
      </c>
      <c r="E3909" s="6" t="s">
        <v>76</v>
      </c>
      <c r="F3909" s="6" t="s">
        <v>77</v>
      </c>
      <c r="G3909" s="7">
        <v>0.06</v>
      </c>
      <c r="H3909" s="6" t="s">
        <v>373</v>
      </c>
      <c r="I3909" s="6" t="s">
        <v>20</v>
      </c>
      <c r="J3909" s="6">
        <v>2015.0</v>
      </c>
      <c r="K3909" s="10">
        <v>46083.0</v>
      </c>
      <c r="L3909" s="6">
        <v>2.0</v>
      </c>
      <c r="M3909" s="8">
        <f t="shared" si="4"/>
        <v>0.12</v>
      </c>
      <c r="P3909" s="9"/>
    </row>
    <row r="3910">
      <c r="A3910" s="6" t="s">
        <v>8893</v>
      </c>
      <c r="B3910" s="6" t="s">
        <v>4639</v>
      </c>
      <c r="C3910" s="6" t="s">
        <v>43</v>
      </c>
      <c r="D3910" s="6" t="s">
        <v>8894</v>
      </c>
      <c r="E3910" s="6" t="s">
        <v>117</v>
      </c>
      <c r="F3910" s="6" t="s">
        <v>77</v>
      </c>
      <c r="G3910" s="7">
        <v>0.08</v>
      </c>
      <c r="H3910" s="6" t="s">
        <v>373</v>
      </c>
      <c r="I3910" s="6" t="s">
        <v>20</v>
      </c>
      <c r="J3910" s="6">
        <v>2015.0</v>
      </c>
      <c r="K3910" s="10">
        <v>46054.0</v>
      </c>
      <c r="L3910" s="6">
        <v>1.0</v>
      </c>
      <c r="M3910" s="8">
        <f t="shared" si="4"/>
        <v>0.08</v>
      </c>
      <c r="P3910" s="9"/>
    </row>
    <row r="3911">
      <c r="A3911" s="6" t="s">
        <v>8895</v>
      </c>
      <c r="B3911" s="6" t="s">
        <v>2192</v>
      </c>
      <c r="C3911" s="6" t="s">
        <v>43</v>
      </c>
      <c r="D3911" s="6" t="s">
        <v>8896</v>
      </c>
      <c r="E3911" s="6" t="s">
        <v>248</v>
      </c>
      <c r="F3911" s="6" t="s">
        <v>77</v>
      </c>
      <c r="G3911" s="7">
        <v>0.06</v>
      </c>
      <c r="H3911" s="6" t="s">
        <v>373</v>
      </c>
      <c r="I3911" s="6" t="s">
        <v>20</v>
      </c>
      <c r="J3911" s="6">
        <v>2015.0</v>
      </c>
      <c r="K3911" s="10">
        <v>46056.0</v>
      </c>
      <c r="L3911" s="6">
        <v>4.0</v>
      </c>
      <c r="M3911" s="8">
        <f t="shared" si="4"/>
        <v>0.24</v>
      </c>
      <c r="P3911" s="9"/>
    </row>
    <row r="3912">
      <c r="A3912" s="6" t="s">
        <v>8897</v>
      </c>
      <c r="B3912" s="6" t="s">
        <v>8898</v>
      </c>
      <c r="C3912" s="6" t="s">
        <v>43</v>
      </c>
      <c r="D3912" s="6" t="s">
        <v>8899</v>
      </c>
      <c r="E3912" s="6" t="s">
        <v>176</v>
      </c>
      <c r="F3912" s="6" t="s">
        <v>77</v>
      </c>
      <c r="G3912" s="7">
        <v>0.03</v>
      </c>
      <c r="H3912" s="6" t="s">
        <v>373</v>
      </c>
      <c r="I3912" s="6" t="s">
        <v>20</v>
      </c>
      <c r="J3912" s="6">
        <v>2015.0</v>
      </c>
      <c r="K3912" s="10">
        <v>46055.0</v>
      </c>
      <c r="L3912" s="6">
        <v>2.0</v>
      </c>
      <c r="M3912" s="8">
        <f t="shared" si="4"/>
        <v>0.06</v>
      </c>
      <c r="P3912" s="9"/>
    </row>
    <row r="3913">
      <c r="A3913" s="6" t="s">
        <v>8900</v>
      </c>
      <c r="B3913" s="6" t="s">
        <v>8901</v>
      </c>
      <c r="C3913" s="6" t="s">
        <v>43</v>
      </c>
      <c r="D3913" s="6" t="s">
        <v>8902</v>
      </c>
      <c r="E3913" s="6" t="s">
        <v>248</v>
      </c>
      <c r="F3913" s="6" t="s">
        <v>77</v>
      </c>
      <c r="G3913" s="7">
        <v>0.06</v>
      </c>
      <c r="H3913" s="6" t="s">
        <v>373</v>
      </c>
      <c r="I3913" s="6" t="s">
        <v>20</v>
      </c>
      <c r="J3913" s="6">
        <v>2015.0</v>
      </c>
      <c r="K3913" s="10">
        <v>46114.0</v>
      </c>
      <c r="L3913" s="6">
        <v>4.0</v>
      </c>
      <c r="M3913" s="8">
        <f t="shared" si="4"/>
        <v>0.24</v>
      </c>
      <c r="P3913" s="9"/>
    </row>
    <row r="3914">
      <c r="A3914" s="6" t="s">
        <v>8903</v>
      </c>
      <c r="B3914" s="6" t="s">
        <v>8246</v>
      </c>
      <c r="C3914" s="6" t="s">
        <v>43</v>
      </c>
      <c r="E3914" s="6" t="s">
        <v>891</v>
      </c>
      <c r="F3914" s="6" t="s">
        <v>77</v>
      </c>
      <c r="G3914" s="7">
        <v>0.03</v>
      </c>
      <c r="H3914" s="6" t="s">
        <v>431</v>
      </c>
      <c r="I3914" s="6" t="s">
        <v>20</v>
      </c>
      <c r="J3914" s="6">
        <v>2019.0</v>
      </c>
      <c r="K3914" s="10">
        <v>46206.0</v>
      </c>
      <c r="L3914" s="6">
        <v>2.0</v>
      </c>
      <c r="M3914" s="8">
        <f t="shared" si="4"/>
        <v>0.06</v>
      </c>
      <c r="P3914" s="9"/>
    </row>
    <row r="3915">
      <c r="A3915" s="6" t="s">
        <v>8904</v>
      </c>
      <c r="B3915" s="6" t="s">
        <v>1046</v>
      </c>
      <c r="C3915" s="6" t="s">
        <v>43</v>
      </c>
      <c r="D3915" s="6" t="s">
        <v>8905</v>
      </c>
      <c r="E3915" s="6" t="s">
        <v>248</v>
      </c>
      <c r="F3915" s="6" t="s">
        <v>77</v>
      </c>
      <c r="G3915" s="7">
        <v>0.03</v>
      </c>
      <c r="H3915" s="6" t="s">
        <v>431</v>
      </c>
      <c r="I3915" s="6" t="s">
        <v>20</v>
      </c>
      <c r="J3915" s="6">
        <v>2019.0</v>
      </c>
      <c r="K3915" s="10">
        <v>46083.0</v>
      </c>
      <c r="L3915" s="6">
        <v>2.0</v>
      </c>
      <c r="M3915" s="8">
        <f t="shared" si="4"/>
        <v>0.06</v>
      </c>
      <c r="P3915" s="9"/>
    </row>
    <row r="3916">
      <c r="A3916" s="6" t="s">
        <v>8906</v>
      </c>
      <c r="B3916" s="6" t="s">
        <v>8907</v>
      </c>
      <c r="C3916" s="6" t="s">
        <v>43</v>
      </c>
      <c r="D3916" s="6" t="s">
        <v>8908</v>
      </c>
      <c r="E3916" s="6" t="s">
        <v>891</v>
      </c>
      <c r="F3916" s="6" t="s">
        <v>77</v>
      </c>
      <c r="G3916" s="7">
        <v>0.03</v>
      </c>
      <c r="H3916" s="6" t="s">
        <v>382</v>
      </c>
      <c r="I3916" s="6" t="s">
        <v>20</v>
      </c>
      <c r="J3916" s="6">
        <v>2020.0</v>
      </c>
      <c r="K3916" s="10">
        <v>46117.0</v>
      </c>
      <c r="L3916" s="6">
        <v>2.0</v>
      </c>
      <c r="M3916" s="8">
        <f t="shared" si="4"/>
        <v>0.06</v>
      </c>
      <c r="P3916" s="9"/>
    </row>
    <row r="3917">
      <c r="A3917" s="6" t="s">
        <v>1918</v>
      </c>
      <c r="B3917" s="6" t="s">
        <v>1919</v>
      </c>
      <c r="C3917" s="6" t="s">
        <v>30</v>
      </c>
      <c r="D3917" s="6" t="s">
        <v>1920</v>
      </c>
      <c r="E3917" s="6" t="s">
        <v>117</v>
      </c>
      <c r="F3917" s="6" t="s">
        <v>77</v>
      </c>
      <c r="G3917" s="7">
        <v>0.3</v>
      </c>
      <c r="H3917" s="6" t="s">
        <v>1392</v>
      </c>
      <c r="I3917" s="6" t="s">
        <v>20</v>
      </c>
      <c r="J3917" s="6">
        <v>2014.0</v>
      </c>
      <c r="K3917" s="10">
        <v>46023.0</v>
      </c>
      <c r="L3917" s="6">
        <v>1.0</v>
      </c>
      <c r="M3917" s="8">
        <f t="shared" si="4"/>
        <v>0.3</v>
      </c>
      <c r="P3917" s="9"/>
    </row>
    <row r="3918">
      <c r="A3918" s="6" t="s">
        <v>8909</v>
      </c>
      <c r="B3918" s="6" t="s">
        <v>988</v>
      </c>
      <c r="C3918" s="6" t="s">
        <v>37</v>
      </c>
      <c r="D3918" s="6" t="s">
        <v>8910</v>
      </c>
      <c r="E3918" s="6" t="s">
        <v>117</v>
      </c>
      <c r="F3918" s="6" t="s">
        <v>77</v>
      </c>
      <c r="G3918" s="7">
        <v>0.05</v>
      </c>
      <c r="H3918" s="6" t="s">
        <v>407</v>
      </c>
      <c r="I3918" s="6" t="s">
        <v>20</v>
      </c>
      <c r="J3918" s="6">
        <v>2016.0</v>
      </c>
      <c r="K3918" s="10">
        <v>46024.0</v>
      </c>
      <c r="L3918" s="6">
        <v>1.0</v>
      </c>
      <c r="M3918" s="8">
        <f t="shared" si="4"/>
        <v>0.05</v>
      </c>
      <c r="P3918" s="9"/>
    </row>
    <row r="3919">
      <c r="A3919" s="6" t="s">
        <v>8911</v>
      </c>
      <c r="B3919" s="6" t="s">
        <v>8912</v>
      </c>
      <c r="C3919" s="6" t="s">
        <v>37</v>
      </c>
      <c r="D3919" s="6" t="s">
        <v>8913</v>
      </c>
      <c r="E3919" s="6" t="s">
        <v>891</v>
      </c>
      <c r="F3919" s="6" t="s">
        <v>77</v>
      </c>
      <c r="G3919" s="7">
        <v>0.08</v>
      </c>
      <c r="H3919" s="6" t="s">
        <v>407</v>
      </c>
      <c r="I3919" s="6" t="s">
        <v>20</v>
      </c>
      <c r="J3919" s="6">
        <v>2016.0</v>
      </c>
      <c r="K3919" s="10">
        <v>46116.0</v>
      </c>
      <c r="L3919" s="6">
        <v>1.0</v>
      </c>
      <c r="M3919" s="8">
        <f t="shared" si="4"/>
        <v>0.08</v>
      </c>
      <c r="P3919" s="9"/>
    </row>
    <row r="3920">
      <c r="A3920" s="6" t="s">
        <v>8914</v>
      </c>
      <c r="B3920" s="6" t="s">
        <v>7691</v>
      </c>
      <c r="C3920" s="6" t="s">
        <v>37</v>
      </c>
      <c r="D3920" s="6" t="s">
        <v>8915</v>
      </c>
      <c r="E3920" s="6" t="s">
        <v>248</v>
      </c>
      <c r="F3920" s="6" t="s">
        <v>77</v>
      </c>
      <c r="G3920" s="7">
        <v>0.06</v>
      </c>
      <c r="H3920" s="6" t="s">
        <v>407</v>
      </c>
      <c r="I3920" s="6" t="s">
        <v>20</v>
      </c>
      <c r="J3920" s="6">
        <v>2016.0</v>
      </c>
      <c r="K3920" s="10">
        <v>46114.0</v>
      </c>
      <c r="L3920" s="6">
        <v>1.0</v>
      </c>
      <c r="M3920" s="8">
        <f t="shared" si="4"/>
        <v>0.06</v>
      </c>
      <c r="P3920" s="9"/>
    </row>
    <row r="3921">
      <c r="A3921" s="6" t="s">
        <v>8916</v>
      </c>
      <c r="B3921" s="6" t="s">
        <v>3336</v>
      </c>
      <c r="C3921" s="6" t="s">
        <v>43</v>
      </c>
      <c r="E3921" s="6" t="s">
        <v>93</v>
      </c>
      <c r="F3921" s="6" t="s">
        <v>77</v>
      </c>
      <c r="G3921" s="7">
        <v>0.03</v>
      </c>
      <c r="H3921" s="6" t="s">
        <v>382</v>
      </c>
      <c r="I3921" s="6" t="s">
        <v>20</v>
      </c>
      <c r="J3921" s="6">
        <v>2020.0</v>
      </c>
      <c r="K3921" s="10">
        <v>46085.0</v>
      </c>
      <c r="L3921" s="6">
        <v>1.0</v>
      </c>
      <c r="M3921" s="8">
        <f t="shared" si="4"/>
        <v>0.03</v>
      </c>
      <c r="P3921" s="9"/>
    </row>
    <row r="3922">
      <c r="A3922" s="6" t="s">
        <v>8917</v>
      </c>
      <c r="B3922" s="6" t="s">
        <v>8918</v>
      </c>
      <c r="C3922" s="6" t="s">
        <v>43</v>
      </c>
      <c r="D3922" s="6" t="s">
        <v>8919</v>
      </c>
      <c r="E3922" s="6" t="s">
        <v>1917</v>
      </c>
      <c r="F3922" s="6" t="s">
        <v>77</v>
      </c>
      <c r="G3922" s="7">
        <v>0.05</v>
      </c>
      <c r="H3922" s="6" t="s">
        <v>922</v>
      </c>
      <c r="I3922" s="6" t="s">
        <v>20</v>
      </c>
      <c r="J3922" s="6">
        <v>2014.0</v>
      </c>
      <c r="K3922" s="10">
        <v>46084.0</v>
      </c>
      <c r="L3922" s="6">
        <v>1.0</v>
      </c>
      <c r="M3922" s="8">
        <f t="shared" si="4"/>
        <v>0.05</v>
      </c>
      <c r="P3922" s="9"/>
    </row>
    <row r="3923">
      <c r="A3923" s="6" t="s">
        <v>8920</v>
      </c>
      <c r="B3923" s="6" t="s">
        <v>5539</v>
      </c>
      <c r="C3923" s="6" t="s">
        <v>43</v>
      </c>
      <c r="D3923" s="6" t="s">
        <v>8921</v>
      </c>
      <c r="E3923" s="6" t="s">
        <v>891</v>
      </c>
      <c r="F3923" s="6" t="s">
        <v>77</v>
      </c>
      <c r="G3923" s="7">
        <v>0.03</v>
      </c>
      <c r="H3923" s="6" t="s">
        <v>709</v>
      </c>
      <c r="I3923" s="6" t="s">
        <v>20</v>
      </c>
      <c r="J3923" s="6">
        <v>2017.0</v>
      </c>
      <c r="K3923" s="10">
        <v>46084.0</v>
      </c>
      <c r="L3923" s="6">
        <v>1.0</v>
      </c>
      <c r="M3923" s="8">
        <f t="shared" si="4"/>
        <v>0.03</v>
      </c>
      <c r="P3923" s="9"/>
    </row>
    <row r="3924">
      <c r="A3924" s="6" t="s">
        <v>8922</v>
      </c>
      <c r="B3924" s="6" t="s">
        <v>331</v>
      </c>
      <c r="C3924" s="6" t="s">
        <v>43</v>
      </c>
      <c r="D3924" s="6" t="s">
        <v>8923</v>
      </c>
      <c r="E3924" s="6" t="s">
        <v>891</v>
      </c>
      <c r="F3924" s="6" t="s">
        <v>77</v>
      </c>
      <c r="G3924" s="7">
        <v>0.05</v>
      </c>
      <c r="H3924" s="6" t="s">
        <v>373</v>
      </c>
      <c r="I3924" s="6" t="s">
        <v>20</v>
      </c>
      <c r="J3924" s="6">
        <v>2015.0</v>
      </c>
      <c r="K3924" s="10">
        <v>46056.0</v>
      </c>
      <c r="L3924" s="6">
        <v>5.0</v>
      </c>
      <c r="M3924" s="8">
        <f t="shared" si="4"/>
        <v>0.25</v>
      </c>
      <c r="P3924" s="9"/>
    </row>
    <row r="3925">
      <c r="A3925" s="6" t="s">
        <v>8924</v>
      </c>
      <c r="B3925" s="6" t="s">
        <v>8925</v>
      </c>
      <c r="C3925" s="6" t="s">
        <v>43</v>
      </c>
      <c r="D3925" s="6" t="s">
        <v>8926</v>
      </c>
      <c r="E3925" s="6" t="s">
        <v>176</v>
      </c>
      <c r="F3925" s="6" t="s">
        <v>77</v>
      </c>
      <c r="G3925" s="7">
        <v>0.03</v>
      </c>
      <c r="H3925" s="6" t="s">
        <v>382</v>
      </c>
      <c r="I3925" s="6" t="s">
        <v>20</v>
      </c>
      <c r="J3925" s="6">
        <v>2020.0</v>
      </c>
      <c r="K3925" s="10">
        <v>46024.0</v>
      </c>
      <c r="L3925" s="6">
        <v>5.0</v>
      </c>
      <c r="M3925" s="8">
        <f t="shared" si="4"/>
        <v>0.15</v>
      </c>
      <c r="P3925" s="9"/>
    </row>
    <row r="3926">
      <c r="A3926" s="6" t="s">
        <v>8927</v>
      </c>
      <c r="B3926" s="6" t="s">
        <v>4485</v>
      </c>
      <c r="C3926" s="6" t="s">
        <v>43</v>
      </c>
      <c r="D3926" s="6" t="s">
        <v>8928</v>
      </c>
      <c r="E3926" s="6" t="s">
        <v>76</v>
      </c>
      <c r="F3926" s="6" t="s">
        <v>77</v>
      </c>
      <c r="G3926" s="7">
        <v>0.2</v>
      </c>
      <c r="H3926" s="6" t="s">
        <v>1076</v>
      </c>
      <c r="I3926" s="6" t="s">
        <v>20</v>
      </c>
      <c r="J3926" s="6">
        <v>2018.0</v>
      </c>
      <c r="K3926" s="10">
        <v>46023.0</v>
      </c>
      <c r="L3926" s="6">
        <v>1.0</v>
      </c>
      <c r="M3926" s="8">
        <f t="shared" si="4"/>
        <v>0.2</v>
      </c>
      <c r="P3926" s="9"/>
    </row>
    <row r="3927">
      <c r="A3927" s="6" t="s">
        <v>8929</v>
      </c>
      <c r="B3927" s="6" t="s">
        <v>2963</v>
      </c>
      <c r="C3927" s="6" t="s">
        <v>43</v>
      </c>
      <c r="D3927" s="6" t="s">
        <v>8930</v>
      </c>
      <c r="E3927" s="6" t="s">
        <v>248</v>
      </c>
      <c r="F3927" s="6" t="s">
        <v>77</v>
      </c>
      <c r="G3927" s="7">
        <v>0.03</v>
      </c>
      <c r="H3927" s="6" t="s">
        <v>1076</v>
      </c>
      <c r="I3927" s="6" t="s">
        <v>20</v>
      </c>
      <c r="J3927" s="6">
        <v>2018.0</v>
      </c>
      <c r="K3927" s="10">
        <v>46084.0</v>
      </c>
      <c r="L3927" s="6">
        <v>1.0</v>
      </c>
      <c r="M3927" s="8">
        <f t="shared" si="4"/>
        <v>0.03</v>
      </c>
      <c r="P3927" s="9"/>
    </row>
    <row r="3928">
      <c r="A3928" s="6" t="s">
        <v>8931</v>
      </c>
      <c r="B3928" s="6" t="s">
        <v>1302</v>
      </c>
      <c r="C3928" s="6" t="s">
        <v>43</v>
      </c>
      <c r="D3928" s="6" t="s">
        <v>8932</v>
      </c>
      <c r="E3928" s="6" t="s">
        <v>1917</v>
      </c>
      <c r="F3928" s="6" t="s">
        <v>77</v>
      </c>
      <c r="G3928" s="7">
        <v>0.05</v>
      </c>
      <c r="H3928" s="6" t="s">
        <v>1531</v>
      </c>
      <c r="I3928" s="6" t="s">
        <v>20</v>
      </c>
      <c r="J3928" s="6">
        <v>2005.0</v>
      </c>
      <c r="K3928" s="10">
        <v>46055.0</v>
      </c>
      <c r="L3928" s="6">
        <v>1.0</v>
      </c>
      <c r="M3928" s="8">
        <f t="shared" si="4"/>
        <v>0.05</v>
      </c>
      <c r="P3928" s="9"/>
    </row>
    <row r="3929">
      <c r="A3929" s="6" t="s">
        <v>8933</v>
      </c>
      <c r="B3929" s="6" t="s">
        <v>8934</v>
      </c>
      <c r="C3929" s="6" t="s">
        <v>43</v>
      </c>
      <c r="D3929" s="6" t="s">
        <v>8935</v>
      </c>
      <c r="E3929" s="6" t="s">
        <v>248</v>
      </c>
      <c r="F3929" s="6" t="s">
        <v>77</v>
      </c>
      <c r="G3929" s="7">
        <v>0.03</v>
      </c>
      <c r="H3929" s="6" t="s">
        <v>382</v>
      </c>
      <c r="I3929" s="6" t="s">
        <v>20</v>
      </c>
      <c r="J3929" s="6">
        <v>2020.0</v>
      </c>
      <c r="K3929" s="10">
        <v>46084.0</v>
      </c>
      <c r="L3929" s="6">
        <v>4.0</v>
      </c>
      <c r="M3929" s="8">
        <f t="shared" si="4"/>
        <v>0.12</v>
      </c>
      <c r="P3929" s="9"/>
    </row>
    <row r="3930">
      <c r="A3930" s="6" t="s">
        <v>8936</v>
      </c>
      <c r="B3930" s="6" t="s">
        <v>5057</v>
      </c>
      <c r="C3930" s="6" t="s">
        <v>43</v>
      </c>
      <c r="D3930" s="6" t="s">
        <v>8937</v>
      </c>
      <c r="E3930" s="6" t="s">
        <v>176</v>
      </c>
      <c r="F3930" s="6" t="s">
        <v>77</v>
      </c>
      <c r="G3930" s="7">
        <v>0.03</v>
      </c>
      <c r="H3930" s="6" t="s">
        <v>1076</v>
      </c>
      <c r="I3930" s="6" t="s">
        <v>20</v>
      </c>
      <c r="J3930" s="6">
        <v>2018.0</v>
      </c>
      <c r="K3930" s="10">
        <v>46055.0</v>
      </c>
      <c r="L3930" s="6">
        <v>2.0</v>
      </c>
      <c r="M3930" s="8">
        <f t="shared" si="4"/>
        <v>0.06</v>
      </c>
      <c r="P3930" s="9"/>
    </row>
    <row r="3931">
      <c r="A3931" s="6" t="s">
        <v>8938</v>
      </c>
      <c r="B3931" s="6" t="s">
        <v>5972</v>
      </c>
      <c r="C3931" s="6" t="s">
        <v>43</v>
      </c>
      <c r="D3931" s="6" t="s">
        <v>8939</v>
      </c>
      <c r="E3931" s="6" t="s">
        <v>76</v>
      </c>
      <c r="F3931" s="6" t="s">
        <v>77</v>
      </c>
      <c r="G3931" s="7">
        <v>0.03</v>
      </c>
      <c r="H3931" s="6" t="s">
        <v>382</v>
      </c>
      <c r="I3931" s="6" t="s">
        <v>20</v>
      </c>
      <c r="J3931" s="6">
        <v>2020.0</v>
      </c>
      <c r="K3931" s="10">
        <v>46024.0</v>
      </c>
      <c r="L3931" s="6">
        <v>1.0</v>
      </c>
      <c r="M3931" s="8">
        <f t="shared" si="4"/>
        <v>0.03</v>
      </c>
      <c r="P3931" s="9"/>
    </row>
    <row r="3932">
      <c r="A3932" s="6" t="s">
        <v>8940</v>
      </c>
      <c r="B3932" s="6" t="s">
        <v>2192</v>
      </c>
      <c r="C3932" s="6" t="s">
        <v>43</v>
      </c>
      <c r="D3932" s="6" t="s">
        <v>8941</v>
      </c>
      <c r="E3932" s="6" t="s">
        <v>117</v>
      </c>
      <c r="F3932" s="6" t="s">
        <v>77</v>
      </c>
      <c r="G3932" s="7">
        <v>0.03</v>
      </c>
      <c r="H3932" s="6" t="s">
        <v>382</v>
      </c>
      <c r="I3932" s="6" t="s">
        <v>20</v>
      </c>
      <c r="J3932" s="6">
        <v>2020.0</v>
      </c>
      <c r="K3932" s="10">
        <v>46023.0</v>
      </c>
      <c r="L3932" s="6">
        <v>1.0</v>
      </c>
      <c r="M3932" s="8">
        <f t="shared" si="4"/>
        <v>0.03</v>
      </c>
      <c r="P3932" s="9"/>
    </row>
    <row r="3933">
      <c r="A3933" s="6" t="s">
        <v>8942</v>
      </c>
      <c r="B3933" s="6" t="s">
        <v>1577</v>
      </c>
      <c r="C3933" s="6" t="s">
        <v>43</v>
      </c>
      <c r="D3933" s="6" t="s">
        <v>8943</v>
      </c>
      <c r="F3933" s="6" t="s">
        <v>26</v>
      </c>
      <c r="G3933" s="7">
        <v>0.1</v>
      </c>
      <c r="H3933" s="6" t="s">
        <v>297</v>
      </c>
      <c r="I3933" s="6" t="s">
        <v>20</v>
      </c>
      <c r="J3933" s="6">
        <v>2022.0</v>
      </c>
      <c r="L3933" s="6">
        <v>1.0</v>
      </c>
      <c r="M3933" s="8">
        <f t="shared" si="4"/>
        <v>0.1</v>
      </c>
      <c r="P3933" s="9"/>
    </row>
    <row r="3934">
      <c r="A3934" s="6" t="s">
        <v>5376</v>
      </c>
      <c r="B3934" s="6" t="s">
        <v>721</v>
      </c>
      <c r="C3934" s="6" t="s">
        <v>43</v>
      </c>
      <c r="D3934" s="6" t="s">
        <v>5377</v>
      </c>
      <c r="F3934" s="6" t="s">
        <v>71</v>
      </c>
      <c r="G3934" s="7">
        <v>0.06</v>
      </c>
      <c r="H3934" s="6" t="s">
        <v>431</v>
      </c>
      <c r="I3934" s="6" t="s">
        <v>20</v>
      </c>
      <c r="J3934" s="6">
        <v>2019.0</v>
      </c>
      <c r="L3934" s="6">
        <v>3.0</v>
      </c>
      <c r="M3934" s="8">
        <f t="shared" si="4"/>
        <v>0.18</v>
      </c>
      <c r="P3934" s="9"/>
    </row>
    <row r="3935">
      <c r="A3935" s="6" t="s">
        <v>8944</v>
      </c>
      <c r="B3935" s="6" t="s">
        <v>721</v>
      </c>
      <c r="C3935" s="6" t="s">
        <v>43</v>
      </c>
      <c r="D3935" s="6" t="s">
        <v>8945</v>
      </c>
      <c r="F3935" s="6" t="s">
        <v>1118</v>
      </c>
      <c r="G3935" s="7">
        <v>0.09</v>
      </c>
      <c r="H3935" s="6" t="s">
        <v>431</v>
      </c>
      <c r="I3935" s="6" t="s">
        <v>20</v>
      </c>
      <c r="J3935" s="6">
        <v>2019.0</v>
      </c>
      <c r="L3935" s="6">
        <v>4.0</v>
      </c>
      <c r="M3935" s="8">
        <f t="shared" si="4"/>
        <v>0.36</v>
      </c>
      <c r="P3935" s="9"/>
    </row>
    <row r="3936">
      <c r="A3936" s="6" t="s">
        <v>8946</v>
      </c>
      <c r="B3936" s="6" t="s">
        <v>721</v>
      </c>
      <c r="C3936" s="6" t="s">
        <v>43</v>
      </c>
      <c r="D3936" s="6" t="s">
        <v>8947</v>
      </c>
      <c r="F3936" s="6" t="s">
        <v>977</v>
      </c>
      <c r="G3936" s="7">
        <v>0.12</v>
      </c>
      <c r="H3936" s="6" t="s">
        <v>431</v>
      </c>
      <c r="I3936" s="6" t="s">
        <v>20</v>
      </c>
      <c r="J3936" s="6">
        <v>2019.0</v>
      </c>
      <c r="L3936" s="6">
        <v>4.0</v>
      </c>
      <c r="M3936" s="8">
        <f t="shared" si="4"/>
        <v>0.48</v>
      </c>
      <c r="P3936" s="9"/>
    </row>
    <row r="3937">
      <c r="A3937" s="6" t="s">
        <v>8948</v>
      </c>
      <c r="B3937" s="6" t="s">
        <v>721</v>
      </c>
      <c r="C3937" s="6" t="s">
        <v>43</v>
      </c>
      <c r="D3937" s="6" t="s">
        <v>8949</v>
      </c>
      <c r="F3937" s="6" t="s">
        <v>636</v>
      </c>
      <c r="G3937" s="7">
        <v>0.14</v>
      </c>
      <c r="H3937" s="6" t="s">
        <v>431</v>
      </c>
      <c r="I3937" s="6" t="s">
        <v>20</v>
      </c>
      <c r="J3937" s="6">
        <v>2019.0</v>
      </c>
      <c r="L3937" s="6">
        <v>2.0</v>
      </c>
      <c r="M3937" s="8">
        <f t="shared" si="4"/>
        <v>0.28</v>
      </c>
      <c r="P3937" s="9"/>
    </row>
    <row r="3938">
      <c r="A3938" s="6" t="s">
        <v>8950</v>
      </c>
      <c r="B3938" s="6" t="s">
        <v>1577</v>
      </c>
      <c r="C3938" s="6" t="s">
        <v>43</v>
      </c>
      <c r="D3938" s="6" t="s">
        <v>8951</v>
      </c>
      <c r="F3938" s="6" t="s">
        <v>112</v>
      </c>
      <c r="G3938" s="7">
        <v>0.1</v>
      </c>
      <c r="H3938" s="6" t="s">
        <v>460</v>
      </c>
      <c r="I3938" s="6" t="s">
        <v>20</v>
      </c>
      <c r="J3938" s="6">
        <v>2015.0</v>
      </c>
      <c r="L3938" s="6">
        <v>2.0</v>
      </c>
      <c r="M3938" s="8">
        <f t="shared" si="4"/>
        <v>0.2</v>
      </c>
      <c r="P3938" s="9"/>
    </row>
    <row r="3939">
      <c r="A3939" s="6" t="s">
        <v>8952</v>
      </c>
      <c r="B3939" s="6" t="s">
        <v>1577</v>
      </c>
      <c r="C3939" s="6" t="s">
        <v>43</v>
      </c>
      <c r="D3939" s="6" t="s">
        <v>8953</v>
      </c>
      <c r="F3939" s="6" t="s">
        <v>40</v>
      </c>
      <c r="G3939" s="7">
        <v>0.09</v>
      </c>
      <c r="H3939" s="6" t="s">
        <v>460</v>
      </c>
      <c r="I3939" s="6" t="s">
        <v>20</v>
      </c>
      <c r="J3939" s="6">
        <v>2015.0</v>
      </c>
      <c r="L3939" s="6">
        <v>1.0</v>
      </c>
      <c r="M3939" s="8">
        <f t="shared" si="4"/>
        <v>0.09</v>
      </c>
      <c r="P3939" s="9"/>
    </row>
    <row r="3940">
      <c r="A3940" s="6" t="s">
        <v>8954</v>
      </c>
      <c r="B3940" s="6" t="s">
        <v>1577</v>
      </c>
      <c r="C3940" s="6" t="s">
        <v>43</v>
      </c>
      <c r="D3940" s="6" t="s">
        <v>8955</v>
      </c>
      <c r="F3940" s="6" t="s">
        <v>18</v>
      </c>
      <c r="G3940" s="7">
        <v>0.12</v>
      </c>
      <c r="H3940" s="6" t="s">
        <v>460</v>
      </c>
      <c r="I3940" s="6" t="s">
        <v>20</v>
      </c>
      <c r="J3940" s="6">
        <v>2015.0</v>
      </c>
      <c r="L3940" s="6">
        <v>1.0</v>
      </c>
      <c r="M3940" s="8">
        <f t="shared" si="4"/>
        <v>0.12</v>
      </c>
      <c r="P3940" s="9"/>
    </row>
    <row r="3941">
      <c r="A3941" s="6" t="s">
        <v>8956</v>
      </c>
      <c r="B3941" s="6" t="s">
        <v>1577</v>
      </c>
      <c r="C3941" s="6" t="s">
        <v>43</v>
      </c>
      <c r="D3941" s="6" t="s">
        <v>8957</v>
      </c>
      <c r="F3941" s="6" t="s">
        <v>87</v>
      </c>
      <c r="G3941" s="7">
        <v>0.09</v>
      </c>
      <c r="H3941" s="6" t="s">
        <v>460</v>
      </c>
      <c r="I3941" s="6" t="s">
        <v>20</v>
      </c>
      <c r="J3941" s="6">
        <v>2015.0</v>
      </c>
      <c r="L3941" s="6">
        <v>1.0</v>
      </c>
      <c r="M3941" s="8">
        <f t="shared" si="4"/>
        <v>0.09</v>
      </c>
      <c r="P3941" s="9"/>
    </row>
    <row r="3942">
      <c r="A3942" s="6" t="s">
        <v>8958</v>
      </c>
      <c r="B3942" s="6" t="s">
        <v>74</v>
      </c>
      <c r="C3942" s="6" t="s">
        <v>43</v>
      </c>
      <c r="D3942" s="6" t="s">
        <v>8959</v>
      </c>
      <c r="E3942" s="6" t="s">
        <v>1939</v>
      </c>
      <c r="F3942" s="6" t="s">
        <v>977</v>
      </c>
      <c r="G3942" s="7">
        <v>0.05</v>
      </c>
      <c r="H3942" s="6" t="s">
        <v>431</v>
      </c>
      <c r="I3942" s="6" t="s">
        <v>20</v>
      </c>
      <c r="J3942" s="6">
        <v>2019.0</v>
      </c>
      <c r="L3942" s="6">
        <v>1.0</v>
      </c>
      <c r="M3942" s="8">
        <f t="shared" si="4"/>
        <v>0.05</v>
      </c>
      <c r="P3942" s="9"/>
    </row>
    <row r="3943">
      <c r="A3943" s="6" t="s">
        <v>8960</v>
      </c>
      <c r="B3943" s="6" t="s">
        <v>146</v>
      </c>
      <c r="C3943" s="6" t="s">
        <v>30</v>
      </c>
      <c r="D3943" s="6" t="s">
        <v>8961</v>
      </c>
      <c r="E3943" s="6" t="s">
        <v>1939</v>
      </c>
      <c r="F3943" s="6" t="s">
        <v>977</v>
      </c>
      <c r="G3943" s="7">
        <v>1.0</v>
      </c>
      <c r="H3943" s="6" t="s">
        <v>431</v>
      </c>
      <c r="I3943" s="6" t="s">
        <v>45</v>
      </c>
      <c r="J3943" s="6">
        <v>2019.0</v>
      </c>
      <c r="L3943" s="6">
        <v>1.0</v>
      </c>
      <c r="M3943" s="8">
        <f t="shared" si="4"/>
        <v>1</v>
      </c>
      <c r="N3943" s="6" t="s">
        <v>122</v>
      </c>
      <c r="P3943" s="9"/>
    </row>
    <row r="3944">
      <c r="A3944" s="6" t="s">
        <v>8962</v>
      </c>
      <c r="B3944" s="6" t="s">
        <v>8963</v>
      </c>
      <c r="C3944" s="6" t="s">
        <v>37</v>
      </c>
      <c r="D3944" s="6" t="s">
        <v>8964</v>
      </c>
      <c r="E3944" s="6" t="s">
        <v>8965</v>
      </c>
      <c r="F3944" s="6" t="s">
        <v>18</v>
      </c>
      <c r="G3944" s="7">
        <v>0.04</v>
      </c>
      <c r="H3944" s="6" t="s">
        <v>918</v>
      </c>
      <c r="I3944" s="6" t="s">
        <v>20</v>
      </c>
      <c r="J3944" s="6">
        <v>2023.0</v>
      </c>
      <c r="K3944" s="10">
        <v>46055.0</v>
      </c>
      <c r="L3944" s="6">
        <v>1.0</v>
      </c>
      <c r="M3944" s="8">
        <f t="shared" si="4"/>
        <v>0.04</v>
      </c>
      <c r="P3944" s="9"/>
    </row>
    <row r="3945">
      <c r="A3945" s="6" t="s">
        <v>8966</v>
      </c>
      <c r="B3945" s="6" t="s">
        <v>8967</v>
      </c>
      <c r="C3945" s="6" t="s">
        <v>43</v>
      </c>
      <c r="D3945" s="6" t="s">
        <v>8968</v>
      </c>
      <c r="E3945" s="6" t="s">
        <v>8969</v>
      </c>
      <c r="F3945" s="6" t="s">
        <v>977</v>
      </c>
      <c r="G3945" s="7">
        <v>0.03</v>
      </c>
      <c r="H3945" s="6" t="s">
        <v>431</v>
      </c>
      <c r="I3945" s="6" t="s">
        <v>20</v>
      </c>
      <c r="J3945" s="6">
        <v>2019.0</v>
      </c>
      <c r="K3945" s="10">
        <v>46179.0</v>
      </c>
      <c r="L3945" s="6">
        <v>1.0</v>
      </c>
      <c r="M3945" s="8">
        <f t="shared" si="4"/>
        <v>0.03</v>
      </c>
      <c r="P3945" s="9"/>
    </row>
    <row r="3946">
      <c r="A3946" s="6" t="s">
        <v>8970</v>
      </c>
      <c r="B3946" s="6" t="s">
        <v>1002</v>
      </c>
      <c r="C3946" s="6" t="s">
        <v>43</v>
      </c>
      <c r="D3946" s="6" t="s">
        <v>8971</v>
      </c>
      <c r="E3946" s="6" t="s">
        <v>2525</v>
      </c>
      <c r="F3946" s="6" t="s">
        <v>977</v>
      </c>
      <c r="G3946" s="7">
        <v>0.03</v>
      </c>
      <c r="H3946" s="6" t="s">
        <v>121</v>
      </c>
      <c r="I3946" s="6" t="s">
        <v>20</v>
      </c>
      <c r="J3946" s="6">
        <v>2021.0</v>
      </c>
      <c r="K3946" s="10">
        <v>46056.0</v>
      </c>
      <c r="L3946" s="6">
        <v>1.0</v>
      </c>
      <c r="M3946" s="8">
        <f t="shared" si="4"/>
        <v>0.03</v>
      </c>
      <c r="P3946" s="9"/>
    </row>
    <row r="3947">
      <c r="A3947" s="6" t="s">
        <v>8972</v>
      </c>
      <c r="B3947" s="6" t="s">
        <v>74</v>
      </c>
      <c r="C3947" s="6" t="s">
        <v>37</v>
      </c>
      <c r="D3947" s="6" t="s">
        <v>8973</v>
      </c>
      <c r="E3947" s="6" t="s">
        <v>1939</v>
      </c>
      <c r="F3947" s="6" t="s">
        <v>977</v>
      </c>
      <c r="G3947" s="7">
        <v>0.14</v>
      </c>
      <c r="H3947" s="6" t="s">
        <v>3883</v>
      </c>
      <c r="I3947" s="6" t="s">
        <v>20</v>
      </c>
      <c r="J3947" s="6">
        <v>2024.0</v>
      </c>
      <c r="L3947" s="6">
        <v>1.0</v>
      </c>
      <c r="M3947" s="8">
        <f t="shared" si="4"/>
        <v>0.14</v>
      </c>
      <c r="P3947" s="9"/>
    </row>
    <row r="3948">
      <c r="A3948" s="6" t="s">
        <v>8974</v>
      </c>
      <c r="B3948" s="6" t="s">
        <v>8975</v>
      </c>
      <c r="C3948" s="6" t="s">
        <v>43</v>
      </c>
      <c r="D3948" s="6" t="s">
        <v>8976</v>
      </c>
      <c r="E3948" s="6" t="s">
        <v>983</v>
      </c>
      <c r="F3948" s="6" t="s">
        <v>977</v>
      </c>
      <c r="G3948" s="7">
        <v>0.03</v>
      </c>
      <c r="H3948" s="6" t="s">
        <v>431</v>
      </c>
      <c r="I3948" s="6" t="s">
        <v>20</v>
      </c>
      <c r="J3948" s="6">
        <v>2019.0</v>
      </c>
      <c r="K3948" s="10">
        <v>46083.0</v>
      </c>
      <c r="L3948" s="6">
        <v>2.0</v>
      </c>
      <c r="M3948" s="8">
        <f t="shared" si="4"/>
        <v>0.06</v>
      </c>
      <c r="P3948" s="9"/>
    </row>
    <row r="3949">
      <c r="A3949" s="6" t="s">
        <v>8977</v>
      </c>
      <c r="B3949" s="6" t="s">
        <v>2356</v>
      </c>
      <c r="C3949" s="6" t="s">
        <v>43</v>
      </c>
      <c r="D3949" s="6" t="s">
        <v>8978</v>
      </c>
      <c r="E3949" s="6" t="s">
        <v>3172</v>
      </c>
      <c r="F3949" s="6" t="s">
        <v>636</v>
      </c>
      <c r="G3949" s="7">
        <v>0.03</v>
      </c>
      <c r="H3949" s="6" t="s">
        <v>431</v>
      </c>
      <c r="I3949" s="6" t="s">
        <v>20</v>
      </c>
      <c r="J3949" s="6">
        <v>2019.0</v>
      </c>
      <c r="K3949" s="10">
        <v>46083.0</v>
      </c>
      <c r="L3949" s="6">
        <v>1.0</v>
      </c>
      <c r="M3949" s="8">
        <f t="shared" si="4"/>
        <v>0.03</v>
      </c>
      <c r="P3949" s="9"/>
    </row>
    <row r="3950">
      <c r="A3950" s="6" t="s">
        <v>8979</v>
      </c>
      <c r="B3950" s="6" t="s">
        <v>8980</v>
      </c>
      <c r="C3950" s="6" t="s">
        <v>43</v>
      </c>
      <c r="D3950" s="6" t="s">
        <v>8981</v>
      </c>
      <c r="E3950" s="6" t="s">
        <v>635</v>
      </c>
      <c r="F3950" s="6" t="s">
        <v>636</v>
      </c>
      <c r="G3950" s="7">
        <v>0.03</v>
      </c>
      <c r="H3950" s="6" t="s">
        <v>431</v>
      </c>
      <c r="I3950" s="6" t="s">
        <v>20</v>
      </c>
      <c r="J3950" s="6">
        <v>2019.0</v>
      </c>
      <c r="K3950" s="10">
        <v>46084.0</v>
      </c>
      <c r="L3950" s="6">
        <v>1.0</v>
      </c>
      <c r="M3950" s="8">
        <f t="shared" si="4"/>
        <v>0.03</v>
      </c>
      <c r="P3950" s="9"/>
    </row>
    <row r="3951">
      <c r="A3951" s="6" t="s">
        <v>8982</v>
      </c>
      <c r="B3951" s="6" t="s">
        <v>8983</v>
      </c>
      <c r="C3951" s="6" t="s">
        <v>37</v>
      </c>
      <c r="D3951" s="6" t="s">
        <v>8984</v>
      </c>
      <c r="E3951" s="6" t="s">
        <v>1592</v>
      </c>
      <c r="F3951" s="6" t="s">
        <v>636</v>
      </c>
      <c r="G3951" s="7">
        <v>1.4</v>
      </c>
      <c r="H3951" s="6" t="s">
        <v>6484</v>
      </c>
      <c r="I3951" s="6" t="s">
        <v>45</v>
      </c>
      <c r="J3951" s="6">
        <v>2025.0</v>
      </c>
      <c r="K3951" s="10">
        <v>46179.0</v>
      </c>
      <c r="L3951" s="6">
        <v>1.0</v>
      </c>
      <c r="M3951" s="8">
        <f t="shared" si="4"/>
        <v>1.4</v>
      </c>
      <c r="N3951" s="6" t="s">
        <v>122</v>
      </c>
      <c r="P3951" s="9"/>
    </row>
    <row r="3952">
      <c r="A3952" s="6" t="s">
        <v>8985</v>
      </c>
      <c r="B3952" s="6" t="s">
        <v>162</v>
      </c>
      <c r="C3952" s="6" t="s">
        <v>43</v>
      </c>
      <c r="D3952" s="6" t="s">
        <v>8986</v>
      </c>
      <c r="E3952" s="6" t="s">
        <v>3602</v>
      </c>
      <c r="F3952" s="6" t="s">
        <v>636</v>
      </c>
      <c r="G3952" s="7">
        <v>0.03</v>
      </c>
      <c r="H3952" s="6" t="s">
        <v>431</v>
      </c>
      <c r="I3952" s="6" t="s">
        <v>20</v>
      </c>
      <c r="J3952" s="6">
        <v>2019.0</v>
      </c>
      <c r="L3952" s="6">
        <v>1.0</v>
      </c>
      <c r="M3952" s="8">
        <f t="shared" si="4"/>
        <v>0.03</v>
      </c>
      <c r="P3952" s="9"/>
    </row>
    <row r="3953">
      <c r="A3953" s="6" t="s">
        <v>8987</v>
      </c>
      <c r="B3953" s="6" t="s">
        <v>5643</v>
      </c>
      <c r="C3953" s="6" t="s">
        <v>43</v>
      </c>
      <c r="E3953" s="6" t="s">
        <v>1592</v>
      </c>
      <c r="F3953" s="6" t="s">
        <v>636</v>
      </c>
      <c r="G3953" s="7">
        <v>0.03</v>
      </c>
      <c r="H3953" s="6" t="s">
        <v>65</v>
      </c>
      <c r="I3953" s="6" t="s">
        <v>20</v>
      </c>
      <c r="J3953" s="6">
        <v>2013.0</v>
      </c>
      <c r="K3953" s="10">
        <v>46180.0</v>
      </c>
      <c r="L3953" s="6">
        <v>1.0</v>
      </c>
      <c r="M3953" s="8">
        <f t="shared" si="4"/>
        <v>0.03</v>
      </c>
      <c r="P3953" s="9"/>
    </row>
    <row r="3954">
      <c r="A3954" s="6" t="s">
        <v>8988</v>
      </c>
      <c r="B3954" s="6" t="s">
        <v>2568</v>
      </c>
      <c r="C3954" s="6" t="s">
        <v>37</v>
      </c>
      <c r="D3954" s="6" t="s">
        <v>8989</v>
      </c>
      <c r="E3954" s="6" t="s">
        <v>1243</v>
      </c>
      <c r="F3954" s="6" t="s">
        <v>1244</v>
      </c>
      <c r="G3954" s="7">
        <v>0.03</v>
      </c>
      <c r="H3954" s="6" t="s">
        <v>1076</v>
      </c>
      <c r="I3954" s="6" t="s">
        <v>20</v>
      </c>
      <c r="J3954" s="6">
        <v>2018.0</v>
      </c>
      <c r="K3954" s="10">
        <v>46083.0</v>
      </c>
      <c r="L3954" s="6">
        <v>1.0</v>
      </c>
      <c r="M3954" s="8">
        <f t="shared" si="4"/>
        <v>0.03</v>
      </c>
      <c r="P3954" s="9"/>
    </row>
    <row r="3955">
      <c r="A3955" s="6" t="s">
        <v>8990</v>
      </c>
      <c r="B3955" s="6" t="s">
        <v>1095</v>
      </c>
      <c r="C3955" s="6" t="s">
        <v>43</v>
      </c>
      <c r="D3955" s="6" t="s">
        <v>8991</v>
      </c>
      <c r="E3955" s="6" t="s">
        <v>4977</v>
      </c>
      <c r="F3955" s="6" t="s">
        <v>159</v>
      </c>
      <c r="G3955" s="7">
        <v>0.05</v>
      </c>
      <c r="H3955" s="6" t="s">
        <v>121</v>
      </c>
      <c r="I3955" s="6" t="s">
        <v>20</v>
      </c>
      <c r="J3955" s="6">
        <v>2021.0</v>
      </c>
      <c r="K3955" s="10">
        <v>46055.0</v>
      </c>
      <c r="L3955" s="6">
        <v>1.0</v>
      </c>
      <c r="M3955" s="8">
        <f t="shared" si="4"/>
        <v>0.05</v>
      </c>
      <c r="P3955" s="9"/>
    </row>
    <row r="3956">
      <c r="A3956" s="6" t="s">
        <v>8992</v>
      </c>
      <c r="B3956" s="6" t="s">
        <v>1002</v>
      </c>
      <c r="C3956" s="6" t="s">
        <v>37</v>
      </c>
      <c r="D3956" s="6" t="s">
        <v>8993</v>
      </c>
      <c r="E3956" s="6" t="s">
        <v>5032</v>
      </c>
      <c r="F3956" s="6" t="s">
        <v>159</v>
      </c>
      <c r="G3956" s="7">
        <v>0.03</v>
      </c>
      <c r="H3956" s="6" t="s">
        <v>1076</v>
      </c>
      <c r="I3956" s="6" t="s">
        <v>20</v>
      </c>
      <c r="J3956" s="6">
        <v>2018.0</v>
      </c>
      <c r="K3956" s="10">
        <v>46084.0</v>
      </c>
      <c r="L3956" s="6">
        <v>1.0</v>
      </c>
      <c r="M3956" s="8">
        <f t="shared" si="4"/>
        <v>0.03</v>
      </c>
      <c r="P3956" s="9"/>
    </row>
    <row r="3957">
      <c r="A3957" s="6" t="s">
        <v>8430</v>
      </c>
      <c r="B3957" s="6" t="s">
        <v>74</v>
      </c>
      <c r="C3957" s="6" t="s">
        <v>43</v>
      </c>
      <c r="D3957" s="6" t="s">
        <v>8431</v>
      </c>
      <c r="E3957" s="6" t="s">
        <v>3177</v>
      </c>
      <c r="F3957" s="6" t="s">
        <v>1118</v>
      </c>
      <c r="G3957" s="7">
        <v>0.03</v>
      </c>
      <c r="H3957" s="6" t="s">
        <v>431</v>
      </c>
      <c r="I3957" s="6" t="s">
        <v>20</v>
      </c>
      <c r="J3957" s="6">
        <v>2019.0</v>
      </c>
      <c r="L3957" s="6">
        <v>1.0</v>
      </c>
      <c r="M3957" s="8">
        <f t="shared" si="4"/>
        <v>0.03</v>
      </c>
      <c r="P3957" s="9"/>
    </row>
    <row r="3958">
      <c r="A3958" s="6" t="s">
        <v>8994</v>
      </c>
      <c r="B3958" s="6" t="s">
        <v>916</v>
      </c>
      <c r="C3958" s="6" t="s">
        <v>43</v>
      </c>
      <c r="D3958" s="6" t="s">
        <v>8995</v>
      </c>
      <c r="E3958" s="6" t="s">
        <v>4430</v>
      </c>
      <c r="F3958" s="6" t="s">
        <v>1118</v>
      </c>
      <c r="G3958" s="7">
        <v>0.03</v>
      </c>
      <c r="H3958" s="6" t="s">
        <v>431</v>
      </c>
      <c r="I3958" s="6" t="s">
        <v>20</v>
      </c>
      <c r="J3958" s="6">
        <v>2019.0</v>
      </c>
      <c r="K3958" s="10">
        <v>46056.0</v>
      </c>
      <c r="L3958" s="6">
        <v>2.0</v>
      </c>
      <c r="M3958" s="8">
        <f t="shared" si="4"/>
        <v>0.06</v>
      </c>
      <c r="P3958" s="9"/>
    </row>
    <row r="3959">
      <c r="A3959" s="6" t="s">
        <v>8996</v>
      </c>
      <c r="B3959" s="6" t="s">
        <v>74</v>
      </c>
      <c r="C3959" s="6" t="s">
        <v>43</v>
      </c>
      <c r="D3959" s="6" t="s">
        <v>8997</v>
      </c>
      <c r="E3959" s="6" t="s">
        <v>2624</v>
      </c>
      <c r="F3959" s="6" t="s">
        <v>536</v>
      </c>
      <c r="G3959" s="7">
        <v>0.15</v>
      </c>
      <c r="H3959" s="6" t="s">
        <v>121</v>
      </c>
      <c r="I3959" s="6" t="s">
        <v>20</v>
      </c>
      <c r="J3959" s="6">
        <v>2021.0</v>
      </c>
      <c r="L3959" s="6">
        <v>1.0</v>
      </c>
      <c r="M3959" s="8">
        <f t="shared" si="4"/>
        <v>0.15</v>
      </c>
      <c r="P3959" s="9"/>
    </row>
    <row r="3960">
      <c r="A3960" s="6" t="s">
        <v>8998</v>
      </c>
      <c r="B3960" s="6" t="s">
        <v>1217</v>
      </c>
      <c r="C3960" s="6" t="s">
        <v>37</v>
      </c>
      <c r="D3960" s="6" t="s">
        <v>8999</v>
      </c>
      <c r="E3960" s="6" t="s">
        <v>6911</v>
      </c>
      <c r="F3960" s="6" t="s">
        <v>50</v>
      </c>
      <c r="G3960" s="7">
        <v>0.03</v>
      </c>
      <c r="H3960" s="6" t="s">
        <v>709</v>
      </c>
      <c r="I3960" s="6" t="s">
        <v>20</v>
      </c>
      <c r="J3960" s="6">
        <v>2017.0</v>
      </c>
      <c r="K3960" s="10">
        <v>46085.0</v>
      </c>
      <c r="L3960" s="6">
        <v>1.0</v>
      </c>
      <c r="M3960" s="8">
        <f t="shared" si="4"/>
        <v>0.03</v>
      </c>
      <c r="P3960" s="9"/>
    </row>
    <row r="3961">
      <c r="A3961" s="6" t="s">
        <v>9000</v>
      </c>
      <c r="B3961" s="6" t="s">
        <v>494</v>
      </c>
      <c r="C3961" s="6" t="s">
        <v>43</v>
      </c>
      <c r="D3961" s="6" t="s">
        <v>9001</v>
      </c>
      <c r="E3961" s="6" t="s">
        <v>1559</v>
      </c>
      <c r="F3961" s="6" t="s">
        <v>519</v>
      </c>
      <c r="G3961" s="7">
        <v>0.03</v>
      </c>
      <c r="H3961" s="6" t="s">
        <v>431</v>
      </c>
      <c r="I3961" s="6" t="s">
        <v>20</v>
      </c>
      <c r="J3961" s="6">
        <v>2019.0</v>
      </c>
      <c r="L3961" s="6">
        <v>1.0</v>
      </c>
      <c r="M3961" s="8">
        <f t="shared" si="4"/>
        <v>0.03</v>
      </c>
      <c r="P3961" s="9"/>
    </row>
    <row r="3962">
      <c r="A3962" s="6" t="s">
        <v>9002</v>
      </c>
      <c r="B3962" s="6" t="s">
        <v>2250</v>
      </c>
      <c r="C3962" s="6" t="s">
        <v>43</v>
      </c>
      <c r="D3962" s="6" t="s">
        <v>9003</v>
      </c>
      <c r="E3962" s="6" t="s">
        <v>9004</v>
      </c>
      <c r="F3962" s="6" t="s">
        <v>519</v>
      </c>
      <c r="G3962" s="7">
        <v>0.03</v>
      </c>
      <c r="H3962" s="6" t="s">
        <v>431</v>
      </c>
      <c r="I3962" s="6" t="s">
        <v>20</v>
      </c>
      <c r="J3962" s="6">
        <v>2019.0</v>
      </c>
      <c r="K3962" s="10">
        <v>46056.0</v>
      </c>
      <c r="L3962" s="6">
        <v>1.0</v>
      </c>
      <c r="M3962" s="8">
        <f t="shared" si="4"/>
        <v>0.03</v>
      </c>
      <c r="P3962" s="9"/>
    </row>
    <row r="3963">
      <c r="A3963" s="6" t="s">
        <v>8432</v>
      </c>
      <c r="B3963" s="6" t="s">
        <v>8433</v>
      </c>
      <c r="C3963" s="6" t="s">
        <v>43</v>
      </c>
      <c r="D3963" s="6" t="s">
        <v>8434</v>
      </c>
      <c r="E3963" s="6" t="s">
        <v>5412</v>
      </c>
      <c r="F3963" s="6" t="s">
        <v>71</v>
      </c>
      <c r="G3963" s="7">
        <v>0.03</v>
      </c>
      <c r="H3963" s="6" t="s">
        <v>431</v>
      </c>
      <c r="I3963" s="6" t="s">
        <v>20</v>
      </c>
      <c r="J3963" s="6">
        <v>2019.0</v>
      </c>
      <c r="K3963" s="10">
        <v>46084.0</v>
      </c>
      <c r="L3963" s="6">
        <v>1.0</v>
      </c>
      <c r="M3963" s="8">
        <f t="shared" si="4"/>
        <v>0.03</v>
      </c>
      <c r="P3963" s="9"/>
    </row>
    <row r="3964">
      <c r="A3964" s="6" t="s">
        <v>9005</v>
      </c>
      <c r="B3964" s="6" t="s">
        <v>74</v>
      </c>
      <c r="C3964" s="6" t="s">
        <v>43</v>
      </c>
      <c r="D3964" s="6" t="s">
        <v>9006</v>
      </c>
      <c r="E3964" s="6" t="s">
        <v>1417</v>
      </c>
      <c r="F3964" s="6" t="s">
        <v>71</v>
      </c>
      <c r="G3964" s="7">
        <v>0.05</v>
      </c>
      <c r="H3964" s="6" t="s">
        <v>431</v>
      </c>
      <c r="I3964" s="6" t="s">
        <v>20</v>
      </c>
      <c r="J3964" s="6">
        <v>2019.0</v>
      </c>
      <c r="L3964" s="6">
        <v>1.0</v>
      </c>
      <c r="M3964" s="8">
        <f t="shared" si="4"/>
        <v>0.05</v>
      </c>
      <c r="P3964" s="9"/>
    </row>
    <row r="3965">
      <c r="A3965" s="6" t="s">
        <v>9007</v>
      </c>
      <c r="B3965" s="6" t="s">
        <v>8433</v>
      </c>
      <c r="C3965" s="6" t="s">
        <v>43</v>
      </c>
      <c r="D3965" s="6" t="s">
        <v>9008</v>
      </c>
      <c r="E3965" s="6" t="s">
        <v>3679</v>
      </c>
      <c r="F3965" s="6" t="s">
        <v>71</v>
      </c>
      <c r="G3965" s="7">
        <v>0.03</v>
      </c>
      <c r="H3965" s="6" t="s">
        <v>65</v>
      </c>
      <c r="I3965" s="6" t="s">
        <v>20</v>
      </c>
      <c r="J3965" s="6">
        <v>2013.0</v>
      </c>
      <c r="K3965" s="10">
        <v>46055.0</v>
      </c>
      <c r="L3965" s="6">
        <v>1.0</v>
      </c>
      <c r="M3965" s="8">
        <f t="shared" si="4"/>
        <v>0.03</v>
      </c>
      <c r="P3965" s="9"/>
    </row>
    <row r="3966">
      <c r="A3966" s="6" t="s">
        <v>9009</v>
      </c>
      <c r="B3966" s="6" t="s">
        <v>254</v>
      </c>
      <c r="C3966" s="6" t="s">
        <v>37</v>
      </c>
      <c r="D3966" s="6" t="s">
        <v>9010</v>
      </c>
      <c r="E3966" s="6" t="s">
        <v>125</v>
      </c>
      <c r="F3966" s="6" t="s">
        <v>40</v>
      </c>
      <c r="G3966" s="7">
        <v>0.1</v>
      </c>
      <c r="H3966" s="6" t="s">
        <v>313</v>
      </c>
      <c r="I3966" s="6" t="s">
        <v>20</v>
      </c>
      <c r="J3966" s="6">
        <v>1995.0</v>
      </c>
      <c r="L3966" s="6">
        <v>1.0</v>
      </c>
      <c r="M3966" s="8">
        <f t="shared" si="4"/>
        <v>0.1</v>
      </c>
      <c r="P3966" s="9"/>
    </row>
    <row r="3967">
      <c r="A3967" s="6" t="s">
        <v>9011</v>
      </c>
      <c r="B3967" s="6" t="s">
        <v>119</v>
      </c>
      <c r="C3967" s="6" t="s">
        <v>204</v>
      </c>
      <c r="D3967" s="6" t="s">
        <v>9012</v>
      </c>
      <c r="E3967" s="6" t="s">
        <v>125</v>
      </c>
      <c r="F3967" s="6" t="s">
        <v>40</v>
      </c>
      <c r="G3967" s="7">
        <v>0.19</v>
      </c>
      <c r="H3967" s="6" t="s">
        <v>58</v>
      </c>
      <c r="I3967" s="6" t="s">
        <v>20</v>
      </c>
      <c r="J3967" s="6">
        <v>1995.0</v>
      </c>
      <c r="L3967" s="6">
        <v>1.0</v>
      </c>
      <c r="M3967" s="8">
        <f t="shared" si="4"/>
        <v>0.19</v>
      </c>
      <c r="P3967" s="9"/>
    </row>
    <row r="3968">
      <c r="A3968" s="6" t="s">
        <v>9013</v>
      </c>
      <c r="B3968" s="6" t="s">
        <v>1192</v>
      </c>
      <c r="C3968" s="6" t="s">
        <v>43</v>
      </c>
      <c r="D3968" s="6" t="s">
        <v>9014</v>
      </c>
      <c r="E3968" s="6" t="s">
        <v>135</v>
      </c>
      <c r="F3968" s="6" t="s">
        <v>40</v>
      </c>
      <c r="G3968" s="7">
        <v>0.05</v>
      </c>
      <c r="H3968" s="6" t="s">
        <v>58</v>
      </c>
      <c r="I3968" s="6" t="s">
        <v>20</v>
      </c>
      <c r="J3968" s="6">
        <v>1995.0</v>
      </c>
      <c r="K3968" s="10">
        <v>46023.0</v>
      </c>
      <c r="L3968" s="6">
        <v>2.0</v>
      </c>
      <c r="M3968" s="8">
        <f t="shared" si="4"/>
        <v>0.1</v>
      </c>
      <c r="P3968" s="9"/>
    </row>
    <row r="3969">
      <c r="A3969" s="6" t="s">
        <v>9015</v>
      </c>
      <c r="B3969" s="6" t="s">
        <v>9016</v>
      </c>
      <c r="C3969" s="6" t="s">
        <v>61</v>
      </c>
      <c r="D3969" s="6" t="s">
        <v>9017</v>
      </c>
      <c r="E3969" s="6" t="s">
        <v>282</v>
      </c>
      <c r="F3969" s="6" t="s">
        <v>40</v>
      </c>
      <c r="G3969" s="7">
        <v>0.19</v>
      </c>
      <c r="H3969" s="6" t="s">
        <v>3245</v>
      </c>
      <c r="I3969" s="6" t="s">
        <v>20</v>
      </c>
      <c r="J3969" s="6">
        <v>1995.0</v>
      </c>
      <c r="K3969" s="10">
        <v>46055.0</v>
      </c>
      <c r="L3969" s="6">
        <v>1.0</v>
      </c>
      <c r="M3969" s="8">
        <f t="shared" si="4"/>
        <v>0.19</v>
      </c>
      <c r="P3969" s="9"/>
    </row>
    <row r="3970">
      <c r="A3970" s="6" t="s">
        <v>9018</v>
      </c>
      <c r="B3970" s="6" t="s">
        <v>9019</v>
      </c>
      <c r="C3970" s="6" t="s">
        <v>61</v>
      </c>
      <c r="D3970" s="6" t="s">
        <v>9020</v>
      </c>
      <c r="E3970" s="6" t="s">
        <v>282</v>
      </c>
      <c r="F3970" s="6" t="s">
        <v>40</v>
      </c>
      <c r="G3970" s="7">
        <v>1.75</v>
      </c>
      <c r="H3970" s="6" t="s">
        <v>58</v>
      </c>
      <c r="I3970" s="6" t="s">
        <v>20</v>
      </c>
      <c r="J3970" s="6">
        <v>1995.0</v>
      </c>
      <c r="K3970" s="6" t="s">
        <v>9021</v>
      </c>
      <c r="L3970" s="6">
        <v>1.0</v>
      </c>
      <c r="M3970" s="8">
        <f t="shared" si="4"/>
        <v>1.75</v>
      </c>
      <c r="N3970" s="6" t="s">
        <v>122</v>
      </c>
      <c r="P3970" s="9"/>
    </row>
    <row r="3971">
      <c r="A3971" s="6" t="s">
        <v>9022</v>
      </c>
      <c r="B3971" s="6" t="s">
        <v>462</v>
      </c>
      <c r="C3971" s="6" t="s">
        <v>37</v>
      </c>
      <c r="D3971" s="6" t="s">
        <v>9023</v>
      </c>
      <c r="E3971" s="6" t="s">
        <v>125</v>
      </c>
      <c r="F3971" s="6" t="s">
        <v>40</v>
      </c>
      <c r="G3971" s="7">
        <v>0.18</v>
      </c>
      <c r="H3971" s="6" t="s">
        <v>324</v>
      </c>
      <c r="I3971" s="6" t="s">
        <v>20</v>
      </c>
      <c r="J3971" s="6">
        <v>1995.0</v>
      </c>
      <c r="L3971" s="6">
        <v>2.0</v>
      </c>
      <c r="M3971" s="8">
        <f t="shared" si="4"/>
        <v>0.36</v>
      </c>
      <c r="P3971" s="9"/>
    </row>
    <row r="3972">
      <c r="A3972" s="6" t="s">
        <v>9024</v>
      </c>
      <c r="B3972" s="6" t="s">
        <v>6028</v>
      </c>
      <c r="C3972" s="6" t="s">
        <v>43</v>
      </c>
      <c r="D3972" s="6" t="s">
        <v>9025</v>
      </c>
      <c r="E3972" s="6" t="s">
        <v>135</v>
      </c>
      <c r="F3972" s="6" t="s">
        <v>40</v>
      </c>
      <c r="G3972" s="7">
        <v>0.09</v>
      </c>
      <c r="H3972" s="6" t="s">
        <v>58</v>
      </c>
      <c r="I3972" s="6" t="s">
        <v>20</v>
      </c>
      <c r="J3972" s="6">
        <v>1995.0</v>
      </c>
      <c r="K3972" s="10">
        <v>46023.0</v>
      </c>
      <c r="L3972" s="6">
        <v>3.0</v>
      </c>
      <c r="M3972" s="8">
        <f t="shared" si="4"/>
        <v>0.27</v>
      </c>
      <c r="P3972" s="9"/>
    </row>
    <row r="3973">
      <c r="A3973" s="6" t="s">
        <v>9026</v>
      </c>
      <c r="B3973" s="6" t="s">
        <v>929</v>
      </c>
      <c r="C3973" s="6" t="s">
        <v>37</v>
      </c>
      <c r="D3973" s="6" t="s">
        <v>9027</v>
      </c>
      <c r="E3973" s="6" t="s">
        <v>420</v>
      </c>
      <c r="F3973" s="6" t="s">
        <v>40</v>
      </c>
      <c r="G3973" s="7">
        <v>0.1</v>
      </c>
      <c r="H3973" s="6" t="s">
        <v>58</v>
      </c>
      <c r="I3973" s="6" t="s">
        <v>20</v>
      </c>
      <c r="J3973" s="6">
        <v>1995.0</v>
      </c>
      <c r="K3973" s="10">
        <v>46084.0</v>
      </c>
      <c r="L3973" s="6">
        <v>2.0</v>
      </c>
      <c r="M3973" s="8">
        <f t="shared" si="4"/>
        <v>0.2</v>
      </c>
      <c r="P3973" s="9"/>
    </row>
    <row r="3974">
      <c r="A3974" s="6" t="s">
        <v>9028</v>
      </c>
      <c r="B3974" s="6" t="s">
        <v>552</v>
      </c>
      <c r="C3974" s="6" t="s">
        <v>204</v>
      </c>
      <c r="D3974" s="6" t="s">
        <v>9029</v>
      </c>
      <c r="E3974" s="6" t="s">
        <v>135</v>
      </c>
      <c r="F3974" s="6" t="s">
        <v>40</v>
      </c>
      <c r="G3974" s="7">
        <v>0.48</v>
      </c>
      <c r="H3974" s="6" t="s">
        <v>316</v>
      </c>
      <c r="I3974" s="6" t="s">
        <v>20</v>
      </c>
      <c r="J3974" s="6">
        <v>1995.0</v>
      </c>
      <c r="L3974" s="6">
        <v>3.0</v>
      </c>
      <c r="M3974" s="8">
        <f t="shared" si="4"/>
        <v>1.44</v>
      </c>
      <c r="P3974" s="9"/>
    </row>
    <row r="3975">
      <c r="A3975" s="6" t="s">
        <v>9028</v>
      </c>
      <c r="B3975" s="6" t="s">
        <v>552</v>
      </c>
      <c r="C3975" s="6" t="s">
        <v>204</v>
      </c>
      <c r="D3975" s="6" t="s">
        <v>9029</v>
      </c>
      <c r="E3975" s="6" t="s">
        <v>135</v>
      </c>
      <c r="F3975" s="6" t="s">
        <v>40</v>
      </c>
      <c r="G3975" s="7">
        <v>0.14</v>
      </c>
      <c r="H3975" s="6" t="s">
        <v>324</v>
      </c>
      <c r="I3975" s="6" t="s">
        <v>20</v>
      </c>
      <c r="J3975" s="6">
        <v>1995.0</v>
      </c>
      <c r="L3975" s="6">
        <v>2.0</v>
      </c>
      <c r="M3975" s="8">
        <f t="shared" si="4"/>
        <v>0.28</v>
      </c>
      <c r="P3975" s="9"/>
    </row>
    <row r="3976">
      <c r="A3976" s="6" t="s">
        <v>9030</v>
      </c>
      <c r="B3976" s="6" t="s">
        <v>9031</v>
      </c>
      <c r="C3976" s="6" t="s">
        <v>61</v>
      </c>
      <c r="D3976" s="6" t="s">
        <v>9032</v>
      </c>
      <c r="E3976" s="6" t="s">
        <v>39</v>
      </c>
      <c r="F3976" s="6" t="s">
        <v>40</v>
      </c>
      <c r="G3976" s="7">
        <v>0.06</v>
      </c>
      <c r="H3976" s="6" t="s">
        <v>3245</v>
      </c>
      <c r="I3976" s="6" t="s">
        <v>20</v>
      </c>
      <c r="J3976" s="6">
        <v>1995.0</v>
      </c>
      <c r="K3976" s="6" t="s">
        <v>233</v>
      </c>
      <c r="L3976" s="6">
        <v>2.0</v>
      </c>
      <c r="M3976" s="8">
        <f t="shared" si="4"/>
        <v>0.12</v>
      </c>
      <c r="P3976" s="9"/>
    </row>
    <row r="3977">
      <c r="A3977" s="6" t="s">
        <v>9033</v>
      </c>
      <c r="B3977" s="6" t="s">
        <v>9034</v>
      </c>
      <c r="C3977" s="6" t="s">
        <v>204</v>
      </c>
      <c r="D3977" s="6" t="s">
        <v>5137</v>
      </c>
      <c r="E3977" s="6" t="s">
        <v>57</v>
      </c>
      <c r="F3977" s="6" t="s">
        <v>40</v>
      </c>
      <c r="G3977" s="7">
        <v>0.17</v>
      </c>
      <c r="H3977" s="6" t="s">
        <v>316</v>
      </c>
      <c r="I3977" s="6" t="s">
        <v>20</v>
      </c>
      <c r="J3977" s="6">
        <v>1995.0</v>
      </c>
      <c r="K3977" s="10">
        <v>46055.0</v>
      </c>
      <c r="L3977" s="6">
        <v>3.0</v>
      </c>
      <c r="M3977" s="8">
        <f t="shared" si="4"/>
        <v>0.51</v>
      </c>
      <c r="P3977" s="9"/>
    </row>
    <row r="3978">
      <c r="A3978" s="6" t="s">
        <v>9033</v>
      </c>
      <c r="B3978" s="6" t="s">
        <v>9034</v>
      </c>
      <c r="C3978" s="6" t="s">
        <v>204</v>
      </c>
      <c r="D3978" s="6" t="s">
        <v>5137</v>
      </c>
      <c r="E3978" s="6" t="s">
        <v>57</v>
      </c>
      <c r="F3978" s="6" t="s">
        <v>40</v>
      </c>
      <c r="G3978" s="7">
        <v>0.07</v>
      </c>
      <c r="H3978" s="6" t="s">
        <v>324</v>
      </c>
      <c r="I3978" s="6" t="s">
        <v>20</v>
      </c>
      <c r="J3978" s="6">
        <v>1995.0</v>
      </c>
      <c r="K3978" s="10">
        <v>46055.0</v>
      </c>
      <c r="L3978" s="6">
        <v>4.0</v>
      </c>
      <c r="M3978" s="8">
        <f t="shared" si="4"/>
        <v>0.28</v>
      </c>
      <c r="P3978" s="9"/>
    </row>
    <row r="3979">
      <c r="A3979" s="6" t="s">
        <v>9035</v>
      </c>
      <c r="B3979" s="6" t="s">
        <v>9036</v>
      </c>
      <c r="C3979" s="6" t="s">
        <v>183</v>
      </c>
      <c r="D3979" s="6" t="s">
        <v>9037</v>
      </c>
      <c r="E3979" s="6" t="s">
        <v>9038</v>
      </c>
      <c r="F3979" s="6" t="s">
        <v>40</v>
      </c>
      <c r="G3979" s="7">
        <v>0.09</v>
      </c>
      <c r="H3979" s="6" t="s">
        <v>58</v>
      </c>
      <c r="I3979" s="6" t="s">
        <v>20</v>
      </c>
      <c r="J3979" s="6">
        <v>1995.0</v>
      </c>
      <c r="K3979" s="10">
        <v>46115.0</v>
      </c>
      <c r="L3979" s="6">
        <v>1.0</v>
      </c>
      <c r="M3979" s="8">
        <f t="shared" si="4"/>
        <v>0.09</v>
      </c>
      <c r="P3979" s="9"/>
    </row>
    <row r="3980">
      <c r="A3980" s="6" t="s">
        <v>54</v>
      </c>
      <c r="B3980" s="6" t="s">
        <v>55</v>
      </c>
      <c r="C3980" s="6" t="s">
        <v>43</v>
      </c>
      <c r="D3980" s="6" t="s">
        <v>56</v>
      </c>
      <c r="E3980" s="6" t="s">
        <v>57</v>
      </c>
      <c r="F3980" s="6" t="s">
        <v>40</v>
      </c>
      <c r="G3980" s="7">
        <v>0.05</v>
      </c>
      <c r="H3980" s="6" t="s">
        <v>58</v>
      </c>
      <c r="I3980" s="6" t="s">
        <v>20</v>
      </c>
      <c r="J3980" s="6">
        <v>1995.0</v>
      </c>
      <c r="K3980" s="10">
        <v>46082.0</v>
      </c>
      <c r="L3980" s="6">
        <v>1.0</v>
      </c>
      <c r="M3980" s="8">
        <f t="shared" si="4"/>
        <v>0.05</v>
      </c>
      <c r="P3980" s="9"/>
    </row>
    <row r="3981">
      <c r="A3981" s="6" t="s">
        <v>9039</v>
      </c>
      <c r="B3981" s="6" t="s">
        <v>9040</v>
      </c>
      <c r="C3981" s="6" t="s">
        <v>43</v>
      </c>
      <c r="D3981" s="6" t="s">
        <v>9041</v>
      </c>
      <c r="E3981" s="6" t="s">
        <v>125</v>
      </c>
      <c r="F3981" s="6" t="s">
        <v>40</v>
      </c>
      <c r="G3981" s="7">
        <v>0.09</v>
      </c>
      <c r="H3981" s="6" t="s">
        <v>58</v>
      </c>
      <c r="I3981" s="6" t="s">
        <v>20</v>
      </c>
      <c r="J3981" s="6">
        <v>1995.0</v>
      </c>
      <c r="K3981" s="10">
        <v>46023.0</v>
      </c>
      <c r="L3981" s="6">
        <v>4.0</v>
      </c>
      <c r="M3981" s="8">
        <f t="shared" si="4"/>
        <v>0.36</v>
      </c>
      <c r="P3981" s="9"/>
    </row>
    <row r="3982">
      <c r="A3982" s="6" t="s">
        <v>9042</v>
      </c>
      <c r="B3982" s="6" t="s">
        <v>254</v>
      </c>
      <c r="C3982" s="6" t="s">
        <v>43</v>
      </c>
      <c r="D3982" s="6" t="s">
        <v>9043</v>
      </c>
      <c r="E3982" s="6" t="s">
        <v>1448</v>
      </c>
      <c r="F3982" s="6" t="s">
        <v>40</v>
      </c>
      <c r="G3982" s="7">
        <v>0.15</v>
      </c>
      <c r="H3982" s="6" t="s">
        <v>58</v>
      </c>
      <c r="I3982" s="6" t="s">
        <v>20</v>
      </c>
      <c r="J3982" s="6">
        <v>1995.0</v>
      </c>
      <c r="L3982" s="6">
        <v>1.0</v>
      </c>
      <c r="M3982" s="8">
        <f t="shared" si="4"/>
        <v>0.15</v>
      </c>
      <c r="P3982" s="9"/>
    </row>
    <row r="3983">
      <c r="A3983" s="6" t="s">
        <v>9044</v>
      </c>
      <c r="B3983" s="6" t="s">
        <v>808</v>
      </c>
      <c r="C3983" s="6" t="s">
        <v>204</v>
      </c>
      <c r="D3983" s="6" t="s">
        <v>9045</v>
      </c>
      <c r="E3983" s="6" t="s">
        <v>5137</v>
      </c>
      <c r="F3983" s="6" t="s">
        <v>7142</v>
      </c>
      <c r="G3983" s="7">
        <v>1.75</v>
      </c>
      <c r="H3983" s="6" t="s">
        <v>9046</v>
      </c>
      <c r="I3983" s="6" t="s">
        <v>20</v>
      </c>
      <c r="J3983" s="6">
        <v>1996.0</v>
      </c>
      <c r="K3983" s="6" t="s">
        <v>5137</v>
      </c>
      <c r="L3983" s="6">
        <v>1.0</v>
      </c>
      <c r="M3983" s="8">
        <f t="shared" si="4"/>
        <v>1.75</v>
      </c>
      <c r="N3983" s="6" t="s">
        <v>122</v>
      </c>
      <c r="P3983" s="9"/>
    </row>
    <row r="3984">
      <c r="A3984" s="6" t="s">
        <v>9044</v>
      </c>
      <c r="B3984" s="6" t="s">
        <v>808</v>
      </c>
      <c r="C3984" s="6" t="s">
        <v>204</v>
      </c>
      <c r="D3984" s="6" t="s">
        <v>9045</v>
      </c>
      <c r="E3984" s="6" t="s">
        <v>5137</v>
      </c>
      <c r="F3984" s="6" t="s">
        <v>7142</v>
      </c>
      <c r="G3984" s="7">
        <v>0.87</v>
      </c>
      <c r="H3984" s="6" t="s">
        <v>9047</v>
      </c>
      <c r="I3984" s="6" t="s">
        <v>20</v>
      </c>
      <c r="J3984" s="6">
        <v>1999.0</v>
      </c>
      <c r="K3984" s="6" t="s">
        <v>5137</v>
      </c>
      <c r="L3984" s="6">
        <v>1.0</v>
      </c>
      <c r="M3984" s="8">
        <f t="shared" si="4"/>
        <v>0.87</v>
      </c>
      <c r="P3984" s="9"/>
    </row>
    <row r="3985">
      <c r="A3985" s="6" t="s">
        <v>9048</v>
      </c>
      <c r="B3985" s="6" t="s">
        <v>9049</v>
      </c>
      <c r="C3985" s="6" t="s">
        <v>30</v>
      </c>
      <c r="D3985" s="6" t="s">
        <v>9050</v>
      </c>
      <c r="F3985" s="6" t="s">
        <v>112</v>
      </c>
      <c r="G3985" s="7">
        <v>1.79</v>
      </c>
      <c r="H3985" s="6" t="s">
        <v>9051</v>
      </c>
      <c r="I3985" s="6" t="s">
        <v>45</v>
      </c>
      <c r="J3985" s="6">
        <v>1998.0</v>
      </c>
      <c r="L3985" s="6">
        <v>1.0</v>
      </c>
      <c r="M3985" s="8">
        <f t="shared" si="4"/>
        <v>1.79</v>
      </c>
      <c r="N3985" s="6" t="s">
        <v>122</v>
      </c>
      <c r="P3985" s="9"/>
    </row>
    <row r="3986">
      <c r="A3986" s="6" t="s">
        <v>9048</v>
      </c>
      <c r="B3986" s="6" t="s">
        <v>9049</v>
      </c>
      <c r="C3986" s="6" t="s">
        <v>30</v>
      </c>
      <c r="D3986" s="6" t="s">
        <v>9050</v>
      </c>
      <c r="F3986" s="6" t="s">
        <v>112</v>
      </c>
      <c r="G3986" s="7">
        <v>1.2</v>
      </c>
      <c r="H3986" s="6" t="s">
        <v>9051</v>
      </c>
      <c r="I3986" s="6" t="s">
        <v>45</v>
      </c>
      <c r="J3986" s="6">
        <v>1998.0</v>
      </c>
      <c r="L3986" s="6">
        <v>1.0</v>
      </c>
      <c r="M3986" s="8">
        <f t="shared" si="4"/>
        <v>1.2</v>
      </c>
      <c r="N3986" s="6" t="s">
        <v>122</v>
      </c>
      <c r="P3986" s="9"/>
    </row>
    <row r="3987">
      <c r="A3987" s="6" t="s">
        <v>9048</v>
      </c>
      <c r="B3987" s="6" t="s">
        <v>9049</v>
      </c>
      <c r="C3987" s="6" t="s">
        <v>30</v>
      </c>
      <c r="D3987" s="6" t="s">
        <v>9050</v>
      </c>
      <c r="F3987" s="6" t="s">
        <v>112</v>
      </c>
      <c r="G3987" s="7">
        <v>2.4</v>
      </c>
      <c r="H3987" s="6" t="s">
        <v>453</v>
      </c>
      <c r="I3987" s="6" t="s">
        <v>45</v>
      </c>
      <c r="J3987" s="6">
        <v>1994.0</v>
      </c>
      <c r="L3987" s="6">
        <v>2.0</v>
      </c>
      <c r="M3987" s="8">
        <f t="shared" si="4"/>
        <v>4.8</v>
      </c>
      <c r="N3987" s="6" t="s">
        <v>122</v>
      </c>
      <c r="P3987" s="9"/>
    </row>
    <row r="3988">
      <c r="A3988" s="6" t="s">
        <v>9048</v>
      </c>
      <c r="B3988" s="6" t="s">
        <v>9049</v>
      </c>
      <c r="C3988" s="6" t="s">
        <v>30</v>
      </c>
      <c r="D3988" s="6" t="s">
        <v>9050</v>
      </c>
      <c r="F3988" s="6" t="s">
        <v>112</v>
      </c>
      <c r="G3988" s="7">
        <v>0.51</v>
      </c>
      <c r="H3988" s="6" t="s">
        <v>9052</v>
      </c>
      <c r="I3988" s="6" t="s">
        <v>45</v>
      </c>
      <c r="J3988" s="6">
        <v>1999.0</v>
      </c>
      <c r="L3988" s="6">
        <v>1.0</v>
      </c>
      <c r="M3988" s="8">
        <f t="shared" si="4"/>
        <v>0.51</v>
      </c>
      <c r="P3988" s="9"/>
    </row>
    <row r="3989">
      <c r="A3989" s="6" t="s">
        <v>8620</v>
      </c>
      <c r="B3989" s="6" t="s">
        <v>8621</v>
      </c>
      <c r="C3989" s="6" t="s">
        <v>43</v>
      </c>
      <c r="D3989" s="6" t="s">
        <v>8622</v>
      </c>
      <c r="F3989" s="6" t="s">
        <v>87</v>
      </c>
      <c r="G3989" s="7">
        <v>1.28</v>
      </c>
      <c r="H3989" s="6" t="s">
        <v>9053</v>
      </c>
      <c r="I3989" s="6" t="s">
        <v>20</v>
      </c>
      <c r="J3989" s="6">
        <v>1997.0</v>
      </c>
      <c r="L3989" s="6">
        <v>2.0</v>
      </c>
      <c r="M3989" s="8">
        <f t="shared" si="4"/>
        <v>2.56</v>
      </c>
      <c r="N3989" s="6" t="s">
        <v>122</v>
      </c>
      <c r="P3989" s="9"/>
    </row>
    <row r="3990">
      <c r="A3990" s="6" t="s">
        <v>8620</v>
      </c>
      <c r="B3990" s="6" t="s">
        <v>8621</v>
      </c>
      <c r="C3990" s="6" t="s">
        <v>43</v>
      </c>
      <c r="D3990" s="6" t="s">
        <v>8622</v>
      </c>
      <c r="F3990" s="6" t="s">
        <v>87</v>
      </c>
      <c r="G3990" s="7">
        <v>0.99</v>
      </c>
      <c r="H3990" s="6" t="s">
        <v>9053</v>
      </c>
      <c r="I3990" s="6" t="s">
        <v>20</v>
      </c>
      <c r="J3990" s="6">
        <v>1997.0</v>
      </c>
      <c r="L3990" s="6">
        <v>1.0</v>
      </c>
      <c r="M3990" s="8">
        <f t="shared" si="4"/>
        <v>0.99</v>
      </c>
      <c r="N3990" s="6" t="s">
        <v>122</v>
      </c>
      <c r="P3990" s="9"/>
    </row>
    <row r="3991">
      <c r="A3991" s="6" t="s">
        <v>8620</v>
      </c>
      <c r="B3991" s="6" t="s">
        <v>8621</v>
      </c>
      <c r="C3991" s="6" t="s">
        <v>43</v>
      </c>
      <c r="D3991" s="6" t="s">
        <v>8622</v>
      </c>
      <c r="F3991" s="6" t="s">
        <v>87</v>
      </c>
      <c r="G3991" s="7">
        <v>1.0</v>
      </c>
      <c r="H3991" s="6" t="s">
        <v>9053</v>
      </c>
      <c r="I3991" s="6" t="s">
        <v>20</v>
      </c>
      <c r="J3991" s="6">
        <v>1997.0</v>
      </c>
      <c r="L3991" s="6">
        <v>1.0</v>
      </c>
      <c r="M3991" s="8">
        <f t="shared" si="4"/>
        <v>1</v>
      </c>
      <c r="N3991" s="6" t="s">
        <v>122</v>
      </c>
      <c r="P3991" s="9"/>
    </row>
    <row r="3992">
      <c r="A3992" s="6" t="s">
        <v>8620</v>
      </c>
      <c r="B3992" s="6" t="s">
        <v>8621</v>
      </c>
      <c r="C3992" s="6" t="s">
        <v>43</v>
      </c>
      <c r="D3992" s="6" t="s">
        <v>8622</v>
      </c>
      <c r="F3992" s="6" t="s">
        <v>87</v>
      </c>
      <c r="G3992" s="7">
        <v>0.92</v>
      </c>
      <c r="H3992" s="6" t="s">
        <v>9053</v>
      </c>
      <c r="I3992" s="6" t="s">
        <v>20</v>
      </c>
      <c r="J3992" s="6">
        <v>1997.0</v>
      </c>
      <c r="L3992" s="6">
        <v>1.0</v>
      </c>
      <c r="M3992" s="8">
        <f t="shared" si="4"/>
        <v>0.92</v>
      </c>
      <c r="N3992" s="6" t="s">
        <v>122</v>
      </c>
      <c r="P3992" s="9"/>
    </row>
    <row r="3993">
      <c r="A3993" s="6" t="s">
        <v>8620</v>
      </c>
      <c r="B3993" s="6" t="s">
        <v>8621</v>
      </c>
      <c r="C3993" s="6" t="s">
        <v>43</v>
      </c>
      <c r="D3993" s="6" t="s">
        <v>8622</v>
      </c>
      <c r="F3993" s="6" t="s">
        <v>87</v>
      </c>
      <c r="G3993" s="7">
        <v>1.91</v>
      </c>
      <c r="H3993" s="6" t="s">
        <v>324</v>
      </c>
      <c r="I3993" s="6" t="s">
        <v>20</v>
      </c>
      <c r="J3993" s="6">
        <v>1995.0</v>
      </c>
      <c r="L3993" s="6">
        <v>2.0</v>
      </c>
      <c r="M3993" s="8">
        <f t="shared" si="4"/>
        <v>3.82</v>
      </c>
      <c r="N3993" s="6" t="s">
        <v>122</v>
      </c>
      <c r="P3993" s="9"/>
    </row>
    <row r="3994">
      <c r="A3994" s="6" t="s">
        <v>8620</v>
      </c>
      <c r="B3994" s="6" t="s">
        <v>8621</v>
      </c>
      <c r="C3994" s="6" t="s">
        <v>43</v>
      </c>
      <c r="D3994" s="6" t="s">
        <v>8622</v>
      </c>
      <c r="F3994" s="6" t="s">
        <v>87</v>
      </c>
      <c r="G3994" s="7">
        <v>1.39</v>
      </c>
      <c r="H3994" s="6" t="s">
        <v>324</v>
      </c>
      <c r="I3994" s="6" t="s">
        <v>20</v>
      </c>
      <c r="J3994" s="6">
        <v>1995.0</v>
      </c>
      <c r="L3994" s="6">
        <v>1.0</v>
      </c>
      <c r="M3994" s="8">
        <f t="shared" si="4"/>
        <v>1.39</v>
      </c>
      <c r="N3994" s="6" t="s">
        <v>122</v>
      </c>
      <c r="P3994" s="9"/>
    </row>
    <row r="3995">
      <c r="A3995" s="6" t="s">
        <v>8620</v>
      </c>
      <c r="B3995" s="6" t="s">
        <v>8621</v>
      </c>
      <c r="C3995" s="6" t="s">
        <v>43</v>
      </c>
      <c r="D3995" s="6" t="s">
        <v>8622</v>
      </c>
      <c r="F3995" s="6" t="s">
        <v>87</v>
      </c>
      <c r="G3995" s="7">
        <v>0.8</v>
      </c>
      <c r="H3995" s="11" t="s">
        <v>9047</v>
      </c>
      <c r="I3995" s="11" t="s">
        <v>20</v>
      </c>
      <c r="J3995" s="12">
        <v>1999.0</v>
      </c>
      <c r="L3995" s="6">
        <v>1.0</v>
      </c>
      <c r="M3995" s="8">
        <f t="shared" si="4"/>
        <v>0.8</v>
      </c>
      <c r="P3995" s="9"/>
    </row>
    <row r="3996">
      <c r="A3996" s="6" t="s">
        <v>8620</v>
      </c>
      <c r="B3996" s="6" t="s">
        <v>8621</v>
      </c>
      <c r="C3996" s="6" t="s">
        <v>43</v>
      </c>
      <c r="D3996" s="6" t="s">
        <v>8622</v>
      </c>
      <c r="F3996" s="6" t="s">
        <v>87</v>
      </c>
      <c r="G3996" s="7">
        <v>0.99</v>
      </c>
      <c r="H3996" s="11" t="s">
        <v>9047</v>
      </c>
      <c r="I3996" s="11" t="s">
        <v>20</v>
      </c>
      <c r="J3996" s="12">
        <v>1999.0</v>
      </c>
      <c r="L3996" s="6">
        <v>1.0</v>
      </c>
      <c r="M3996" s="8">
        <f t="shared" si="4"/>
        <v>0.99</v>
      </c>
      <c r="N3996" s="6" t="s">
        <v>122</v>
      </c>
      <c r="P3996" s="9"/>
    </row>
    <row r="3997">
      <c r="A3997" s="6" t="s">
        <v>8620</v>
      </c>
      <c r="B3997" s="6" t="s">
        <v>8621</v>
      </c>
      <c r="C3997" s="6" t="s">
        <v>43</v>
      </c>
      <c r="D3997" s="6" t="s">
        <v>8622</v>
      </c>
      <c r="F3997" s="6" t="s">
        <v>87</v>
      </c>
      <c r="G3997" s="7">
        <v>0.75</v>
      </c>
      <c r="H3997" s="11" t="s">
        <v>9047</v>
      </c>
      <c r="I3997" s="11" t="s">
        <v>20</v>
      </c>
      <c r="J3997" s="12">
        <v>1999.0</v>
      </c>
      <c r="L3997" s="6">
        <v>2.0</v>
      </c>
      <c r="M3997" s="8">
        <f t="shared" si="4"/>
        <v>1.5</v>
      </c>
      <c r="P3997" s="9"/>
    </row>
    <row r="3998">
      <c r="A3998" s="6" t="s">
        <v>8620</v>
      </c>
      <c r="B3998" s="6" t="s">
        <v>8621</v>
      </c>
      <c r="C3998" s="6" t="s">
        <v>43</v>
      </c>
      <c r="D3998" s="6" t="s">
        <v>8622</v>
      </c>
      <c r="F3998" s="6" t="s">
        <v>87</v>
      </c>
      <c r="G3998" s="7">
        <v>1.5</v>
      </c>
      <c r="H3998" s="11" t="s">
        <v>9047</v>
      </c>
      <c r="I3998" s="11" t="s">
        <v>20</v>
      </c>
      <c r="J3998" s="12">
        <v>1999.0</v>
      </c>
      <c r="L3998" s="6">
        <v>2.0</v>
      </c>
      <c r="M3998" s="8">
        <f t="shared" si="4"/>
        <v>3</v>
      </c>
      <c r="N3998" s="6" t="s">
        <v>122</v>
      </c>
      <c r="P3998" s="9"/>
    </row>
    <row r="3999">
      <c r="A3999" s="6" t="s">
        <v>8620</v>
      </c>
      <c r="B3999" s="6" t="s">
        <v>8621</v>
      </c>
      <c r="C3999" s="6" t="s">
        <v>43</v>
      </c>
      <c r="D3999" s="6" t="s">
        <v>8622</v>
      </c>
      <c r="F3999" s="6" t="s">
        <v>87</v>
      </c>
      <c r="G3999" s="7">
        <v>0.95</v>
      </c>
      <c r="H3999" s="6" t="s">
        <v>9052</v>
      </c>
      <c r="I3999" s="11" t="s">
        <v>20</v>
      </c>
      <c r="J3999" s="12">
        <v>1999.0</v>
      </c>
      <c r="L3999" s="6">
        <v>2.0</v>
      </c>
      <c r="M3999" s="8">
        <f t="shared" si="4"/>
        <v>1.9</v>
      </c>
      <c r="P3999" s="9"/>
    </row>
    <row r="4000">
      <c r="A4000" s="6" t="s">
        <v>8620</v>
      </c>
      <c r="B4000" s="6" t="s">
        <v>8621</v>
      </c>
      <c r="C4000" s="6" t="s">
        <v>43</v>
      </c>
      <c r="D4000" s="6" t="s">
        <v>8622</v>
      </c>
      <c r="F4000" s="6" t="s">
        <v>87</v>
      </c>
      <c r="G4000" s="7">
        <v>1.0</v>
      </c>
      <c r="H4000" s="6" t="s">
        <v>9052</v>
      </c>
      <c r="I4000" s="11" t="s">
        <v>20</v>
      </c>
      <c r="J4000" s="12">
        <v>1999.0</v>
      </c>
      <c r="L4000" s="6">
        <v>1.0</v>
      </c>
      <c r="M4000" s="8">
        <f t="shared" si="4"/>
        <v>1</v>
      </c>
      <c r="N4000" s="6" t="s">
        <v>122</v>
      </c>
      <c r="P4000" s="9"/>
    </row>
    <row r="4001">
      <c r="A4001" s="6" t="s">
        <v>8620</v>
      </c>
      <c r="B4001" s="6" t="s">
        <v>8621</v>
      </c>
      <c r="C4001" s="6" t="s">
        <v>43</v>
      </c>
      <c r="D4001" s="6" t="s">
        <v>8622</v>
      </c>
      <c r="F4001" s="6" t="s">
        <v>87</v>
      </c>
      <c r="G4001" s="7">
        <v>0.45</v>
      </c>
      <c r="H4001" s="6" t="s">
        <v>9052</v>
      </c>
      <c r="I4001" s="11" t="s">
        <v>20</v>
      </c>
      <c r="J4001" s="12">
        <v>1999.0</v>
      </c>
      <c r="L4001" s="6">
        <v>2.0</v>
      </c>
      <c r="M4001" s="8">
        <f t="shared" si="4"/>
        <v>0.9</v>
      </c>
      <c r="P4001" s="9"/>
    </row>
    <row r="4002">
      <c r="A4002" s="6" t="s">
        <v>8620</v>
      </c>
      <c r="B4002" s="6" t="s">
        <v>8621</v>
      </c>
      <c r="C4002" s="6" t="s">
        <v>43</v>
      </c>
      <c r="D4002" s="6" t="s">
        <v>8622</v>
      </c>
      <c r="F4002" s="6" t="s">
        <v>87</v>
      </c>
      <c r="G4002" s="7">
        <v>0.99</v>
      </c>
      <c r="H4002" s="6" t="s">
        <v>9052</v>
      </c>
      <c r="I4002" s="11" t="s">
        <v>20</v>
      </c>
      <c r="J4002" s="12">
        <v>1999.0</v>
      </c>
      <c r="L4002" s="6">
        <v>3.0</v>
      </c>
      <c r="M4002" s="8">
        <f t="shared" si="4"/>
        <v>2.97</v>
      </c>
      <c r="N4002" s="6" t="s">
        <v>122</v>
      </c>
      <c r="P4002" s="9"/>
    </row>
    <row r="4003">
      <c r="A4003" s="6" t="s">
        <v>8620</v>
      </c>
      <c r="B4003" s="6" t="s">
        <v>8621</v>
      </c>
      <c r="C4003" s="6" t="s">
        <v>43</v>
      </c>
      <c r="D4003" s="6" t="s">
        <v>8622</v>
      </c>
      <c r="F4003" s="6" t="s">
        <v>87</v>
      </c>
      <c r="G4003" s="7">
        <v>0.99</v>
      </c>
      <c r="H4003" s="6" t="s">
        <v>9052</v>
      </c>
      <c r="I4003" s="11" t="s">
        <v>20</v>
      </c>
      <c r="J4003" s="12">
        <v>1999.0</v>
      </c>
      <c r="L4003" s="6">
        <v>1.0</v>
      </c>
      <c r="M4003" s="8">
        <f t="shared" si="4"/>
        <v>0.99</v>
      </c>
      <c r="P4003" s="9"/>
    </row>
    <row r="4004">
      <c r="A4004" s="6" t="s">
        <v>8620</v>
      </c>
      <c r="B4004" s="6" t="s">
        <v>8621</v>
      </c>
      <c r="C4004" s="6" t="s">
        <v>43</v>
      </c>
      <c r="D4004" s="6" t="s">
        <v>8622</v>
      </c>
      <c r="F4004" s="6" t="s">
        <v>87</v>
      </c>
      <c r="G4004" s="7">
        <v>0.94</v>
      </c>
      <c r="H4004" s="6" t="s">
        <v>9051</v>
      </c>
      <c r="I4004" s="6" t="s">
        <v>45</v>
      </c>
      <c r="J4004" s="6">
        <v>1998.0</v>
      </c>
      <c r="L4004" s="6">
        <v>1.0</v>
      </c>
      <c r="M4004" s="8">
        <f t="shared" si="4"/>
        <v>0.94</v>
      </c>
      <c r="P4004" s="9"/>
    </row>
    <row r="4005">
      <c r="A4005" s="6" t="s">
        <v>5551</v>
      </c>
      <c r="B4005" s="6" t="s">
        <v>5552</v>
      </c>
      <c r="C4005" s="6" t="s">
        <v>43</v>
      </c>
      <c r="D4005" s="6" t="s">
        <v>5553</v>
      </c>
      <c r="F4005" s="6" t="s">
        <v>40</v>
      </c>
      <c r="G4005" s="7">
        <v>2.5</v>
      </c>
      <c r="H4005" s="6" t="s">
        <v>453</v>
      </c>
      <c r="I4005" s="6" t="s">
        <v>20</v>
      </c>
      <c r="J4005" s="6">
        <v>1994.0</v>
      </c>
      <c r="L4005" s="6">
        <v>2.0</v>
      </c>
      <c r="M4005" s="8">
        <f t="shared" si="4"/>
        <v>5</v>
      </c>
      <c r="N4005" s="6" t="s">
        <v>122</v>
      </c>
      <c r="P4005" s="9"/>
    </row>
    <row r="4006">
      <c r="A4006" s="6" t="s">
        <v>5551</v>
      </c>
      <c r="B4006" s="6" t="s">
        <v>5552</v>
      </c>
      <c r="C4006" s="6" t="s">
        <v>43</v>
      </c>
      <c r="D4006" s="6" t="s">
        <v>5553</v>
      </c>
      <c r="F4006" s="6" t="s">
        <v>40</v>
      </c>
      <c r="G4006" s="7">
        <v>2.15</v>
      </c>
      <c r="H4006" s="6" t="s">
        <v>453</v>
      </c>
      <c r="I4006" s="6" t="s">
        <v>20</v>
      </c>
      <c r="J4006" s="6">
        <v>1994.0</v>
      </c>
      <c r="L4006" s="6">
        <v>3.0</v>
      </c>
      <c r="M4006" s="8">
        <f t="shared" si="4"/>
        <v>6.45</v>
      </c>
      <c r="N4006" s="6" t="s">
        <v>122</v>
      </c>
      <c r="P4006" s="9"/>
    </row>
    <row r="4007">
      <c r="A4007" s="6" t="s">
        <v>5551</v>
      </c>
      <c r="B4007" s="6" t="s">
        <v>5552</v>
      </c>
      <c r="C4007" s="6" t="s">
        <v>43</v>
      </c>
      <c r="D4007" s="6" t="s">
        <v>5553</v>
      </c>
      <c r="F4007" s="6" t="s">
        <v>40</v>
      </c>
      <c r="G4007" s="7">
        <v>0.48</v>
      </c>
      <c r="H4007" s="6" t="s">
        <v>324</v>
      </c>
      <c r="I4007" s="6" t="s">
        <v>20</v>
      </c>
      <c r="J4007" s="6">
        <v>1995.0</v>
      </c>
      <c r="L4007" s="6">
        <v>1.0</v>
      </c>
      <c r="M4007" s="8">
        <f t="shared" si="4"/>
        <v>0.48</v>
      </c>
      <c r="P4007" s="9"/>
    </row>
    <row r="4008">
      <c r="A4008" s="6" t="s">
        <v>5551</v>
      </c>
      <c r="B4008" s="6" t="s">
        <v>5552</v>
      </c>
      <c r="C4008" s="6" t="s">
        <v>43</v>
      </c>
      <c r="D4008" s="6" t="s">
        <v>5553</v>
      </c>
      <c r="F4008" s="6" t="s">
        <v>40</v>
      </c>
      <c r="G4008" s="7">
        <v>0.8</v>
      </c>
      <c r="H4008" s="6" t="s">
        <v>324</v>
      </c>
      <c r="I4008" s="6" t="s">
        <v>20</v>
      </c>
      <c r="J4008" s="6">
        <v>1995.0</v>
      </c>
      <c r="L4008" s="6">
        <v>2.0</v>
      </c>
      <c r="M4008" s="8">
        <f t="shared" si="4"/>
        <v>1.6</v>
      </c>
      <c r="P4008" s="9"/>
    </row>
    <row r="4009">
      <c r="A4009" s="6" t="s">
        <v>5551</v>
      </c>
      <c r="B4009" s="6" t="s">
        <v>5552</v>
      </c>
      <c r="C4009" s="6" t="s">
        <v>43</v>
      </c>
      <c r="D4009" s="6" t="s">
        <v>5553</v>
      </c>
      <c r="F4009" s="6" t="s">
        <v>40</v>
      </c>
      <c r="G4009" s="7">
        <v>0.48</v>
      </c>
      <c r="H4009" s="6" t="s">
        <v>324</v>
      </c>
      <c r="I4009" s="6" t="s">
        <v>20</v>
      </c>
      <c r="J4009" s="6">
        <v>1995.0</v>
      </c>
      <c r="L4009" s="6">
        <v>1.0</v>
      </c>
      <c r="M4009" s="8">
        <f t="shared" si="4"/>
        <v>0.48</v>
      </c>
      <c r="P4009" s="9"/>
    </row>
    <row r="4010">
      <c r="A4010" s="6" t="s">
        <v>5551</v>
      </c>
      <c r="B4010" s="6" t="s">
        <v>5552</v>
      </c>
      <c r="C4010" s="6" t="s">
        <v>43</v>
      </c>
      <c r="D4010" s="6" t="s">
        <v>5553</v>
      </c>
      <c r="F4010" s="6" t="s">
        <v>40</v>
      </c>
      <c r="G4010" s="7">
        <v>0.4</v>
      </c>
      <c r="H4010" s="6" t="s">
        <v>9054</v>
      </c>
      <c r="I4010" s="6" t="s">
        <v>20</v>
      </c>
      <c r="J4010" s="6">
        <v>2000.0</v>
      </c>
      <c r="L4010" s="6">
        <v>1.0</v>
      </c>
      <c r="M4010" s="8">
        <f t="shared" si="4"/>
        <v>0.4</v>
      </c>
      <c r="P4010" s="9"/>
    </row>
    <row r="4011">
      <c r="A4011" s="6" t="s">
        <v>9055</v>
      </c>
      <c r="B4011" s="6" t="s">
        <v>146</v>
      </c>
      <c r="C4011" s="6" t="s">
        <v>37</v>
      </c>
      <c r="D4011" s="6" t="s">
        <v>9056</v>
      </c>
      <c r="E4011" s="6" t="s">
        <v>256</v>
      </c>
      <c r="F4011" s="6" t="s">
        <v>87</v>
      </c>
      <c r="G4011" s="7">
        <v>0.1</v>
      </c>
      <c r="H4011" s="6" t="s">
        <v>373</v>
      </c>
      <c r="I4011" s="6" t="s">
        <v>20</v>
      </c>
      <c r="J4011" s="6">
        <v>2015.0</v>
      </c>
      <c r="L4011" s="6">
        <v>1.0</v>
      </c>
      <c r="M4011" s="8">
        <f t="shared" si="4"/>
        <v>0.1</v>
      </c>
      <c r="P4011" s="9"/>
    </row>
    <row r="4012">
      <c r="A4012" s="6" t="s">
        <v>9057</v>
      </c>
      <c r="B4012" s="6" t="s">
        <v>494</v>
      </c>
      <c r="C4012" s="6" t="s">
        <v>43</v>
      </c>
      <c r="D4012" s="6" t="s">
        <v>9058</v>
      </c>
      <c r="E4012" s="6" t="s">
        <v>86</v>
      </c>
      <c r="F4012" s="6" t="s">
        <v>87</v>
      </c>
      <c r="G4012" s="7">
        <v>0.06</v>
      </c>
      <c r="H4012" s="6" t="s">
        <v>65</v>
      </c>
      <c r="I4012" s="6" t="s">
        <v>20</v>
      </c>
      <c r="J4012" s="6">
        <v>2013.0</v>
      </c>
      <c r="L4012" s="6">
        <v>1.0</v>
      </c>
      <c r="M4012" s="8">
        <f t="shared" si="4"/>
        <v>0.06</v>
      </c>
      <c r="P4012" s="9"/>
    </row>
    <row r="4013">
      <c r="A4013" s="6" t="s">
        <v>9059</v>
      </c>
      <c r="B4013" s="6" t="s">
        <v>494</v>
      </c>
      <c r="C4013" s="6" t="s">
        <v>43</v>
      </c>
      <c r="D4013" s="6" t="s">
        <v>9060</v>
      </c>
      <c r="E4013" s="6" t="s">
        <v>389</v>
      </c>
      <c r="F4013" s="6" t="s">
        <v>87</v>
      </c>
      <c r="G4013" s="7">
        <v>0.04</v>
      </c>
      <c r="H4013" s="6" t="s">
        <v>382</v>
      </c>
      <c r="I4013" s="6" t="s">
        <v>20</v>
      </c>
      <c r="J4013" s="6">
        <v>2020.0</v>
      </c>
      <c r="L4013" s="6">
        <v>1.0</v>
      </c>
      <c r="M4013" s="8">
        <f t="shared" si="4"/>
        <v>0.04</v>
      </c>
      <c r="P4013" s="9"/>
    </row>
    <row r="4014">
      <c r="A4014" s="6" t="s">
        <v>9061</v>
      </c>
      <c r="B4014" s="6" t="s">
        <v>494</v>
      </c>
      <c r="C4014" s="6" t="s">
        <v>43</v>
      </c>
      <c r="D4014" s="6" t="s">
        <v>9062</v>
      </c>
      <c r="E4014" s="6" t="s">
        <v>140</v>
      </c>
      <c r="F4014" s="6" t="s">
        <v>87</v>
      </c>
      <c r="G4014" s="7">
        <v>0.04</v>
      </c>
      <c r="H4014" s="6" t="s">
        <v>1511</v>
      </c>
      <c r="I4014" s="6" t="s">
        <v>20</v>
      </c>
      <c r="J4014" s="6">
        <v>2014.0</v>
      </c>
      <c r="L4014" s="6">
        <v>1.0</v>
      </c>
      <c r="M4014" s="8">
        <f t="shared" si="4"/>
        <v>0.04</v>
      </c>
      <c r="P4014" s="9"/>
    </row>
    <row r="4015">
      <c r="A4015" s="6" t="s">
        <v>9063</v>
      </c>
      <c r="B4015" s="6" t="s">
        <v>494</v>
      </c>
      <c r="C4015" s="6" t="s">
        <v>43</v>
      </c>
      <c r="D4015" s="6" t="s">
        <v>9064</v>
      </c>
      <c r="E4015" s="6" t="s">
        <v>86</v>
      </c>
      <c r="F4015" s="6" t="s">
        <v>87</v>
      </c>
      <c r="G4015" s="7">
        <v>0.06</v>
      </c>
      <c r="H4015" s="6" t="s">
        <v>373</v>
      </c>
      <c r="I4015" s="6" t="s">
        <v>20</v>
      </c>
      <c r="J4015" s="6">
        <v>2015.0</v>
      </c>
      <c r="L4015" s="6">
        <v>6.0</v>
      </c>
      <c r="M4015" s="8">
        <f t="shared" si="4"/>
        <v>0.36</v>
      </c>
      <c r="P4015" s="9"/>
    </row>
    <row r="4016">
      <c r="A4016" s="6" t="s">
        <v>9065</v>
      </c>
      <c r="B4016" s="6" t="s">
        <v>494</v>
      </c>
      <c r="C4016" s="6" t="s">
        <v>43</v>
      </c>
      <c r="D4016" s="6" t="s">
        <v>9066</v>
      </c>
      <c r="E4016" s="6" t="s">
        <v>86</v>
      </c>
      <c r="F4016" s="6" t="s">
        <v>87</v>
      </c>
      <c r="G4016" s="7">
        <v>0.04</v>
      </c>
      <c r="H4016" s="6" t="s">
        <v>1076</v>
      </c>
      <c r="I4016" s="6" t="s">
        <v>20</v>
      </c>
      <c r="J4016" s="6">
        <v>2018.0</v>
      </c>
      <c r="L4016" s="6">
        <v>2.0</v>
      </c>
      <c r="M4016" s="8">
        <f t="shared" si="4"/>
        <v>0.08</v>
      </c>
      <c r="P4016" s="9"/>
    </row>
    <row r="4017">
      <c r="A4017" s="6" t="s">
        <v>9067</v>
      </c>
      <c r="B4017" s="6" t="s">
        <v>74</v>
      </c>
      <c r="C4017" s="6" t="s">
        <v>43</v>
      </c>
      <c r="D4017" s="6" t="s">
        <v>9068</v>
      </c>
      <c r="E4017" s="6" t="s">
        <v>256</v>
      </c>
      <c r="F4017" s="6" t="s">
        <v>87</v>
      </c>
      <c r="G4017" s="7">
        <v>0.04</v>
      </c>
      <c r="H4017" s="6" t="s">
        <v>506</v>
      </c>
      <c r="I4017" s="6" t="s">
        <v>20</v>
      </c>
      <c r="J4017" s="6">
        <v>2016.0</v>
      </c>
      <c r="L4017" s="6">
        <v>1.0</v>
      </c>
      <c r="M4017" s="8">
        <f t="shared" si="4"/>
        <v>0.04</v>
      </c>
      <c r="P4017" s="9"/>
    </row>
    <row r="4018">
      <c r="A4018" s="6" t="s">
        <v>9069</v>
      </c>
      <c r="B4018" s="6" t="s">
        <v>74</v>
      </c>
      <c r="C4018" s="6" t="s">
        <v>43</v>
      </c>
      <c r="D4018" s="6" t="s">
        <v>9070</v>
      </c>
      <c r="E4018" s="6" t="s">
        <v>140</v>
      </c>
      <c r="F4018" s="6" t="s">
        <v>87</v>
      </c>
      <c r="G4018" s="7">
        <v>0.05</v>
      </c>
      <c r="H4018" s="6" t="s">
        <v>4519</v>
      </c>
      <c r="I4018" s="6" t="s">
        <v>20</v>
      </c>
      <c r="J4018" s="6">
        <v>2009.0</v>
      </c>
      <c r="L4018" s="6">
        <v>1.0</v>
      </c>
      <c r="M4018" s="8">
        <f t="shared" si="4"/>
        <v>0.05</v>
      </c>
      <c r="P4018" s="9"/>
    </row>
    <row r="4019">
      <c r="A4019" s="6" t="s">
        <v>9071</v>
      </c>
      <c r="B4019" s="6" t="s">
        <v>74</v>
      </c>
      <c r="C4019" s="6" t="s">
        <v>37</v>
      </c>
      <c r="D4019" s="6" t="s">
        <v>9072</v>
      </c>
      <c r="E4019" s="6" t="s">
        <v>256</v>
      </c>
      <c r="F4019" s="6" t="s">
        <v>87</v>
      </c>
      <c r="G4019" s="7">
        <v>0.06</v>
      </c>
      <c r="H4019" s="6" t="s">
        <v>903</v>
      </c>
      <c r="I4019" s="6" t="s">
        <v>20</v>
      </c>
      <c r="J4019" s="6">
        <v>2016.0</v>
      </c>
      <c r="L4019" s="6">
        <v>1.0</v>
      </c>
      <c r="M4019" s="8">
        <f t="shared" si="4"/>
        <v>0.06</v>
      </c>
      <c r="P4019" s="9"/>
    </row>
    <row r="4020">
      <c r="A4020" s="6" t="s">
        <v>9073</v>
      </c>
      <c r="B4020" s="6" t="s">
        <v>74</v>
      </c>
      <c r="C4020" s="6" t="s">
        <v>43</v>
      </c>
      <c r="D4020" s="6" t="s">
        <v>9074</v>
      </c>
      <c r="E4020" s="6" t="s">
        <v>140</v>
      </c>
      <c r="F4020" s="6" t="s">
        <v>87</v>
      </c>
      <c r="G4020" s="7">
        <v>0.04</v>
      </c>
      <c r="H4020" s="6" t="s">
        <v>431</v>
      </c>
      <c r="I4020" s="6" t="s">
        <v>20</v>
      </c>
      <c r="J4020" s="6">
        <v>2019.0</v>
      </c>
      <c r="L4020" s="6">
        <v>1.0</v>
      </c>
      <c r="M4020" s="8">
        <f t="shared" si="4"/>
        <v>0.04</v>
      </c>
      <c r="P4020" s="9"/>
    </row>
    <row r="4021">
      <c r="A4021" s="6" t="s">
        <v>9075</v>
      </c>
      <c r="B4021" s="6" t="s">
        <v>74</v>
      </c>
      <c r="C4021" s="6" t="s">
        <v>43</v>
      </c>
      <c r="D4021" s="6" t="s">
        <v>9076</v>
      </c>
      <c r="E4021" s="6" t="s">
        <v>256</v>
      </c>
      <c r="F4021" s="6" t="s">
        <v>87</v>
      </c>
      <c r="G4021" s="7">
        <v>0.04</v>
      </c>
      <c r="H4021" s="6" t="s">
        <v>431</v>
      </c>
      <c r="I4021" s="6" t="s">
        <v>20</v>
      </c>
      <c r="J4021" s="6">
        <v>2019.0</v>
      </c>
      <c r="L4021" s="6">
        <v>1.0</v>
      </c>
      <c r="M4021" s="8">
        <f t="shared" si="4"/>
        <v>0.04</v>
      </c>
      <c r="P4021" s="9"/>
    </row>
    <row r="4022">
      <c r="A4022" s="6" t="s">
        <v>9077</v>
      </c>
      <c r="B4022" s="6" t="s">
        <v>74</v>
      </c>
      <c r="C4022" s="6" t="s">
        <v>43</v>
      </c>
      <c r="D4022" s="6" t="s">
        <v>9078</v>
      </c>
      <c r="E4022" s="6" t="s">
        <v>86</v>
      </c>
      <c r="F4022" s="6" t="s">
        <v>87</v>
      </c>
      <c r="G4022" s="7">
        <v>0.04</v>
      </c>
      <c r="H4022" s="6" t="s">
        <v>431</v>
      </c>
      <c r="I4022" s="6" t="s">
        <v>20</v>
      </c>
      <c r="J4022" s="6">
        <v>2019.0</v>
      </c>
      <c r="L4022" s="6">
        <v>1.0</v>
      </c>
      <c r="M4022" s="8">
        <f t="shared" si="4"/>
        <v>0.04</v>
      </c>
      <c r="P4022" s="9"/>
    </row>
    <row r="4023">
      <c r="A4023" s="6" t="s">
        <v>9079</v>
      </c>
      <c r="B4023" s="6" t="s">
        <v>74</v>
      </c>
      <c r="C4023" s="6" t="s">
        <v>43</v>
      </c>
      <c r="D4023" s="6" t="s">
        <v>9080</v>
      </c>
      <c r="E4023" s="6" t="s">
        <v>356</v>
      </c>
      <c r="F4023" s="6" t="s">
        <v>87</v>
      </c>
      <c r="G4023" s="7">
        <v>0.05</v>
      </c>
      <c r="H4023" s="6" t="s">
        <v>1071</v>
      </c>
      <c r="I4023" s="6" t="s">
        <v>20</v>
      </c>
      <c r="J4023" s="6">
        <v>2012.0</v>
      </c>
      <c r="L4023" s="6">
        <v>6.0</v>
      </c>
      <c r="M4023" s="8">
        <f t="shared" si="4"/>
        <v>0.3</v>
      </c>
      <c r="P4023" s="9"/>
    </row>
    <row r="4024">
      <c r="A4024" s="6" t="s">
        <v>9081</v>
      </c>
      <c r="B4024" s="6" t="s">
        <v>74</v>
      </c>
      <c r="C4024" s="6" t="s">
        <v>43</v>
      </c>
      <c r="D4024" s="6" t="s">
        <v>9082</v>
      </c>
      <c r="E4024" s="6" t="s">
        <v>140</v>
      </c>
      <c r="F4024" s="6" t="s">
        <v>87</v>
      </c>
      <c r="G4024" s="7">
        <v>0.05</v>
      </c>
      <c r="H4024" s="6" t="s">
        <v>373</v>
      </c>
      <c r="I4024" s="6" t="s">
        <v>20</v>
      </c>
      <c r="J4024" s="6">
        <v>2015.0</v>
      </c>
      <c r="L4024" s="6">
        <v>4.0</v>
      </c>
      <c r="M4024" s="8">
        <f t="shared" si="4"/>
        <v>0.2</v>
      </c>
      <c r="P4024" s="9"/>
    </row>
    <row r="4025">
      <c r="A4025" s="6" t="s">
        <v>9083</v>
      </c>
      <c r="B4025" s="6" t="s">
        <v>74</v>
      </c>
      <c r="C4025" s="6" t="s">
        <v>43</v>
      </c>
      <c r="D4025" s="6" t="s">
        <v>9084</v>
      </c>
      <c r="E4025" s="6" t="s">
        <v>86</v>
      </c>
      <c r="F4025" s="6" t="s">
        <v>87</v>
      </c>
      <c r="G4025" s="7">
        <v>0.04</v>
      </c>
      <c r="H4025" s="6" t="s">
        <v>290</v>
      </c>
      <c r="I4025" s="6" t="s">
        <v>20</v>
      </c>
      <c r="J4025" s="6">
        <v>2019.0</v>
      </c>
      <c r="L4025" s="6">
        <v>2.0</v>
      </c>
      <c r="M4025" s="8">
        <f t="shared" si="4"/>
        <v>0.08</v>
      </c>
      <c r="P4025" s="9"/>
    </row>
    <row r="4026">
      <c r="A4026" s="6" t="s">
        <v>9085</v>
      </c>
      <c r="B4026" s="6" t="s">
        <v>162</v>
      </c>
      <c r="C4026" s="6" t="s">
        <v>43</v>
      </c>
      <c r="D4026" s="6" t="s">
        <v>9086</v>
      </c>
      <c r="E4026" s="6" t="s">
        <v>389</v>
      </c>
      <c r="F4026" s="6" t="s">
        <v>87</v>
      </c>
      <c r="G4026" s="7">
        <v>0.05</v>
      </c>
      <c r="H4026" s="6" t="s">
        <v>373</v>
      </c>
      <c r="I4026" s="6" t="s">
        <v>20</v>
      </c>
      <c r="J4026" s="6">
        <v>2015.0</v>
      </c>
      <c r="L4026" s="6">
        <v>10.0</v>
      </c>
      <c r="M4026" s="8">
        <f t="shared" si="4"/>
        <v>0.5</v>
      </c>
      <c r="P4026" s="9"/>
    </row>
    <row r="4027">
      <c r="A4027" s="6" t="s">
        <v>127</v>
      </c>
      <c r="B4027" s="6" t="s">
        <v>162</v>
      </c>
      <c r="C4027" s="6" t="s">
        <v>43</v>
      </c>
      <c r="D4027" s="6" t="s">
        <v>9087</v>
      </c>
      <c r="E4027" s="6" t="s">
        <v>256</v>
      </c>
      <c r="F4027" s="6" t="s">
        <v>87</v>
      </c>
      <c r="G4027" s="7">
        <v>0.05</v>
      </c>
      <c r="H4027" s="6" t="s">
        <v>373</v>
      </c>
      <c r="I4027" s="6" t="s">
        <v>20</v>
      </c>
      <c r="J4027" s="6">
        <v>2015.0</v>
      </c>
      <c r="L4027" s="6">
        <v>11.0</v>
      </c>
      <c r="M4027" s="8">
        <f t="shared" si="4"/>
        <v>0.55</v>
      </c>
      <c r="P4027" s="9"/>
    </row>
    <row r="4028">
      <c r="A4028" s="6" t="s">
        <v>9088</v>
      </c>
      <c r="B4028" s="6" t="s">
        <v>162</v>
      </c>
      <c r="C4028" s="6" t="s">
        <v>43</v>
      </c>
      <c r="D4028" s="6" t="s">
        <v>9089</v>
      </c>
      <c r="E4028" s="6" t="s">
        <v>389</v>
      </c>
      <c r="F4028" s="6" t="s">
        <v>87</v>
      </c>
      <c r="G4028" s="7">
        <v>0.06</v>
      </c>
      <c r="H4028" s="6" t="s">
        <v>373</v>
      </c>
      <c r="I4028" s="6" t="s">
        <v>20</v>
      </c>
      <c r="J4028" s="6">
        <v>2015.0</v>
      </c>
      <c r="L4028" s="6">
        <v>6.0</v>
      </c>
      <c r="M4028" s="8">
        <f t="shared" si="4"/>
        <v>0.36</v>
      </c>
      <c r="P4028" s="9"/>
    </row>
    <row r="4029">
      <c r="A4029" s="6" t="s">
        <v>9090</v>
      </c>
      <c r="B4029" s="6" t="s">
        <v>162</v>
      </c>
      <c r="C4029" s="6" t="s">
        <v>37</v>
      </c>
      <c r="D4029" s="6" t="s">
        <v>9091</v>
      </c>
      <c r="E4029" s="6" t="s">
        <v>1540</v>
      </c>
      <c r="F4029" s="6" t="s">
        <v>87</v>
      </c>
      <c r="G4029" s="7">
        <v>0.09</v>
      </c>
      <c r="H4029" s="6" t="s">
        <v>460</v>
      </c>
      <c r="I4029" s="6" t="s">
        <v>20</v>
      </c>
      <c r="J4029" s="6">
        <v>2015.0</v>
      </c>
      <c r="L4029" s="6">
        <v>1.0</v>
      </c>
      <c r="M4029" s="8">
        <f t="shared" si="4"/>
        <v>0.09</v>
      </c>
      <c r="P4029" s="9"/>
    </row>
    <row r="4030">
      <c r="A4030" s="6" t="s">
        <v>9092</v>
      </c>
      <c r="B4030" s="6" t="s">
        <v>162</v>
      </c>
      <c r="C4030" s="6" t="s">
        <v>37</v>
      </c>
      <c r="D4030" s="6" t="s">
        <v>9093</v>
      </c>
      <c r="E4030" s="6" t="s">
        <v>256</v>
      </c>
      <c r="F4030" s="6" t="s">
        <v>87</v>
      </c>
      <c r="G4030" s="7">
        <v>0.05</v>
      </c>
      <c r="H4030" s="6" t="s">
        <v>407</v>
      </c>
      <c r="I4030" s="6" t="s">
        <v>20</v>
      </c>
      <c r="J4030" s="6">
        <v>2016.0</v>
      </c>
      <c r="L4030" s="6">
        <v>1.0</v>
      </c>
      <c r="M4030" s="8">
        <f t="shared" si="4"/>
        <v>0.05</v>
      </c>
      <c r="P4030" s="9"/>
    </row>
    <row r="4031">
      <c r="A4031" s="6" t="s">
        <v>9094</v>
      </c>
      <c r="B4031" s="6" t="s">
        <v>162</v>
      </c>
      <c r="C4031" s="6" t="s">
        <v>43</v>
      </c>
      <c r="D4031" s="6" t="s">
        <v>9095</v>
      </c>
      <c r="E4031" s="6" t="s">
        <v>86</v>
      </c>
      <c r="F4031" s="6" t="s">
        <v>87</v>
      </c>
      <c r="G4031" s="7">
        <v>0.05</v>
      </c>
      <c r="H4031" s="6" t="s">
        <v>506</v>
      </c>
      <c r="I4031" s="6" t="s">
        <v>20</v>
      </c>
      <c r="J4031" s="6">
        <v>2016.0</v>
      </c>
      <c r="L4031" s="6">
        <v>2.0</v>
      </c>
      <c r="M4031" s="8">
        <f t="shared" si="4"/>
        <v>0.1</v>
      </c>
      <c r="P4031" s="9"/>
    </row>
    <row r="4032">
      <c r="A4032" s="6" t="s">
        <v>9085</v>
      </c>
      <c r="B4032" s="6" t="s">
        <v>162</v>
      </c>
      <c r="C4032" s="6" t="s">
        <v>43</v>
      </c>
      <c r="D4032" s="6" t="s">
        <v>9086</v>
      </c>
      <c r="E4032" s="6" t="s">
        <v>389</v>
      </c>
      <c r="F4032" s="6" t="s">
        <v>87</v>
      </c>
      <c r="G4032" s="7">
        <v>0.04</v>
      </c>
      <c r="H4032" s="6" t="s">
        <v>506</v>
      </c>
      <c r="I4032" s="6" t="s">
        <v>20</v>
      </c>
      <c r="J4032" s="6">
        <v>2016.0</v>
      </c>
      <c r="L4032" s="6">
        <v>3.0</v>
      </c>
      <c r="M4032" s="8">
        <f t="shared" si="4"/>
        <v>0.12</v>
      </c>
      <c r="P4032" s="9"/>
    </row>
    <row r="4033">
      <c r="A4033" s="6" t="s">
        <v>5889</v>
      </c>
      <c r="B4033" s="6" t="s">
        <v>162</v>
      </c>
      <c r="C4033" s="6" t="s">
        <v>43</v>
      </c>
      <c r="D4033" s="6" t="s">
        <v>5890</v>
      </c>
      <c r="E4033" s="6" t="s">
        <v>356</v>
      </c>
      <c r="F4033" s="6" t="s">
        <v>87</v>
      </c>
      <c r="G4033" s="7">
        <v>0.04</v>
      </c>
      <c r="H4033" s="6" t="s">
        <v>415</v>
      </c>
      <c r="I4033" s="6" t="s">
        <v>20</v>
      </c>
      <c r="J4033" s="6">
        <v>2016.0</v>
      </c>
      <c r="L4033" s="6">
        <v>2.0</v>
      </c>
      <c r="M4033" s="8">
        <f t="shared" si="4"/>
        <v>0.08</v>
      </c>
      <c r="P4033" s="9"/>
    </row>
    <row r="4034">
      <c r="A4034" s="6" t="s">
        <v>9096</v>
      </c>
      <c r="B4034" s="6" t="s">
        <v>162</v>
      </c>
      <c r="C4034" s="6" t="s">
        <v>43</v>
      </c>
      <c r="D4034" s="6" t="s">
        <v>9097</v>
      </c>
      <c r="E4034" s="6" t="s">
        <v>389</v>
      </c>
      <c r="F4034" s="6" t="s">
        <v>87</v>
      </c>
      <c r="G4034" s="7">
        <v>0.04</v>
      </c>
      <c r="H4034" s="6" t="s">
        <v>431</v>
      </c>
      <c r="I4034" s="6" t="s">
        <v>20</v>
      </c>
      <c r="J4034" s="6">
        <v>2019.0</v>
      </c>
      <c r="L4034" s="6">
        <v>2.0</v>
      </c>
      <c r="M4034" s="8">
        <f t="shared" si="4"/>
        <v>0.08</v>
      </c>
      <c r="P4034" s="9"/>
    </row>
    <row r="4035">
      <c r="A4035" s="6" t="s">
        <v>9085</v>
      </c>
      <c r="B4035" s="6" t="s">
        <v>162</v>
      </c>
      <c r="C4035" s="6" t="s">
        <v>43</v>
      </c>
      <c r="D4035" s="6" t="s">
        <v>9086</v>
      </c>
      <c r="E4035" s="6" t="s">
        <v>389</v>
      </c>
      <c r="F4035" s="6" t="s">
        <v>87</v>
      </c>
      <c r="G4035" s="7">
        <v>0.04</v>
      </c>
      <c r="H4035" s="6" t="s">
        <v>496</v>
      </c>
      <c r="I4035" s="6" t="s">
        <v>20</v>
      </c>
      <c r="J4035" s="6">
        <v>2013.0</v>
      </c>
      <c r="L4035" s="6">
        <v>1.0</v>
      </c>
      <c r="M4035" s="8">
        <f t="shared" si="4"/>
        <v>0.04</v>
      </c>
      <c r="P4035" s="9"/>
    </row>
    <row r="4036">
      <c r="A4036" s="6" t="s">
        <v>9098</v>
      </c>
      <c r="B4036" s="6" t="s">
        <v>162</v>
      </c>
      <c r="C4036" s="6" t="s">
        <v>43</v>
      </c>
      <c r="D4036" s="6" t="s">
        <v>9099</v>
      </c>
      <c r="E4036" s="6" t="s">
        <v>356</v>
      </c>
      <c r="F4036" s="6" t="s">
        <v>87</v>
      </c>
      <c r="G4036" s="7">
        <v>0.06</v>
      </c>
      <c r="H4036" s="6" t="s">
        <v>496</v>
      </c>
      <c r="I4036" s="6" t="s">
        <v>20</v>
      </c>
      <c r="J4036" s="6">
        <v>2013.0</v>
      </c>
      <c r="L4036" s="6">
        <v>1.0</v>
      </c>
      <c r="M4036" s="8">
        <f t="shared" si="4"/>
        <v>0.06</v>
      </c>
      <c r="P4036" s="9"/>
    </row>
    <row r="4037">
      <c r="A4037" s="6" t="s">
        <v>9100</v>
      </c>
      <c r="B4037" s="6" t="s">
        <v>162</v>
      </c>
      <c r="C4037" s="6" t="s">
        <v>43</v>
      </c>
      <c r="D4037" s="6" t="s">
        <v>9101</v>
      </c>
      <c r="E4037" s="6" t="s">
        <v>389</v>
      </c>
      <c r="F4037" s="6" t="s">
        <v>87</v>
      </c>
      <c r="G4037" s="7">
        <v>0.05</v>
      </c>
      <c r="H4037" s="6" t="s">
        <v>415</v>
      </c>
      <c r="I4037" s="6" t="s">
        <v>20</v>
      </c>
      <c r="J4037" s="6">
        <v>2016.0</v>
      </c>
      <c r="L4037" s="6">
        <v>1.0</v>
      </c>
      <c r="M4037" s="8">
        <f t="shared" si="4"/>
        <v>0.05</v>
      </c>
      <c r="P4037" s="9"/>
    </row>
    <row r="4038">
      <c r="A4038" s="6" t="s">
        <v>5586</v>
      </c>
      <c r="B4038" s="6" t="s">
        <v>162</v>
      </c>
      <c r="C4038" s="6" t="s">
        <v>43</v>
      </c>
      <c r="D4038" s="6" t="s">
        <v>5587</v>
      </c>
      <c r="E4038" s="6" t="s">
        <v>389</v>
      </c>
      <c r="F4038" s="6" t="s">
        <v>87</v>
      </c>
      <c r="G4038" s="7">
        <v>0.04</v>
      </c>
      <c r="H4038" s="6" t="s">
        <v>382</v>
      </c>
      <c r="I4038" s="6" t="s">
        <v>20</v>
      </c>
      <c r="J4038" s="6">
        <v>2020.0</v>
      </c>
      <c r="L4038" s="6">
        <v>1.0</v>
      </c>
      <c r="M4038" s="8">
        <f t="shared" si="4"/>
        <v>0.04</v>
      </c>
      <c r="P4038" s="9"/>
    </row>
    <row r="4039">
      <c r="A4039" s="6" t="s">
        <v>9102</v>
      </c>
      <c r="B4039" s="6" t="s">
        <v>162</v>
      </c>
      <c r="C4039" s="6" t="s">
        <v>43</v>
      </c>
      <c r="D4039" s="6" t="s">
        <v>9103</v>
      </c>
      <c r="E4039" s="6" t="s">
        <v>1634</v>
      </c>
      <c r="F4039" s="6" t="s">
        <v>87</v>
      </c>
      <c r="G4039" s="7">
        <v>0.05</v>
      </c>
      <c r="H4039" s="6" t="s">
        <v>4045</v>
      </c>
      <c r="I4039" s="6" t="s">
        <v>20</v>
      </c>
      <c r="J4039" s="6">
        <v>2021.0</v>
      </c>
      <c r="L4039" s="6">
        <v>1.0</v>
      </c>
      <c r="M4039" s="8">
        <f t="shared" si="4"/>
        <v>0.05</v>
      </c>
      <c r="P4039" s="9"/>
    </row>
    <row r="4040">
      <c r="A4040" s="6" t="s">
        <v>9104</v>
      </c>
      <c r="B4040" s="6" t="s">
        <v>162</v>
      </c>
      <c r="C4040" s="6" t="s">
        <v>43</v>
      </c>
      <c r="D4040" s="6" t="s">
        <v>6950</v>
      </c>
      <c r="E4040" s="6" t="s">
        <v>140</v>
      </c>
      <c r="F4040" s="6" t="s">
        <v>87</v>
      </c>
      <c r="G4040" s="7">
        <v>0.07</v>
      </c>
      <c r="H4040" s="6" t="s">
        <v>506</v>
      </c>
      <c r="I4040" s="6" t="s">
        <v>20</v>
      </c>
      <c r="J4040" s="6">
        <v>2016.0</v>
      </c>
      <c r="L4040" s="6">
        <v>1.0</v>
      </c>
      <c r="M4040" s="8">
        <f t="shared" si="4"/>
        <v>0.07</v>
      </c>
      <c r="P4040" s="9"/>
    </row>
    <row r="4041">
      <c r="A4041" s="6" t="s">
        <v>9105</v>
      </c>
      <c r="B4041" s="6" t="s">
        <v>162</v>
      </c>
      <c r="C4041" s="6" t="s">
        <v>37</v>
      </c>
      <c r="D4041" s="6" t="s">
        <v>9106</v>
      </c>
      <c r="E4041" s="6" t="s">
        <v>86</v>
      </c>
      <c r="F4041" s="6" t="s">
        <v>87</v>
      </c>
      <c r="G4041" s="7">
        <v>0.06</v>
      </c>
      <c r="H4041" s="6" t="s">
        <v>460</v>
      </c>
      <c r="I4041" s="6" t="s">
        <v>20</v>
      </c>
      <c r="J4041" s="6">
        <v>2015.0</v>
      </c>
      <c r="L4041" s="6">
        <v>1.0</v>
      </c>
      <c r="M4041" s="8">
        <f t="shared" si="4"/>
        <v>0.06</v>
      </c>
      <c r="P4041" s="9"/>
    </row>
    <row r="4042">
      <c r="A4042" s="6" t="s">
        <v>127</v>
      </c>
      <c r="B4042" s="6" t="s">
        <v>162</v>
      </c>
      <c r="C4042" s="6" t="s">
        <v>43</v>
      </c>
      <c r="D4042" s="6" t="s">
        <v>9087</v>
      </c>
      <c r="E4042" s="6" t="s">
        <v>256</v>
      </c>
      <c r="F4042" s="6" t="s">
        <v>87</v>
      </c>
      <c r="G4042" s="7">
        <v>0.05</v>
      </c>
      <c r="H4042" s="6" t="s">
        <v>431</v>
      </c>
      <c r="I4042" s="6" t="s">
        <v>20</v>
      </c>
      <c r="J4042" s="6">
        <v>2019.0</v>
      </c>
      <c r="L4042" s="6">
        <v>1.0</v>
      </c>
      <c r="M4042" s="8">
        <f t="shared" si="4"/>
        <v>0.05</v>
      </c>
      <c r="P4042" s="9"/>
    </row>
    <row r="4043">
      <c r="A4043" s="6" t="s">
        <v>9107</v>
      </c>
      <c r="B4043" s="6" t="s">
        <v>9108</v>
      </c>
      <c r="C4043" s="6" t="s">
        <v>43</v>
      </c>
      <c r="D4043" s="6" t="s">
        <v>9109</v>
      </c>
      <c r="E4043" s="6" t="s">
        <v>86</v>
      </c>
      <c r="F4043" s="6" t="s">
        <v>87</v>
      </c>
      <c r="G4043" s="7">
        <v>0.05</v>
      </c>
      <c r="H4043" s="6" t="s">
        <v>373</v>
      </c>
      <c r="I4043" s="6" t="s">
        <v>20</v>
      </c>
      <c r="J4043" s="6">
        <v>2015.0</v>
      </c>
      <c r="K4043" s="10">
        <v>46024.0</v>
      </c>
      <c r="L4043" s="6">
        <v>5.0</v>
      </c>
      <c r="M4043" s="8">
        <f t="shared" si="4"/>
        <v>0.25</v>
      </c>
      <c r="P4043" s="9"/>
    </row>
    <row r="4044">
      <c r="A4044" s="6" t="s">
        <v>9110</v>
      </c>
      <c r="B4044" s="6" t="s">
        <v>1012</v>
      </c>
      <c r="C4044" s="6" t="s">
        <v>43</v>
      </c>
      <c r="D4044" s="6" t="s">
        <v>9111</v>
      </c>
      <c r="E4044" s="6" t="s">
        <v>140</v>
      </c>
      <c r="F4044" s="6" t="s">
        <v>87</v>
      </c>
      <c r="G4044" s="7">
        <v>0.05</v>
      </c>
      <c r="H4044" s="6" t="s">
        <v>373</v>
      </c>
      <c r="I4044" s="6" t="s">
        <v>20</v>
      </c>
      <c r="J4044" s="6">
        <v>2015.0</v>
      </c>
      <c r="K4044" s="10">
        <v>46023.0</v>
      </c>
      <c r="L4044" s="6">
        <v>6.0</v>
      </c>
      <c r="M4044" s="8">
        <f t="shared" si="4"/>
        <v>0.3</v>
      </c>
      <c r="P4044" s="9"/>
    </row>
    <row r="4045">
      <c r="A4045" s="6" t="s">
        <v>9112</v>
      </c>
      <c r="B4045" s="6" t="s">
        <v>1002</v>
      </c>
      <c r="C4045" s="6" t="s">
        <v>43</v>
      </c>
      <c r="D4045" s="6" t="s">
        <v>9113</v>
      </c>
      <c r="E4045" s="6" t="s">
        <v>389</v>
      </c>
      <c r="F4045" s="6" t="s">
        <v>87</v>
      </c>
      <c r="G4045" s="7">
        <v>0.06</v>
      </c>
      <c r="H4045" s="6" t="s">
        <v>373</v>
      </c>
      <c r="I4045" s="6" t="s">
        <v>20</v>
      </c>
      <c r="J4045" s="6">
        <v>2015.0</v>
      </c>
      <c r="K4045" s="10">
        <v>46056.0</v>
      </c>
      <c r="L4045" s="6">
        <v>12.0</v>
      </c>
      <c r="M4045" s="8">
        <f t="shared" si="4"/>
        <v>0.72</v>
      </c>
      <c r="P4045" s="9"/>
    </row>
    <row r="4046">
      <c r="A4046" s="6" t="s">
        <v>9114</v>
      </c>
      <c r="B4046" s="6" t="s">
        <v>8219</v>
      </c>
      <c r="C4046" s="6" t="s">
        <v>43</v>
      </c>
      <c r="D4046" s="6" t="s">
        <v>9115</v>
      </c>
      <c r="E4046" s="6" t="s">
        <v>356</v>
      </c>
      <c r="F4046" s="6" t="s">
        <v>87</v>
      </c>
      <c r="G4046" s="7">
        <v>0.05</v>
      </c>
      <c r="H4046" s="6" t="s">
        <v>373</v>
      </c>
      <c r="I4046" s="6" t="s">
        <v>20</v>
      </c>
      <c r="J4046" s="6">
        <v>2015.0</v>
      </c>
      <c r="K4046" s="10">
        <v>46084.0</v>
      </c>
      <c r="L4046" s="6">
        <v>8.0</v>
      </c>
      <c r="M4046" s="8">
        <f t="shared" si="4"/>
        <v>0.4</v>
      </c>
      <c r="P4046" s="9"/>
    </row>
    <row r="4047">
      <c r="A4047" s="6" t="s">
        <v>9116</v>
      </c>
      <c r="B4047" s="6" t="s">
        <v>1002</v>
      </c>
      <c r="C4047" s="6" t="s">
        <v>43</v>
      </c>
      <c r="E4047" s="6" t="s">
        <v>389</v>
      </c>
      <c r="F4047" s="6" t="s">
        <v>87</v>
      </c>
      <c r="G4047" s="7">
        <v>0.06</v>
      </c>
      <c r="H4047" s="6" t="s">
        <v>373</v>
      </c>
      <c r="I4047" s="6" t="s">
        <v>20</v>
      </c>
      <c r="J4047" s="6">
        <v>2015.0</v>
      </c>
      <c r="K4047" s="10">
        <v>46058.0</v>
      </c>
      <c r="L4047" s="6">
        <v>5.0</v>
      </c>
      <c r="M4047" s="8">
        <f t="shared" si="4"/>
        <v>0.3</v>
      </c>
      <c r="P4047" s="9"/>
    </row>
    <row r="4048">
      <c r="A4048" s="6" t="s">
        <v>9117</v>
      </c>
      <c r="B4048" s="6" t="s">
        <v>2356</v>
      </c>
      <c r="C4048" s="6" t="s">
        <v>43</v>
      </c>
      <c r="D4048" s="6" t="s">
        <v>9118</v>
      </c>
      <c r="E4048" s="6" t="s">
        <v>86</v>
      </c>
      <c r="F4048" s="6" t="s">
        <v>87</v>
      </c>
      <c r="G4048" s="7">
        <v>0.09</v>
      </c>
      <c r="H4048" s="6" t="s">
        <v>373</v>
      </c>
      <c r="I4048" s="6" t="s">
        <v>20</v>
      </c>
      <c r="J4048" s="6">
        <v>2015.0</v>
      </c>
      <c r="K4048" s="10">
        <v>46055.0</v>
      </c>
      <c r="L4048" s="6">
        <v>7.0</v>
      </c>
      <c r="M4048" s="8">
        <f t="shared" si="4"/>
        <v>0.63</v>
      </c>
      <c r="P4048" s="9"/>
    </row>
    <row r="4049">
      <c r="A4049" s="6" t="s">
        <v>9119</v>
      </c>
      <c r="B4049" s="6" t="s">
        <v>1002</v>
      </c>
      <c r="C4049" s="6" t="s">
        <v>43</v>
      </c>
      <c r="D4049" s="6" t="s">
        <v>9120</v>
      </c>
      <c r="E4049" s="6" t="s">
        <v>1486</v>
      </c>
      <c r="F4049" s="6" t="s">
        <v>87</v>
      </c>
      <c r="G4049" s="7">
        <v>0.06</v>
      </c>
      <c r="H4049" s="6" t="s">
        <v>373</v>
      </c>
      <c r="I4049" s="6" t="s">
        <v>20</v>
      </c>
      <c r="J4049" s="6">
        <v>2015.0</v>
      </c>
      <c r="K4049" s="10">
        <v>46118.0</v>
      </c>
      <c r="L4049" s="6">
        <v>12.0</v>
      </c>
      <c r="M4049" s="8">
        <f t="shared" si="4"/>
        <v>0.72</v>
      </c>
      <c r="P4049" s="9"/>
    </row>
    <row r="4050">
      <c r="A4050" s="6" t="s">
        <v>9121</v>
      </c>
      <c r="B4050" s="6" t="s">
        <v>3050</v>
      </c>
      <c r="C4050" s="6" t="s">
        <v>43</v>
      </c>
      <c r="D4050" s="6" t="s">
        <v>9122</v>
      </c>
      <c r="E4050" s="6" t="s">
        <v>256</v>
      </c>
      <c r="F4050" s="6" t="s">
        <v>87</v>
      </c>
      <c r="G4050" s="7">
        <v>0.05</v>
      </c>
      <c r="H4050" s="6" t="s">
        <v>373</v>
      </c>
      <c r="I4050" s="6" t="s">
        <v>20</v>
      </c>
      <c r="J4050" s="6">
        <v>2015.0</v>
      </c>
      <c r="K4050" s="10">
        <v>46056.0</v>
      </c>
      <c r="L4050" s="6">
        <v>7.0</v>
      </c>
      <c r="M4050" s="8">
        <f t="shared" si="4"/>
        <v>0.35</v>
      </c>
      <c r="P4050" s="9"/>
    </row>
    <row r="4051">
      <c r="A4051" s="6" t="s">
        <v>9123</v>
      </c>
      <c r="B4051" s="6" t="s">
        <v>1220</v>
      </c>
      <c r="C4051" s="6" t="s">
        <v>43</v>
      </c>
      <c r="E4051" s="6" t="s">
        <v>389</v>
      </c>
      <c r="F4051" s="6" t="s">
        <v>87</v>
      </c>
      <c r="G4051" s="7">
        <v>0.04</v>
      </c>
      <c r="H4051" s="6" t="s">
        <v>506</v>
      </c>
      <c r="I4051" s="6" t="s">
        <v>20</v>
      </c>
      <c r="J4051" s="6">
        <v>2016.0</v>
      </c>
      <c r="K4051" s="10">
        <v>46058.0</v>
      </c>
      <c r="L4051" s="6">
        <v>3.0</v>
      </c>
      <c r="M4051" s="8">
        <f t="shared" si="4"/>
        <v>0.12</v>
      </c>
      <c r="P4051" s="9"/>
    </row>
    <row r="4052">
      <c r="A4052" s="6" t="s">
        <v>5873</v>
      </c>
      <c r="B4052" s="6" t="s">
        <v>4013</v>
      </c>
      <c r="C4052" s="6" t="s">
        <v>43</v>
      </c>
      <c r="D4052" s="6" t="s">
        <v>5874</v>
      </c>
      <c r="E4052" s="6" t="s">
        <v>86</v>
      </c>
      <c r="F4052" s="6" t="s">
        <v>87</v>
      </c>
      <c r="G4052" s="7">
        <v>0.49</v>
      </c>
      <c r="H4052" s="6" t="s">
        <v>506</v>
      </c>
      <c r="I4052" s="6" t="s">
        <v>20</v>
      </c>
      <c r="J4052" s="6">
        <v>2016.0</v>
      </c>
      <c r="K4052" s="10">
        <v>46082.0</v>
      </c>
      <c r="L4052" s="6">
        <v>2.0</v>
      </c>
      <c r="M4052" s="8">
        <f t="shared" si="4"/>
        <v>0.98</v>
      </c>
      <c r="P4052" s="9"/>
    </row>
    <row r="4053">
      <c r="A4053" s="6" t="s">
        <v>7898</v>
      </c>
      <c r="B4053" s="6" t="s">
        <v>96</v>
      </c>
      <c r="C4053" s="6" t="s">
        <v>37</v>
      </c>
      <c r="D4053" s="6" t="s">
        <v>7899</v>
      </c>
      <c r="E4053" s="6" t="s">
        <v>753</v>
      </c>
      <c r="F4053" s="6" t="s">
        <v>87</v>
      </c>
      <c r="G4053" s="7">
        <v>0.05</v>
      </c>
      <c r="H4053" s="6" t="s">
        <v>9124</v>
      </c>
      <c r="I4053" s="6" t="s">
        <v>20</v>
      </c>
      <c r="J4053" s="6">
        <v>2007.0</v>
      </c>
      <c r="K4053" s="6" t="s">
        <v>100</v>
      </c>
      <c r="L4053" s="6">
        <v>2.0</v>
      </c>
      <c r="M4053" s="8">
        <f t="shared" si="4"/>
        <v>0.1</v>
      </c>
      <c r="P4053" s="9"/>
    </row>
    <row r="4054">
      <c r="A4054" s="6" t="s">
        <v>2869</v>
      </c>
      <c r="B4054" s="6" t="s">
        <v>1002</v>
      </c>
      <c r="C4054" s="6" t="s">
        <v>43</v>
      </c>
      <c r="E4054" s="6" t="s">
        <v>1634</v>
      </c>
      <c r="F4054" s="6" t="s">
        <v>87</v>
      </c>
      <c r="G4054" s="7">
        <v>0.05</v>
      </c>
      <c r="H4054" s="6" t="s">
        <v>1071</v>
      </c>
      <c r="I4054" s="6" t="s">
        <v>20</v>
      </c>
      <c r="J4054" s="6">
        <v>2012.0</v>
      </c>
      <c r="K4054" s="10">
        <v>46117.0</v>
      </c>
      <c r="L4054" s="6">
        <v>3.0</v>
      </c>
      <c r="M4054" s="8">
        <f t="shared" si="4"/>
        <v>0.15</v>
      </c>
      <c r="P4054" s="9"/>
    </row>
    <row r="4055">
      <c r="A4055" s="6" t="s">
        <v>9125</v>
      </c>
      <c r="B4055" s="6" t="s">
        <v>9126</v>
      </c>
      <c r="C4055" s="6" t="s">
        <v>43</v>
      </c>
      <c r="D4055" s="6" t="s">
        <v>9127</v>
      </c>
      <c r="E4055" s="6" t="s">
        <v>86</v>
      </c>
      <c r="F4055" s="6" t="s">
        <v>87</v>
      </c>
      <c r="G4055" s="7">
        <v>0.06</v>
      </c>
      <c r="H4055" s="6" t="s">
        <v>382</v>
      </c>
      <c r="I4055" s="6" t="s">
        <v>20</v>
      </c>
      <c r="J4055" s="6">
        <v>2020.0</v>
      </c>
      <c r="K4055" s="10">
        <v>46025.0</v>
      </c>
      <c r="L4055" s="6">
        <v>2.0</v>
      </c>
      <c r="M4055" s="8">
        <f t="shared" si="4"/>
        <v>0.12</v>
      </c>
      <c r="P4055" s="9"/>
    </row>
    <row r="4056">
      <c r="A4056" s="6" t="s">
        <v>9128</v>
      </c>
      <c r="B4056" s="6" t="s">
        <v>2356</v>
      </c>
      <c r="C4056" s="6" t="s">
        <v>43</v>
      </c>
      <c r="D4056" s="6" t="s">
        <v>9129</v>
      </c>
      <c r="E4056" s="6" t="s">
        <v>86</v>
      </c>
      <c r="F4056" s="6" t="s">
        <v>87</v>
      </c>
      <c r="G4056" s="7">
        <v>0.05</v>
      </c>
      <c r="H4056" s="6" t="s">
        <v>1392</v>
      </c>
      <c r="I4056" s="6" t="s">
        <v>20</v>
      </c>
      <c r="J4056" s="6">
        <v>2014.0</v>
      </c>
      <c r="K4056" s="10">
        <v>46054.0</v>
      </c>
      <c r="L4056" s="6">
        <v>2.0</v>
      </c>
      <c r="M4056" s="8">
        <f t="shared" si="4"/>
        <v>0.1</v>
      </c>
      <c r="P4056" s="9"/>
    </row>
    <row r="4057">
      <c r="A4057" s="6" t="s">
        <v>9130</v>
      </c>
      <c r="B4057" s="6" t="s">
        <v>9131</v>
      </c>
      <c r="C4057" s="6" t="s">
        <v>43</v>
      </c>
      <c r="E4057" s="6" t="s">
        <v>389</v>
      </c>
      <c r="F4057" s="6" t="s">
        <v>87</v>
      </c>
      <c r="G4057" s="7">
        <v>0.05</v>
      </c>
      <c r="H4057" s="6" t="s">
        <v>1071</v>
      </c>
      <c r="I4057" s="6" t="s">
        <v>20</v>
      </c>
      <c r="J4057" s="6">
        <v>2009.0</v>
      </c>
      <c r="K4057" s="10">
        <v>46084.0</v>
      </c>
      <c r="L4057" s="6">
        <v>2.0</v>
      </c>
      <c r="M4057" s="8">
        <f t="shared" si="4"/>
        <v>0.1</v>
      </c>
      <c r="P4057" s="9"/>
    </row>
    <row r="4058">
      <c r="A4058" s="6" t="s">
        <v>9132</v>
      </c>
      <c r="B4058" s="6" t="s">
        <v>8219</v>
      </c>
      <c r="C4058" s="6" t="s">
        <v>43</v>
      </c>
      <c r="D4058" s="6" t="s">
        <v>3771</v>
      </c>
      <c r="E4058" s="6" t="s">
        <v>389</v>
      </c>
      <c r="F4058" s="6" t="s">
        <v>87</v>
      </c>
      <c r="G4058" s="7">
        <v>0.05</v>
      </c>
      <c r="H4058" s="6" t="s">
        <v>4265</v>
      </c>
      <c r="I4058" s="6" t="s">
        <v>20</v>
      </c>
      <c r="J4058" s="6">
        <v>2009.0</v>
      </c>
      <c r="K4058" s="10">
        <v>46056.0</v>
      </c>
      <c r="L4058" s="6">
        <v>2.0</v>
      </c>
      <c r="M4058" s="8">
        <f t="shared" si="4"/>
        <v>0.1</v>
      </c>
      <c r="P4058" s="9"/>
    </row>
    <row r="4059">
      <c r="A4059" s="6" t="s">
        <v>9133</v>
      </c>
      <c r="B4059" s="6" t="s">
        <v>4013</v>
      </c>
      <c r="C4059" s="6" t="s">
        <v>43</v>
      </c>
      <c r="D4059" s="6" t="s">
        <v>9134</v>
      </c>
      <c r="E4059" s="6" t="s">
        <v>256</v>
      </c>
      <c r="F4059" s="6" t="s">
        <v>87</v>
      </c>
      <c r="G4059" s="7">
        <v>0.04</v>
      </c>
      <c r="H4059" s="6" t="s">
        <v>373</v>
      </c>
      <c r="I4059" s="6" t="s">
        <v>20</v>
      </c>
      <c r="J4059" s="6">
        <v>2015.0</v>
      </c>
      <c r="K4059" s="10">
        <v>46024.0</v>
      </c>
      <c r="L4059" s="6">
        <v>3.0</v>
      </c>
      <c r="M4059" s="8">
        <f t="shared" si="4"/>
        <v>0.12</v>
      </c>
      <c r="P4059" s="9"/>
    </row>
    <row r="4060">
      <c r="A4060" s="6" t="s">
        <v>9135</v>
      </c>
      <c r="B4060" s="6" t="s">
        <v>6833</v>
      </c>
      <c r="C4060" s="6" t="s">
        <v>43</v>
      </c>
      <c r="D4060" s="6" t="s">
        <v>1510</v>
      </c>
      <c r="E4060" s="6" t="s">
        <v>86</v>
      </c>
      <c r="F4060" s="6" t="s">
        <v>87</v>
      </c>
      <c r="G4060" s="7">
        <v>0.05</v>
      </c>
      <c r="H4060" s="6" t="s">
        <v>496</v>
      </c>
      <c r="I4060" s="6" t="s">
        <v>20</v>
      </c>
      <c r="J4060" s="6">
        <v>2013.0</v>
      </c>
      <c r="K4060" s="10">
        <v>46024.0</v>
      </c>
      <c r="L4060" s="6">
        <v>1.0</v>
      </c>
      <c r="M4060" s="8">
        <f t="shared" si="4"/>
        <v>0.05</v>
      </c>
      <c r="P4060" s="9"/>
    </row>
    <row r="4061">
      <c r="A4061" s="6" t="s">
        <v>9136</v>
      </c>
      <c r="B4061" s="6" t="s">
        <v>9137</v>
      </c>
      <c r="C4061" s="6" t="s">
        <v>43</v>
      </c>
      <c r="D4061" s="6" t="s">
        <v>9138</v>
      </c>
      <c r="E4061" s="6" t="s">
        <v>389</v>
      </c>
      <c r="F4061" s="6" t="s">
        <v>87</v>
      </c>
      <c r="G4061" s="7">
        <v>0.15</v>
      </c>
      <c r="H4061" s="6" t="s">
        <v>475</v>
      </c>
      <c r="I4061" s="6" t="s">
        <v>45</v>
      </c>
      <c r="J4061" s="6">
        <v>2024.0</v>
      </c>
      <c r="K4061" s="10">
        <v>46086.0</v>
      </c>
      <c r="L4061" s="6">
        <v>1.0</v>
      </c>
      <c r="M4061" s="8">
        <f t="shared" si="4"/>
        <v>0.15</v>
      </c>
      <c r="P4061" s="9"/>
    </row>
    <row r="4062">
      <c r="A4062" s="6" t="s">
        <v>6835</v>
      </c>
      <c r="B4062" s="6" t="s">
        <v>361</v>
      </c>
      <c r="C4062" s="6" t="s">
        <v>43</v>
      </c>
      <c r="D4062" s="6" t="s">
        <v>6836</v>
      </c>
      <c r="E4062" s="6" t="s">
        <v>356</v>
      </c>
      <c r="F4062" s="6" t="s">
        <v>87</v>
      </c>
      <c r="G4062" s="7">
        <v>0.04</v>
      </c>
      <c r="H4062" s="6" t="s">
        <v>1076</v>
      </c>
      <c r="I4062" s="6" t="s">
        <v>20</v>
      </c>
      <c r="J4062" s="6">
        <v>2018.0</v>
      </c>
      <c r="K4062" s="10">
        <v>46116.0</v>
      </c>
      <c r="L4062" s="6">
        <v>1.0</v>
      </c>
      <c r="M4062" s="8">
        <f t="shared" si="4"/>
        <v>0.04</v>
      </c>
      <c r="P4062" s="9"/>
    </row>
    <row r="4063">
      <c r="A4063" s="6" t="s">
        <v>9139</v>
      </c>
      <c r="B4063" s="6" t="s">
        <v>861</v>
      </c>
      <c r="C4063" s="6" t="s">
        <v>43</v>
      </c>
      <c r="D4063" s="6" t="s">
        <v>9140</v>
      </c>
      <c r="E4063" s="6" t="s">
        <v>356</v>
      </c>
      <c r="F4063" s="6" t="s">
        <v>87</v>
      </c>
      <c r="G4063" s="7">
        <v>0.04</v>
      </c>
      <c r="H4063" s="6" t="s">
        <v>506</v>
      </c>
      <c r="I4063" s="6" t="s">
        <v>20</v>
      </c>
      <c r="J4063" s="6">
        <v>2016.0</v>
      </c>
      <c r="K4063" s="10">
        <v>46146.0</v>
      </c>
      <c r="L4063" s="6">
        <v>3.0</v>
      </c>
      <c r="M4063" s="8">
        <f t="shared" si="4"/>
        <v>0.12</v>
      </c>
      <c r="P4063" s="9"/>
    </row>
    <row r="4064">
      <c r="A4064" s="6" t="s">
        <v>9141</v>
      </c>
      <c r="B4064" s="6" t="s">
        <v>371</v>
      </c>
      <c r="C4064" s="6" t="s">
        <v>43</v>
      </c>
      <c r="D4064" s="6" t="s">
        <v>9142</v>
      </c>
      <c r="E4064" s="6" t="s">
        <v>140</v>
      </c>
      <c r="F4064" s="6" t="s">
        <v>87</v>
      </c>
      <c r="G4064" s="7">
        <v>0.09</v>
      </c>
      <c r="H4064" s="6" t="s">
        <v>895</v>
      </c>
      <c r="I4064" s="6" t="s">
        <v>20</v>
      </c>
      <c r="J4064" s="6">
        <v>2018.0</v>
      </c>
      <c r="K4064" s="10">
        <v>46023.0</v>
      </c>
      <c r="L4064" s="6">
        <v>1.0</v>
      </c>
      <c r="M4064" s="8">
        <f t="shared" si="4"/>
        <v>0.09</v>
      </c>
      <c r="P4064" s="9"/>
    </row>
    <row r="4065">
      <c r="A4065" s="6" t="s">
        <v>9143</v>
      </c>
      <c r="B4065" s="6" t="s">
        <v>6833</v>
      </c>
      <c r="C4065" s="6" t="s">
        <v>43</v>
      </c>
      <c r="D4065" s="6" t="s">
        <v>9144</v>
      </c>
      <c r="E4065" s="6" t="s">
        <v>1634</v>
      </c>
      <c r="F4065" s="6" t="s">
        <v>87</v>
      </c>
      <c r="G4065" s="7">
        <v>0.04</v>
      </c>
      <c r="H4065" s="6" t="s">
        <v>496</v>
      </c>
      <c r="I4065" s="6" t="s">
        <v>20</v>
      </c>
      <c r="J4065" s="6">
        <v>2013.0</v>
      </c>
      <c r="K4065" s="10">
        <v>46086.0</v>
      </c>
      <c r="L4065" s="6">
        <v>1.0</v>
      </c>
      <c r="M4065" s="8">
        <f t="shared" si="4"/>
        <v>0.04</v>
      </c>
      <c r="P4065" s="9"/>
    </row>
    <row r="4066">
      <c r="A4066" s="6" t="s">
        <v>9145</v>
      </c>
      <c r="B4066" s="6" t="s">
        <v>371</v>
      </c>
      <c r="C4066" s="6" t="s">
        <v>43</v>
      </c>
      <c r="D4066" s="6" t="s">
        <v>9146</v>
      </c>
      <c r="E4066" s="6" t="s">
        <v>256</v>
      </c>
      <c r="F4066" s="6" t="s">
        <v>87</v>
      </c>
      <c r="G4066" s="7">
        <v>0.04</v>
      </c>
      <c r="H4066" s="6" t="s">
        <v>373</v>
      </c>
      <c r="I4066" s="6" t="s">
        <v>20</v>
      </c>
      <c r="J4066" s="6">
        <v>2015.0</v>
      </c>
      <c r="K4066" s="10">
        <v>46055.0</v>
      </c>
      <c r="L4066" s="6">
        <v>2.0</v>
      </c>
      <c r="M4066" s="8">
        <f t="shared" si="4"/>
        <v>0.08</v>
      </c>
      <c r="P4066" s="9"/>
    </row>
    <row r="4067">
      <c r="A4067" s="6" t="s">
        <v>9147</v>
      </c>
      <c r="B4067" s="6" t="s">
        <v>1220</v>
      </c>
      <c r="C4067" s="6" t="s">
        <v>43</v>
      </c>
      <c r="D4067" s="6" t="s">
        <v>9148</v>
      </c>
      <c r="E4067" s="6" t="s">
        <v>256</v>
      </c>
      <c r="F4067" s="6" t="s">
        <v>87</v>
      </c>
      <c r="G4067" s="7">
        <v>0.04</v>
      </c>
      <c r="H4067" s="6" t="s">
        <v>506</v>
      </c>
      <c r="I4067" s="6" t="s">
        <v>20</v>
      </c>
      <c r="J4067" s="6">
        <v>2016.0</v>
      </c>
      <c r="K4067" s="10">
        <v>46083.0</v>
      </c>
      <c r="L4067" s="6">
        <v>2.0</v>
      </c>
      <c r="M4067" s="8">
        <f t="shared" si="4"/>
        <v>0.08</v>
      </c>
      <c r="P4067" s="9"/>
    </row>
    <row r="4068">
      <c r="A4068" s="6" t="s">
        <v>9149</v>
      </c>
      <c r="B4068" s="6" t="s">
        <v>9150</v>
      </c>
      <c r="C4068" s="6" t="s">
        <v>43</v>
      </c>
      <c r="D4068" s="6" t="s">
        <v>9151</v>
      </c>
      <c r="E4068" s="6" t="s">
        <v>256</v>
      </c>
      <c r="F4068" s="6" t="s">
        <v>87</v>
      </c>
      <c r="G4068" s="7">
        <v>0.1</v>
      </c>
      <c r="H4068" s="6" t="s">
        <v>415</v>
      </c>
      <c r="I4068" s="6" t="s">
        <v>20</v>
      </c>
      <c r="J4068" s="6">
        <v>2016.0</v>
      </c>
      <c r="K4068" s="10">
        <v>46026.0</v>
      </c>
      <c r="L4068" s="6">
        <v>1.0</v>
      </c>
      <c r="M4068" s="8">
        <f t="shared" si="4"/>
        <v>0.1</v>
      </c>
      <c r="P4068" s="9"/>
    </row>
    <row r="4069">
      <c r="A4069" s="6" t="s">
        <v>9152</v>
      </c>
      <c r="B4069" s="6" t="s">
        <v>1087</v>
      </c>
      <c r="C4069" s="6" t="s">
        <v>43</v>
      </c>
      <c r="D4069" s="6" t="s">
        <v>9153</v>
      </c>
      <c r="E4069" s="6" t="s">
        <v>389</v>
      </c>
      <c r="F4069" s="6" t="s">
        <v>87</v>
      </c>
      <c r="G4069" s="7">
        <v>0.1</v>
      </c>
      <c r="H4069" s="6" t="s">
        <v>415</v>
      </c>
      <c r="I4069" s="6" t="s">
        <v>20</v>
      </c>
      <c r="J4069" s="6">
        <v>2016.0</v>
      </c>
      <c r="K4069" s="10">
        <v>46056.0</v>
      </c>
      <c r="L4069" s="6">
        <v>1.0</v>
      </c>
      <c r="M4069" s="8">
        <f t="shared" si="4"/>
        <v>0.1</v>
      </c>
      <c r="P4069" s="9"/>
    </row>
    <row r="4070">
      <c r="A4070" s="6" t="s">
        <v>9154</v>
      </c>
      <c r="B4070" s="6" t="s">
        <v>2739</v>
      </c>
      <c r="C4070" s="6" t="s">
        <v>43</v>
      </c>
      <c r="D4070" s="6" t="s">
        <v>9155</v>
      </c>
      <c r="E4070" s="6" t="s">
        <v>86</v>
      </c>
      <c r="F4070" s="6" t="s">
        <v>87</v>
      </c>
      <c r="G4070" s="7">
        <v>0.04</v>
      </c>
      <c r="H4070" s="6" t="s">
        <v>1076</v>
      </c>
      <c r="I4070" s="6" t="s">
        <v>20</v>
      </c>
      <c r="J4070" s="6">
        <v>2018.0</v>
      </c>
      <c r="K4070" s="10">
        <v>46024.0</v>
      </c>
      <c r="L4070" s="6">
        <v>1.0</v>
      </c>
      <c r="M4070" s="8">
        <f t="shared" si="4"/>
        <v>0.04</v>
      </c>
      <c r="P4070" s="9"/>
    </row>
    <row r="4071">
      <c r="A4071" s="6" t="s">
        <v>5350</v>
      </c>
      <c r="B4071" s="6" t="s">
        <v>2333</v>
      </c>
      <c r="C4071" s="6" t="s">
        <v>43</v>
      </c>
      <c r="D4071" s="6" t="s">
        <v>5351</v>
      </c>
      <c r="E4071" s="6" t="s">
        <v>86</v>
      </c>
      <c r="F4071" s="6" t="s">
        <v>87</v>
      </c>
      <c r="G4071" s="7">
        <v>0.04</v>
      </c>
      <c r="H4071" s="6" t="s">
        <v>382</v>
      </c>
      <c r="I4071" s="6" t="s">
        <v>20</v>
      </c>
      <c r="J4071" s="6">
        <v>2020.0</v>
      </c>
      <c r="K4071" s="10">
        <v>46082.0</v>
      </c>
      <c r="L4071" s="6">
        <v>1.0</v>
      </c>
      <c r="M4071" s="8">
        <f t="shared" si="4"/>
        <v>0.04</v>
      </c>
      <c r="P4071" s="9"/>
    </row>
    <row r="4072">
      <c r="A4072" s="6" t="s">
        <v>9156</v>
      </c>
      <c r="B4072" s="6" t="s">
        <v>3592</v>
      </c>
      <c r="C4072" s="6" t="s">
        <v>43</v>
      </c>
      <c r="D4072" s="6" t="s">
        <v>9157</v>
      </c>
      <c r="E4072" s="6" t="s">
        <v>256</v>
      </c>
      <c r="F4072" s="6" t="s">
        <v>87</v>
      </c>
      <c r="G4072" s="7">
        <v>0.06</v>
      </c>
      <c r="H4072" s="6" t="s">
        <v>709</v>
      </c>
      <c r="I4072" s="6" t="s">
        <v>20</v>
      </c>
      <c r="J4072" s="6">
        <v>2017.0</v>
      </c>
      <c r="K4072" s="10">
        <v>46023.0</v>
      </c>
      <c r="L4072" s="6">
        <v>1.0</v>
      </c>
      <c r="M4072" s="8">
        <f t="shared" si="4"/>
        <v>0.06</v>
      </c>
      <c r="P4072" s="9"/>
    </row>
    <row r="4073">
      <c r="A4073" s="6" t="s">
        <v>9158</v>
      </c>
      <c r="B4073" s="6" t="s">
        <v>9159</v>
      </c>
      <c r="C4073" s="6" t="s">
        <v>43</v>
      </c>
      <c r="D4073" s="6" t="s">
        <v>9160</v>
      </c>
      <c r="E4073" s="6" t="s">
        <v>256</v>
      </c>
      <c r="F4073" s="6" t="s">
        <v>87</v>
      </c>
      <c r="G4073" s="7">
        <v>0.05</v>
      </c>
      <c r="H4073" s="6" t="s">
        <v>1071</v>
      </c>
      <c r="I4073" s="6" t="s">
        <v>20</v>
      </c>
      <c r="J4073" s="6">
        <v>2012.0</v>
      </c>
      <c r="K4073" s="10">
        <v>46025.0</v>
      </c>
      <c r="L4073" s="6">
        <v>1.0</v>
      </c>
      <c r="M4073" s="8">
        <f t="shared" si="4"/>
        <v>0.05</v>
      </c>
      <c r="P4073" s="9"/>
    </row>
    <row r="4074">
      <c r="A4074" s="6" t="s">
        <v>9161</v>
      </c>
      <c r="B4074" s="6" t="s">
        <v>1220</v>
      </c>
      <c r="C4074" s="6" t="s">
        <v>43</v>
      </c>
      <c r="D4074" s="6" t="s">
        <v>9162</v>
      </c>
      <c r="E4074" s="6" t="s">
        <v>140</v>
      </c>
      <c r="F4074" s="6" t="s">
        <v>87</v>
      </c>
      <c r="G4074" s="7">
        <v>0.05</v>
      </c>
      <c r="H4074" s="6" t="s">
        <v>336</v>
      </c>
      <c r="I4074" s="6" t="s">
        <v>20</v>
      </c>
      <c r="J4074" s="6">
        <v>2020.0</v>
      </c>
      <c r="K4074" s="10">
        <v>46023.0</v>
      </c>
      <c r="L4074" s="6">
        <v>1.0</v>
      </c>
      <c r="M4074" s="8">
        <f t="shared" si="4"/>
        <v>0.05</v>
      </c>
      <c r="P4074" s="9"/>
    </row>
    <row r="4075">
      <c r="A4075" s="6" t="s">
        <v>9163</v>
      </c>
      <c r="B4075" s="6" t="s">
        <v>1875</v>
      </c>
      <c r="C4075" s="6" t="s">
        <v>43</v>
      </c>
      <c r="D4075" s="6" t="s">
        <v>9164</v>
      </c>
      <c r="E4075" s="6" t="s">
        <v>256</v>
      </c>
      <c r="F4075" s="6" t="s">
        <v>87</v>
      </c>
      <c r="G4075" s="7">
        <v>0.04</v>
      </c>
      <c r="H4075" s="6" t="s">
        <v>506</v>
      </c>
      <c r="I4075" s="6" t="s">
        <v>20</v>
      </c>
      <c r="J4075" s="6">
        <v>2016.0</v>
      </c>
      <c r="K4075" s="10">
        <v>46056.0</v>
      </c>
      <c r="L4075" s="6">
        <v>1.0</v>
      </c>
      <c r="M4075" s="8">
        <f t="shared" si="4"/>
        <v>0.04</v>
      </c>
      <c r="P4075" s="9"/>
    </row>
    <row r="4076">
      <c r="A4076" s="6" t="s">
        <v>9165</v>
      </c>
      <c r="B4076" s="6" t="s">
        <v>1220</v>
      </c>
      <c r="C4076" s="6" t="s">
        <v>43</v>
      </c>
      <c r="D4076" s="6" t="s">
        <v>9166</v>
      </c>
      <c r="E4076" s="6" t="s">
        <v>140</v>
      </c>
      <c r="F4076" s="6" t="s">
        <v>87</v>
      </c>
      <c r="G4076" s="7">
        <v>0.04</v>
      </c>
      <c r="H4076" s="6" t="s">
        <v>506</v>
      </c>
      <c r="I4076" s="6" t="s">
        <v>20</v>
      </c>
      <c r="J4076" s="6">
        <v>2016.0</v>
      </c>
      <c r="K4076" s="10">
        <v>46023.0</v>
      </c>
      <c r="L4076" s="6">
        <v>1.0</v>
      </c>
      <c r="M4076" s="8">
        <f t="shared" si="4"/>
        <v>0.04</v>
      </c>
      <c r="P4076" s="9"/>
    </row>
    <row r="4077">
      <c r="A4077" s="6" t="s">
        <v>3835</v>
      </c>
      <c r="B4077" s="6" t="s">
        <v>1471</v>
      </c>
      <c r="C4077" s="6" t="s">
        <v>43</v>
      </c>
      <c r="E4077" s="6" t="s">
        <v>389</v>
      </c>
      <c r="F4077" s="6" t="s">
        <v>87</v>
      </c>
      <c r="G4077" s="7">
        <v>0.05</v>
      </c>
      <c r="H4077" s="6" t="s">
        <v>415</v>
      </c>
      <c r="I4077" s="6" t="s">
        <v>20</v>
      </c>
      <c r="J4077" s="6">
        <v>2016.0</v>
      </c>
      <c r="K4077" s="10">
        <v>46058.0</v>
      </c>
      <c r="L4077" s="6">
        <v>1.0</v>
      </c>
      <c r="M4077" s="8">
        <f t="shared" si="4"/>
        <v>0.05</v>
      </c>
      <c r="P4077" s="9"/>
    </row>
    <row r="4078">
      <c r="A4078" s="6" t="s">
        <v>9167</v>
      </c>
      <c r="B4078" s="6" t="s">
        <v>861</v>
      </c>
      <c r="C4078" s="6" t="s">
        <v>1488</v>
      </c>
      <c r="D4078" s="6" t="s">
        <v>9168</v>
      </c>
      <c r="E4078" s="6" t="s">
        <v>2792</v>
      </c>
      <c r="F4078" s="6" t="s">
        <v>87</v>
      </c>
      <c r="G4078" s="7">
        <v>1.05</v>
      </c>
      <c r="H4078" s="6" t="s">
        <v>3148</v>
      </c>
      <c r="I4078" s="6" t="s">
        <v>20</v>
      </c>
      <c r="J4078" s="6">
        <v>2023.0</v>
      </c>
      <c r="K4078" s="10">
        <v>46179.0</v>
      </c>
      <c r="L4078" s="6">
        <v>1.0</v>
      </c>
      <c r="M4078" s="8">
        <f t="shared" si="4"/>
        <v>1.05</v>
      </c>
      <c r="N4078" s="6" t="s">
        <v>122</v>
      </c>
      <c r="P4078" s="9"/>
    </row>
    <row r="4079">
      <c r="A4079" s="6" t="s">
        <v>9169</v>
      </c>
      <c r="B4079" s="6" t="s">
        <v>7784</v>
      </c>
      <c r="C4079" s="6" t="s">
        <v>37</v>
      </c>
      <c r="D4079" s="6" t="s">
        <v>9170</v>
      </c>
      <c r="E4079" s="6" t="s">
        <v>140</v>
      </c>
      <c r="F4079" s="6" t="s">
        <v>87</v>
      </c>
      <c r="G4079" s="7">
        <v>0.2</v>
      </c>
      <c r="H4079" s="6" t="s">
        <v>415</v>
      </c>
      <c r="I4079" s="6" t="s">
        <v>20</v>
      </c>
      <c r="J4079" s="6">
        <v>2016.0</v>
      </c>
      <c r="K4079" s="10">
        <v>46023.0</v>
      </c>
      <c r="L4079" s="6">
        <v>1.0</v>
      </c>
      <c r="M4079" s="8">
        <f t="shared" si="4"/>
        <v>0.2</v>
      </c>
      <c r="P4079" s="9"/>
    </row>
    <row r="4080">
      <c r="A4080" s="6" t="s">
        <v>9171</v>
      </c>
      <c r="B4080" s="6" t="s">
        <v>556</v>
      </c>
      <c r="C4080" s="6" t="s">
        <v>37</v>
      </c>
      <c r="D4080" s="6" t="s">
        <v>9172</v>
      </c>
      <c r="E4080" s="6" t="s">
        <v>256</v>
      </c>
      <c r="F4080" s="6" t="s">
        <v>87</v>
      </c>
      <c r="G4080" s="7">
        <v>0.05</v>
      </c>
      <c r="H4080" s="6" t="s">
        <v>903</v>
      </c>
      <c r="I4080" s="6" t="s">
        <v>20</v>
      </c>
      <c r="J4080" s="6">
        <v>2016.0</v>
      </c>
      <c r="K4080" s="10">
        <v>46113.0</v>
      </c>
      <c r="L4080" s="6">
        <v>1.0</v>
      </c>
      <c r="M4080" s="8">
        <f t="shared" si="4"/>
        <v>0.05</v>
      </c>
      <c r="P4080" s="9"/>
    </row>
    <row r="4081">
      <c r="A4081" s="6" t="s">
        <v>9173</v>
      </c>
      <c r="B4081" s="6" t="s">
        <v>9174</v>
      </c>
      <c r="C4081" s="6" t="s">
        <v>43</v>
      </c>
      <c r="D4081" s="6" t="s">
        <v>9175</v>
      </c>
      <c r="E4081" s="6" t="s">
        <v>356</v>
      </c>
      <c r="F4081" s="6" t="s">
        <v>87</v>
      </c>
      <c r="G4081" s="7">
        <v>0.04</v>
      </c>
      <c r="H4081" s="6" t="s">
        <v>431</v>
      </c>
      <c r="I4081" s="6" t="s">
        <v>20</v>
      </c>
      <c r="J4081" s="6">
        <v>2019.0</v>
      </c>
      <c r="K4081" s="10">
        <v>46148.0</v>
      </c>
      <c r="L4081" s="6">
        <v>1.0</v>
      </c>
      <c r="M4081" s="8">
        <f t="shared" si="4"/>
        <v>0.04</v>
      </c>
      <c r="P4081" s="9"/>
    </row>
    <row r="4082">
      <c r="A4082" s="6" t="s">
        <v>9176</v>
      </c>
      <c r="B4082" s="6" t="s">
        <v>1875</v>
      </c>
      <c r="C4082" s="6" t="s">
        <v>43</v>
      </c>
      <c r="D4082" s="6" t="s">
        <v>9177</v>
      </c>
      <c r="E4082" s="6" t="s">
        <v>389</v>
      </c>
      <c r="F4082" s="6" t="s">
        <v>87</v>
      </c>
      <c r="G4082" s="7">
        <v>0.04</v>
      </c>
      <c r="H4082" s="6" t="s">
        <v>431</v>
      </c>
      <c r="I4082" s="6" t="s">
        <v>20</v>
      </c>
      <c r="J4082" s="6">
        <v>2019.0</v>
      </c>
      <c r="K4082" s="10">
        <v>46058.0</v>
      </c>
      <c r="L4082" s="6">
        <v>1.0</v>
      </c>
      <c r="M4082" s="8">
        <f t="shared" si="4"/>
        <v>0.04</v>
      </c>
      <c r="P4082" s="9"/>
    </row>
    <row r="4083">
      <c r="A4083" s="6" t="s">
        <v>9178</v>
      </c>
      <c r="B4083" s="6" t="s">
        <v>1517</v>
      </c>
      <c r="C4083" s="6" t="s">
        <v>43</v>
      </c>
      <c r="E4083" s="6" t="s">
        <v>86</v>
      </c>
      <c r="F4083" s="6" t="s">
        <v>87</v>
      </c>
      <c r="G4083" s="7">
        <v>0.04</v>
      </c>
      <c r="H4083" s="6" t="s">
        <v>431</v>
      </c>
      <c r="I4083" s="6" t="s">
        <v>20</v>
      </c>
      <c r="J4083" s="6">
        <v>2019.0</v>
      </c>
      <c r="K4083" s="10">
        <v>46055.0</v>
      </c>
      <c r="L4083" s="6">
        <v>1.0</v>
      </c>
      <c r="M4083" s="8">
        <f t="shared" si="4"/>
        <v>0.04</v>
      </c>
      <c r="P4083" s="9"/>
    </row>
    <row r="4084">
      <c r="A4084" s="6" t="s">
        <v>9179</v>
      </c>
      <c r="B4084" s="6" t="s">
        <v>371</v>
      </c>
      <c r="C4084" s="6" t="s">
        <v>43</v>
      </c>
      <c r="D4084" s="6" t="s">
        <v>9180</v>
      </c>
      <c r="E4084" s="6" t="s">
        <v>86</v>
      </c>
      <c r="F4084" s="6" t="s">
        <v>87</v>
      </c>
      <c r="G4084" s="7">
        <v>0.04</v>
      </c>
      <c r="H4084" s="6" t="s">
        <v>1511</v>
      </c>
      <c r="I4084" s="6" t="s">
        <v>20</v>
      </c>
      <c r="J4084" s="6">
        <v>2014.0</v>
      </c>
      <c r="K4084" s="10">
        <v>46023.0</v>
      </c>
      <c r="L4084" s="6">
        <v>1.0</v>
      </c>
      <c r="M4084" s="8">
        <f t="shared" si="4"/>
        <v>0.04</v>
      </c>
      <c r="P4084" s="9"/>
    </row>
    <row r="4085">
      <c r="A4085" s="6" t="s">
        <v>9181</v>
      </c>
      <c r="B4085" s="6" t="s">
        <v>6833</v>
      </c>
      <c r="C4085" s="6" t="s">
        <v>43</v>
      </c>
      <c r="D4085" s="6" t="s">
        <v>9182</v>
      </c>
      <c r="E4085" s="6" t="s">
        <v>86</v>
      </c>
      <c r="F4085" s="6" t="s">
        <v>87</v>
      </c>
      <c r="G4085" s="7">
        <v>0.04</v>
      </c>
      <c r="H4085" s="6" t="s">
        <v>1511</v>
      </c>
      <c r="I4085" s="6" t="s">
        <v>20</v>
      </c>
      <c r="J4085" s="6">
        <v>2014.0</v>
      </c>
      <c r="K4085" s="10">
        <v>46024.0</v>
      </c>
      <c r="L4085" s="6">
        <v>1.0</v>
      </c>
      <c r="M4085" s="8">
        <f t="shared" si="4"/>
        <v>0.04</v>
      </c>
      <c r="P4085" s="9"/>
    </row>
    <row r="4086">
      <c r="A4086" s="6" t="s">
        <v>9183</v>
      </c>
      <c r="B4086" s="6" t="s">
        <v>2356</v>
      </c>
      <c r="C4086" s="6" t="s">
        <v>43</v>
      </c>
      <c r="D4086" s="6" t="s">
        <v>9184</v>
      </c>
      <c r="E4086" s="6" t="s">
        <v>256</v>
      </c>
      <c r="F4086" s="6" t="s">
        <v>87</v>
      </c>
      <c r="G4086" s="7">
        <v>0.03</v>
      </c>
      <c r="H4086" s="6" t="s">
        <v>586</v>
      </c>
      <c r="I4086" s="6" t="s">
        <v>20</v>
      </c>
      <c r="J4086" s="6">
        <v>2012.0</v>
      </c>
      <c r="K4086" s="10">
        <v>46055.0</v>
      </c>
      <c r="L4086" s="6">
        <v>1.0</v>
      </c>
      <c r="M4086" s="8">
        <f t="shared" si="4"/>
        <v>0.03</v>
      </c>
      <c r="P4086" s="9"/>
    </row>
    <row r="4087">
      <c r="A4087" s="6" t="s">
        <v>9185</v>
      </c>
      <c r="B4087" s="6" t="s">
        <v>1983</v>
      </c>
      <c r="C4087" s="6" t="s">
        <v>43</v>
      </c>
      <c r="D4087" s="6" t="s">
        <v>9186</v>
      </c>
      <c r="E4087" s="6" t="s">
        <v>256</v>
      </c>
      <c r="F4087" s="6" t="s">
        <v>87</v>
      </c>
      <c r="G4087" s="7">
        <v>0.06</v>
      </c>
      <c r="H4087" s="6" t="s">
        <v>586</v>
      </c>
      <c r="I4087" s="6" t="s">
        <v>20</v>
      </c>
      <c r="J4087" s="6">
        <v>2012.0</v>
      </c>
      <c r="K4087" s="10">
        <v>46024.0</v>
      </c>
      <c r="L4087" s="6">
        <v>1.0</v>
      </c>
      <c r="M4087" s="8">
        <f t="shared" si="4"/>
        <v>0.06</v>
      </c>
      <c r="P4087" s="9"/>
    </row>
    <row r="4088">
      <c r="A4088" s="6" t="s">
        <v>9187</v>
      </c>
      <c r="B4088" s="6" t="s">
        <v>8907</v>
      </c>
      <c r="C4088" s="6" t="s">
        <v>43</v>
      </c>
      <c r="D4088" s="6" t="s">
        <v>9188</v>
      </c>
      <c r="E4088" s="6" t="s">
        <v>86</v>
      </c>
      <c r="F4088" s="6" t="s">
        <v>87</v>
      </c>
      <c r="G4088" s="7">
        <v>0.06</v>
      </c>
      <c r="H4088" s="6" t="s">
        <v>496</v>
      </c>
      <c r="I4088" s="6" t="s">
        <v>20</v>
      </c>
      <c r="J4088" s="6">
        <v>2013.0</v>
      </c>
      <c r="K4088" s="10">
        <v>46083.0</v>
      </c>
      <c r="L4088" s="6">
        <v>1.0</v>
      </c>
      <c r="M4088" s="8">
        <f t="shared" si="4"/>
        <v>0.06</v>
      </c>
      <c r="P4088" s="9"/>
    </row>
    <row r="4089">
      <c r="A4089" s="6" t="s">
        <v>9189</v>
      </c>
      <c r="B4089" s="6" t="s">
        <v>3050</v>
      </c>
      <c r="C4089" s="6" t="s">
        <v>43</v>
      </c>
      <c r="D4089" s="6" t="s">
        <v>9190</v>
      </c>
      <c r="E4089" s="6" t="s">
        <v>256</v>
      </c>
      <c r="F4089" s="6" t="s">
        <v>87</v>
      </c>
      <c r="G4089" s="7">
        <v>0.06</v>
      </c>
      <c r="H4089" s="6" t="s">
        <v>586</v>
      </c>
      <c r="I4089" s="6" t="s">
        <v>20</v>
      </c>
      <c r="J4089" s="6">
        <v>2012.0</v>
      </c>
      <c r="K4089" s="6" t="s">
        <v>445</v>
      </c>
      <c r="L4089" s="6">
        <v>1.0</v>
      </c>
      <c r="M4089" s="8">
        <f t="shared" si="4"/>
        <v>0.06</v>
      </c>
      <c r="P4089" s="9"/>
    </row>
    <row r="4090">
      <c r="A4090" s="6" t="s">
        <v>9191</v>
      </c>
      <c r="B4090" s="6" t="s">
        <v>504</v>
      </c>
      <c r="C4090" s="6" t="s">
        <v>43</v>
      </c>
      <c r="D4090" s="6" t="s">
        <v>9192</v>
      </c>
      <c r="E4090" s="6" t="s">
        <v>1486</v>
      </c>
      <c r="F4090" s="6" t="s">
        <v>87</v>
      </c>
      <c r="G4090" s="7">
        <v>0.05</v>
      </c>
      <c r="H4090" s="6" t="s">
        <v>586</v>
      </c>
      <c r="I4090" s="6" t="s">
        <v>20</v>
      </c>
      <c r="J4090" s="6">
        <v>2012.0</v>
      </c>
      <c r="K4090" s="10">
        <v>46117.0</v>
      </c>
      <c r="L4090" s="6">
        <v>1.0</v>
      </c>
      <c r="M4090" s="8">
        <f t="shared" si="4"/>
        <v>0.05</v>
      </c>
      <c r="P4090" s="9"/>
    </row>
    <row r="4091">
      <c r="A4091" s="6" t="s">
        <v>9193</v>
      </c>
      <c r="B4091" s="6" t="s">
        <v>7015</v>
      </c>
      <c r="C4091" s="6" t="s">
        <v>37</v>
      </c>
      <c r="D4091" s="6" t="s">
        <v>9194</v>
      </c>
      <c r="E4091" s="6" t="s">
        <v>164</v>
      </c>
      <c r="F4091" s="6" t="s">
        <v>112</v>
      </c>
      <c r="G4091" s="7">
        <v>0.15</v>
      </c>
      <c r="H4091" s="6" t="s">
        <v>746</v>
      </c>
      <c r="I4091" s="6" t="s">
        <v>20</v>
      </c>
      <c r="J4091" s="6">
        <v>2024.0</v>
      </c>
      <c r="K4091" s="10">
        <v>46083.0</v>
      </c>
      <c r="L4091" s="6">
        <v>1.0</v>
      </c>
      <c r="M4091" s="8">
        <f t="shared" si="4"/>
        <v>0.15</v>
      </c>
      <c r="P4091" s="9"/>
    </row>
    <row r="4092">
      <c r="A4092" s="6" t="s">
        <v>9195</v>
      </c>
      <c r="B4092" s="6" t="s">
        <v>162</v>
      </c>
      <c r="C4092" s="6" t="s">
        <v>37</v>
      </c>
      <c r="D4092" s="6" t="s">
        <v>9196</v>
      </c>
      <c r="E4092" s="6" t="s">
        <v>39</v>
      </c>
      <c r="F4092" s="6" t="s">
        <v>40</v>
      </c>
      <c r="G4092" s="7">
        <v>0.08</v>
      </c>
      <c r="H4092" s="6" t="s">
        <v>701</v>
      </c>
      <c r="I4092" s="6" t="s">
        <v>20</v>
      </c>
      <c r="J4092" s="6">
        <v>2015.0</v>
      </c>
      <c r="L4092" s="6">
        <v>1.0</v>
      </c>
      <c r="M4092" s="8">
        <f t="shared" si="4"/>
        <v>0.08</v>
      </c>
      <c r="P4092" s="9"/>
    </row>
    <row r="4093">
      <c r="A4093" s="6" t="s">
        <v>9197</v>
      </c>
      <c r="B4093" s="6" t="s">
        <v>162</v>
      </c>
      <c r="C4093" s="6" t="s">
        <v>37</v>
      </c>
      <c r="D4093" s="6" t="s">
        <v>9198</v>
      </c>
      <c r="E4093" s="6" t="s">
        <v>57</v>
      </c>
      <c r="F4093" s="6" t="s">
        <v>40</v>
      </c>
      <c r="G4093" s="7">
        <v>0.04</v>
      </c>
      <c r="H4093" s="6" t="s">
        <v>1856</v>
      </c>
      <c r="I4093" s="6" t="s">
        <v>20</v>
      </c>
      <c r="J4093" s="6">
        <v>2017.0</v>
      </c>
      <c r="L4093" s="6">
        <v>1.0</v>
      </c>
      <c r="M4093" s="8">
        <f t="shared" si="4"/>
        <v>0.04</v>
      </c>
      <c r="P4093" s="9"/>
    </row>
    <row r="4094">
      <c r="A4094" s="6" t="s">
        <v>9199</v>
      </c>
      <c r="B4094" s="6" t="s">
        <v>162</v>
      </c>
      <c r="C4094" s="6" t="s">
        <v>43</v>
      </c>
      <c r="D4094" s="6" t="s">
        <v>3572</v>
      </c>
      <c r="E4094" s="6" t="s">
        <v>57</v>
      </c>
      <c r="F4094" s="6" t="s">
        <v>40</v>
      </c>
      <c r="G4094" s="7">
        <v>0.06</v>
      </c>
      <c r="H4094" s="6" t="s">
        <v>3781</v>
      </c>
      <c r="I4094" s="6" t="s">
        <v>20</v>
      </c>
      <c r="J4094" s="6">
        <v>2008.0</v>
      </c>
      <c r="L4094" s="6">
        <v>1.0</v>
      </c>
      <c r="M4094" s="8">
        <f t="shared" si="4"/>
        <v>0.06</v>
      </c>
      <c r="P4094" s="9"/>
    </row>
    <row r="4095">
      <c r="A4095" s="6" t="s">
        <v>9200</v>
      </c>
      <c r="B4095" s="6" t="s">
        <v>162</v>
      </c>
      <c r="C4095" s="6" t="s">
        <v>43</v>
      </c>
      <c r="D4095" s="6" t="s">
        <v>9201</v>
      </c>
      <c r="E4095" s="6" t="s">
        <v>125</v>
      </c>
      <c r="F4095" s="6" t="s">
        <v>40</v>
      </c>
      <c r="G4095" s="7">
        <v>0.1</v>
      </c>
      <c r="H4095" s="6" t="s">
        <v>468</v>
      </c>
      <c r="I4095" s="6" t="s">
        <v>20</v>
      </c>
      <c r="J4095" s="6">
        <v>2015.0</v>
      </c>
      <c r="L4095" s="6">
        <v>1.0</v>
      </c>
      <c r="M4095" s="8">
        <f t="shared" si="4"/>
        <v>0.1</v>
      </c>
      <c r="P4095" s="9"/>
    </row>
    <row r="4096">
      <c r="A4096" s="6" t="s">
        <v>9202</v>
      </c>
      <c r="B4096" s="6" t="s">
        <v>162</v>
      </c>
      <c r="C4096" s="6" t="s">
        <v>43</v>
      </c>
      <c r="D4096" s="6" t="s">
        <v>9203</v>
      </c>
      <c r="E4096" s="6" t="s">
        <v>57</v>
      </c>
      <c r="F4096" s="6" t="s">
        <v>40</v>
      </c>
      <c r="G4096" s="7">
        <v>0.04</v>
      </c>
      <c r="H4096" s="6" t="s">
        <v>1344</v>
      </c>
      <c r="I4096" s="6" t="s">
        <v>20</v>
      </c>
      <c r="J4096" s="6">
        <v>2018.0</v>
      </c>
      <c r="L4096" s="6">
        <v>1.0</v>
      </c>
      <c r="M4096" s="8">
        <f t="shared" si="4"/>
        <v>0.04</v>
      </c>
      <c r="P4096" s="9"/>
    </row>
    <row r="4097">
      <c r="A4097" s="6" t="s">
        <v>9204</v>
      </c>
      <c r="B4097" s="6" t="s">
        <v>162</v>
      </c>
      <c r="C4097" s="6" t="s">
        <v>30</v>
      </c>
      <c r="D4097" s="6" t="s">
        <v>9205</v>
      </c>
      <c r="E4097" s="6" t="s">
        <v>2030</v>
      </c>
      <c r="F4097" s="6" t="s">
        <v>40</v>
      </c>
      <c r="G4097" s="7">
        <v>0.79</v>
      </c>
      <c r="H4097" s="6" t="s">
        <v>290</v>
      </c>
      <c r="I4097" s="6" t="s">
        <v>20</v>
      </c>
      <c r="J4097" s="6">
        <v>2019.0</v>
      </c>
      <c r="L4097" s="6">
        <v>1.0</v>
      </c>
      <c r="M4097" s="8">
        <f t="shared" si="4"/>
        <v>0.79</v>
      </c>
      <c r="P4097" s="9"/>
    </row>
    <row r="4098">
      <c r="A4098" s="6" t="s">
        <v>9206</v>
      </c>
      <c r="B4098" s="6" t="s">
        <v>162</v>
      </c>
      <c r="C4098" s="6" t="s">
        <v>43</v>
      </c>
      <c r="D4098" s="6" t="s">
        <v>9207</v>
      </c>
      <c r="E4098" s="6" t="s">
        <v>57</v>
      </c>
      <c r="F4098" s="6" t="s">
        <v>40</v>
      </c>
      <c r="G4098" s="7">
        <v>0.04</v>
      </c>
      <c r="H4098" s="6" t="s">
        <v>407</v>
      </c>
      <c r="I4098" s="6" t="s">
        <v>20</v>
      </c>
      <c r="J4098" s="6">
        <v>2016.0</v>
      </c>
      <c r="L4098" s="6">
        <v>1.0</v>
      </c>
      <c r="M4098" s="8">
        <f t="shared" si="4"/>
        <v>0.04</v>
      </c>
      <c r="P4098" s="9"/>
    </row>
    <row r="4099">
      <c r="A4099" s="6" t="s">
        <v>9208</v>
      </c>
      <c r="B4099" s="6" t="s">
        <v>162</v>
      </c>
      <c r="C4099" s="6" t="s">
        <v>43</v>
      </c>
      <c r="D4099" s="6" t="s">
        <v>9209</v>
      </c>
      <c r="E4099" s="6" t="s">
        <v>135</v>
      </c>
      <c r="F4099" s="6" t="s">
        <v>40</v>
      </c>
      <c r="G4099" s="7">
        <v>0.04</v>
      </c>
      <c r="H4099" s="6" t="s">
        <v>1076</v>
      </c>
      <c r="I4099" s="6" t="s">
        <v>20</v>
      </c>
      <c r="J4099" s="6">
        <v>2018.0</v>
      </c>
      <c r="L4099" s="6">
        <v>3.0</v>
      </c>
      <c r="M4099" s="8">
        <f t="shared" si="4"/>
        <v>0.12</v>
      </c>
      <c r="P4099" s="9"/>
    </row>
    <row r="4100">
      <c r="A4100" s="6" t="s">
        <v>9210</v>
      </c>
      <c r="B4100" s="6" t="s">
        <v>162</v>
      </c>
      <c r="C4100" s="6" t="s">
        <v>43</v>
      </c>
      <c r="D4100" s="6" t="s">
        <v>9211</v>
      </c>
      <c r="E4100" s="6" t="s">
        <v>57</v>
      </c>
      <c r="F4100" s="6" t="s">
        <v>40</v>
      </c>
      <c r="G4100" s="7">
        <v>0.06</v>
      </c>
      <c r="H4100" s="6" t="s">
        <v>373</v>
      </c>
      <c r="I4100" s="6" t="s">
        <v>20</v>
      </c>
      <c r="J4100" s="6">
        <v>2015.0</v>
      </c>
      <c r="L4100" s="6">
        <v>6.0</v>
      </c>
      <c r="M4100" s="8">
        <f t="shared" si="4"/>
        <v>0.36</v>
      </c>
      <c r="P4100" s="9"/>
    </row>
    <row r="4101">
      <c r="A4101" s="6" t="s">
        <v>9212</v>
      </c>
      <c r="B4101" s="6" t="s">
        <v>162</v>
      </c>
      <c r="C4101" s="6" t="s">
        <v>43</v>
      </c>
      <c r="D4101" s="6" t="s">
        <v>9213</v>
      </c>
      <c r="E4101" s="6" t="s">
        <v>554</v>
      </c>
      <c r="F4101" s="6" t="s">
        <v>40</v>
      </c>
      <c r="G4101" s="7">
        <v>0.06</v>
      </c>
      <c r="H4101" s="6" t="s">
        <v>373</v>
      </c>
      <c r="I4101" s="6" t="s">
        <v>20</v>
      </c>
      <c r="J4101" s="6">
        <v>2015.0</v>
      </c>
      <c r="L4101" s="6">
        <v>6.0</v>
      </c>
      <c r="M4101" s="8">
        <f t="shared" si="4"/>
        <v>0.36</v>
      </c>
      <c r="P4101" s="9"/>
    </row>
    <row r="4102">
      <c r="A4102" s="6" t="s">
        <v>9214</v>
      </c>
      <c r="B4102" s="6" t="s">
        <v>74</v>
      </c>
      <c r="C4102" s="6" t="s">
        <v>37</v>
      </c>
      <c r="D4102" s="6" t="s">
        <v>4293</v>
      </c>
      <c r="E4102" s="6" t="s">
        <v>135</v>
      </c>
      <c r="F4102" s="6" t="s">
        <v>40</v>
      </c>
      <c r="G4102" s="7">
        <v>0.06</v>
      </c>
      <c r="H4102" s="6" t="s">
        <v>407</v>
      </c>
      <c r="I4102" s="6" t="s">
        <v>20</v>
      </c>
      <c r="J4102" s="6">
        <v>2016.0</v>
      </c>
      <c r="L4102" s="6">
        <v>1.0</v>
      </c>
      <c r="M4102" s="8">
        <f t="shared" si="4"/>
        <v>0.06</v>
      </c>
      <c r="P4102" s="9"/>
    </row>
    <row r="4103">
      <c r="A4103" s="6" t="s">
        <v>9215</v>
      </c>
      <c r="B4103" s="6" t="s">
        <v>74</v>
      </c>
      <c r="C4103" s="6" t="s">
        <v>43</v>
      </c>
      <c r="D4103" s="6" t="s">
        <v>9216</v>
      </c>
      <c r="E4103" s="6" t="s">
        <v>135</v>
      </c>
      <c r="F4103" s="6" t="s">
        <v>40</v>
      </c>
      <c r="G4103" s="7">
        <v>0.04</v>
      </c>
      <c r="H4103" s="6" t="s">
        <v>431</v>
      </c>
      <c r="I4103" s="6" t="s">
        <v>20</v>
      </c>
      <c r="J4103" s="6">
        <v>2019.0</v>
      </c>
      <c r="L4103" s="6">
        <v>1.0</v>
      </c>
      <c r="M4103" s="8">
        <f t="shared" si="4"/>
        <v>0.04</v>
      </c>
      <c r="P4103" s="9"/>
    </row>
    <row r="4104">
      <c r="A4104" s="6" t="s">
        <v>595</v>
      </c>
      <c r="B4104" s="6" t="s">
        <v>74</v>
      </c>
      <c r="C4104" s="6" t="s">
        <v>43</v>
      </c>
      <c r="D4104" s="6" t="s">
        <v>596</v>
      </c>
      <c r="E4104" s="6" t="s">
        <v>125</v>
      </c>
      <c r="F4104" s="6" t="s">
        <v>40</v>
      </c>
      <c r="G4104" s="7">
        <v>0.04</v>
      </c>
      <c r="H4104" s="6" t="s">
        <v>431</v>
      </c>
      <c r="I4104" s="6" t="s">
        <v>20</v>
      </c>
      <c r="J4104" s="6">
        <v>2019.0</v>
      </c>
      <c r="L4104" s="6">
        <v>1.0</v>
      </c>
      <c r="M4104" s="8">
        <f t="shared" si="4"/>
        <v>0.04</v>
      </c>
      <c r="P4104" s="9"/>
    </row>
    <row r="4105">
      <c r="A4105" s="6" t="s">
        <v>9217</v>
      </c>
      <c r="B4105" s="6" t="s">
        <v>74</v>
      </c>
      <c r="C4105" s="6" t="s">
        <v>43</v>
      </c>
      <c r="D4105" s="6" t="s">
        <v>9218</v>
      </c>
      <c r="E4105" s="6" t="s">
        <v>135</v>
      </c>
      <c r="F4105" s="6" t="s">
        <v>40</v>
      </c>
      <c r="G4105" s="7">
        <v>0.06</v>
      </c>
      <c r="H4105" s="6" t="s">
        <v>922</v>
      </c>
      <c r="I4105" s="6" t="s">
        <v>20</v>
      </c>
      <c r="J4105" s="6">
        <v>2014.0</v>
      </c>
      <c r="L4105" s="6">
        <v>2.0</v>
      </c>
      <c r="M4105" s="8">
        <f t="shared" si="4"/>
        <v>0.12</v>
      </c>
      <c r="P4105" s="9"/>
    </row>
    <row r="4106">
      <c r="A4106" s="6" t="s">
        <v>9219</v>
      </c>
      <c r="B4106" s="6" t="s">
        <v>74</v>
      </c>
      <c r="C4106" s="6" t="s">
        <v>37</v>
      </c>
      <c r="D4106" s="6" t="s">
        <v>9220</v>
      </c>
      <c r="E4106" s="6" t="s">
        <v>135</v>
      </c>
      <c r="F4106" s="6" t="s">
        <v>40</v>
      </c>
      <c r="G4106" s="7">
        <v>0.07</v>
      </c>
      <c r="H4106" s="6" t="s">
        <v>701</v>
      </c>
      <c r="I4106" s="6" t="s">
        <v>20</v>
      </c>
      <c r="J4106" s="6">
        <v>2015.0</v>
      </c>
      <c r="L4106" s="6">
        <v>1.0</v>
      </c>
      <c r="M4106" s="8">
        <f t="shared" si="4"/>
        <v>0.07</v>
      </c>
      <c r="P4106" s="9"/>
    </row>
    <row r="4107">
      <c r="A4107" s="6" t="s">
        <v>9221</v>
      </c>
      <c r="B4107" s="6" t="s">
        <v>74</v>
      </c>
      <c r="C4107" s="6" t="s">
        <v>37</v>
      </c>
      <c r="D4107" s="6" t="s">
        <v>9222</v>
      </c>
      <c r="E4107" s="6" t="s">
        <v>135</v>
      </c>
      <c r="F4107" s="6" t="s">
        <v>40</v>
      </c>
      <c r="G4107" s="7">
        <v>0.15</v>
      </c>
      <c r="H4107" s="6" t="s">
        <v>903</v>
      </c>
      <c r="I4107" s="6" t="s">
        <v>20</v>
      </c>
      <c r="J4107" s="6">
        <v>2016.0</v>
      </c>
      <c r="L4107" s="6">
        <v>2.0</v>
      </c>
      <c r="M4107" s="8">
        <f t="shared" si="4"/>
        <v>0.3</v>
      </c>
      <c r="P4107" s="9"/>
    </row>
    <row r="4108">
      <c r="A4108" s="6" t="s">
        <v>9223</v>
      </c>
      <c r="B4108" s="6" t="s">
        <v>74</v>
      </c>
      <c r="C4108" s="6" t="s">
        <v>37</v>
      </c>
      <c r="D4108" s="6" t="s">
        <v>9224</v>
      </c>
      <c r="E4108" s="6" t="s">
        <v>39</v>
      </c>
      <c r="F4108" s="6" t="s">
        <v>40</v>
      </c>
      <c r="G4108" s="7">
        <v>0.08</v>
      </c>
      <c r="H4108" s="6" t="s">
        <v>903</v>
      </c>
      <c r="I4108" s="6" t="s">
        <v>20</v>
      </c>
      <c r="J4108" s="6">
        <v>2016.0</v>
      </c>
      <c r="L4108" s="6">
        <v>2.0</v>
      </c>
      <c r="M4108" s="8">
        <f t="shared" si="4"/>
        <v>0.16</v>
      </c>
      <c r="P4108" s="9"/>
    </row>
    <row r="4109">
      <c r="A4109" s="6" t="s">
        <v>9225</v>
      </c>
      <c r="B4109" s="6" t="s">
        <v>74</v>
      </c>
      <c r="C4109" s="6" t="s">
        <v>43</v>
      </c>
      <c r="D4109" s="6" t="s">
        <v>9226</v>
      </c>
      <c r="E4109" s="6" t="s">
        <v>135</v>
      </c>
      <c r="F4109" s="6" t="s">
        <v>40</v>
      </c>
      <c r="G4109" s="7">
        <v>0.04</v>
      </c>
      <c r="H4109" s="6" t="s">
        <v>373</v>
      </c>
      <c r="I4109" s="6" t="s">
        <v>20</v>
      </c>
      <c r="J4109" s="6">
        <v>2015.0</v>
      </c>
      <c r="L4109" s="6">
        <v>9.0</v>
      </c>
      <c r="M4109" s="8">
        <f t="shared" si="4"/>
        <v>0.36</v>
      </c>
      <c r="P4109" s="9"/>
    </row>
    <row r="4110">
      <c r="A4110" s="6" t="s">
        <v>9227</v>
      </c>
      <c r="B4110" s="6" t="s">
        <v>74</v>
      </c>
      <c r="C4110" s="6" t="s">
        <v>43</v>
      </c>
      <c r="D4110" s="6" t="s">
        <v>9228</v>
      </c>
      <c r="E4110" s="6" t="s">
        <v>125</v>
      </c>
      <c r="F4110" s="6" t="s">
        <v>40</v>
      </c>
      <c r="G4110" s="7">
        <v>0.06</v>
      </c>
      <c r="H4110" s="6" t="s">
        <v>373</v>
      </c>
      <c r="I4110" s="6" t="s">
        <v>20</v>
      </c>
      <c r="J4110" s="6">
        <v>2015.0</v>
      </c>
      <c r="L4110" s="6">
        <v>3.0</v>
      </c>
      <c r="M4110" s="8">
        <f t="shared" si="4"/>
        <v>0.18</v>
      </c>
      <c r="P4110" s="9"/>
    </row>
    <row r="4111">
      <c r="A4111" s="6" t="s">
        <v>9229</v>
      </c>
      <c r="B4111" s="6" t="s">
        <v>74</v>
      </c>
      <c r="C4111" s="6" t="s">
        <v>43</v>
      </c>
      <c r="D4111" s="6" t="s">
        <v>9230</v>
      </c>
      <c r="E4111" s="6" t="s">
        <v>125</v>
      </c>
      <c r="F4111" s="6" t="s">
        <v>40</v>
      </c>
      <c r="G4111" s="7">
        <v>0.04</v>
      </c>
      <c r="H4111" s="6" t="s">
        <v>709</v>
      </c>
      <c r="I4111" s="6" t="s">
        <v>20</v>
      </c>
      <c r="J4111" s="6">
        <v>2017.0</v>
      </c>
      <c r="L4111" s="6">
        <v>1.0</v>
      </c>
      <c r="M4111" s="8">
        <f t="shared" si="4"/>
        <v>0.04</v>
      </c>
      <c r="P4111" s="9"/>
    </row>
    <row r="4112">
      <c r="A4112" s="6" t="s">
        <v>9231</v>
      </c>
      <c r="B4112" s="6" t="s">
        <v>74</v>
      </c>
      <c r="C4112" s="6" t="s">
        <v>43</v>
      </c>
      <c r="D4112" s="6" t="s">
        <v>9232</v>
      </c>
      <c r="E4112" s="6" t="s">
        <v>125</v>
      </c>
      <c r="F4112" s="6" t="s">
        <v>40</v>
      </c>
      <c r="G4112" s="7">
        <v>0.04</v>
      </c>
      <c r="H4112" s="6" t="s">
        <v>407</v>
      </c>
      <c r="I4112" s="6" t="s">
        <v>20</v>
      </c>
      <c r="J4112" s="6">
        <v>2016.0</v>
      </c>
      <c r="L4112" s="6">
        <v>1.0</v>
      </c>
      <c r="M4112" s="8">
        <f t="shared" si="4"/>
        <v>0.04</v>
      </c>
      <c r="P4112" s="9"/>
    </row>
    <row r="4113">
      <c r="A4113" s="6" t="s">
        <v>9225</v>
      </c>
      <c r="B4113" s="6" t="s">
        <v>74</v>
      </c>
      <c r="C4113" s="6" t="s">
        <v>43</v>
      </c>
      <c r="D4113" s="6" t="s">
        <v>9226</v>
      </c>
      <c r="E4113" s="6" t="s">
        <v>135</v>
      </c>
      <c r="F4113" s="6" t="s">
        <v>40</v>
      </c>
      <c r="G4113" s="7">
        <v>0.04</v>
      </c>
      <c r="H4113" s="6" t="s">
        <v>407</v>
      </c>
      <c r="I4113" s="6" t="s">
        <v>20</v>
      </c>
      <c r="J4113" s="6">
        <v>2016.0</v>
      </c>
      <c r="L4113" s="6">
        <v>1.0</v>
      </c>
      <c r="M4113" s="8">
        <f t="shared" si="4"/>
        <v>0.04</v>
      </c>
      <c r="P4113" s="9"/>
    </row>
    <row r="4114">
      <c r="A4114" s="6" t="s">
        <v>9233</v>
      </c>
      <c r="B4114" s="6" t="s">
        <v>74</v>
      </c>
      <c r="C4114" s="6" t="s">
        <v>43</v>
      </c>
      <c r="D4114" s="6" t="s">
        <v>9234</v>
      </c>
      <c r="E4114" s="6" t="s">
        <v>125</v>
      </c>
      <c r="F4114" s="6" t="s">
        <v>40</v>
      </c>
      <c r="G4114" s="7">
        <v>0.04</v>
      </c>
      <c r="H4114" s="6" t="s">
        <v>1344</v>
      </c>
      <c r="I4114" s="6" t="s">
        <v>20</v>
      </c>
      <c r="J4114" s="6">
        <v>2018.0</v>
      </c>
      <c r="L4114" s="6">
        <v>1.0</v>
      </c>
      <c r="M4114" s="8">
        <f t="shared" si="4"/>
        <v>0.04</v>
      </c>
      <c r="P4114" s="9"/>
    </row>
    <row r="4115">
      <c r="A4115" s="6" t="s">
        <v>9235</v>
      </c>
      <c r="B4115" s="6" t="s">
        <v>74</v>
      </c>
      <c r="C4115" s="6" t="s">
        <v>30</v>
      </c>
      <c r="D4115" s="6" t="s">
        <v>9236</v>
      </c>
      <c r="E4115" s="6" t="s">
        <v>135</v>
      </c>
      <c r="F4115" s="6" t="s">
        <v>40</v>
      </c>
      <c r="G4115" s="7">
        <v>0.19</v>
      </c>
      <c r="H4115" s="6" t="s">
        <v>249</v>
      </c>
      <c r="I4115" s="6" t="s">
        <v>20</v>
      </c>
      <c r="J4115" s="6">
        <v>2014.0</v>
      </c>
      <c r="L4115" s="6">
        <v>1.0</v>
      </c>
      <c r="M4115" s="8">
        <f t="shared" si="4"/>
        <v>0.19</v>
      </c>
      <c r="P4115" s="9"/>
    </row>
    <row r="4116">
      <c r="A4116" s="6" t="s">
        <v>9237</v>
      </c>
      <c r="B4116" s="6" t="s">
        <v>74</v>
      </c>
      <c r="C4116" s="6" t="s">
        <v>37</v>
      </c>
      <c r="D4116" s="6" t="s">
        <v>9238</v>
      </c>
      <c r="E4116" s="6" t="s">
        <v>420</v>
      </c>
      <c r="F4116" s="6" t="s">
        <v>40</v>
      </c>
      <c r="G4116" s="7">
        <v>0.06</v>
      </c>
      <c r="H4116" s="6" t="s">
        <v>415</v>
      </c>
      <c r="I4116" s="6" t="s">
        <v>20</v>
      </c>
      <c r="J4116" s="6">
        <v>2016.0</v>
      </c>
      <c r="L4116" s="6">
        <v>1.0</v>
      </c>
      <c r="M4116" s="8">
        <f t="shared" si="4"/>
        <v>0.06</v>
      </c>
      <c r="P4116" s="9"/>
    </row>
    <row r="4117">
      <c r="A4117" s="6" t="s">
        <v>9239</v>
      </c>
      <c r="B4117" s="6" t="s">
        <v>74</v>
      </c>
      <c r="C4117" s="6" t="s">
        <v>37</v>
      </c>
      <c r="D4117" s="6" t="s">
        <v>9240</v>
      </c>
      <c r="E4117" s="6" t="s">
        <v>135</v>
      </c>
      <c r="F4117" s="6" t="s">
        <v>40</v>
      </c>
      <c r="G4117" s="7">
        <v>0.09</v>
      </c>
      <c r="H4117" s="6" t="s">
        <v>903</v>
      </c>
      <c r="I4117" s="6" t="s">
        <v>20</v>
      </c>
      <c r="J4117" s="6">
        <v>2016.0</v>
      </c>
      <c r="L4117" s="6">
        <v>1.0</v>
      </c>
      <c r="M4117" s="8">
        <f t="shared" si="4"/>
        <v>0.09</v>
      </c>
      <c r="P4117" s="9"/>
    </row>
    <row r="4118">
      <c r="A4118" s="6" t="s">
        <v>9241</v>
      </c>
      <c r="B4118" s="6" t="s">
        <v>74</v>
      </c>
      <c r="C4118" s="6" t="s">
        <v>43</v>
      </c>
      <c r="D4118" s="6" t="s">
        <v>9242</v>
      </c>
      <c r="E4118" s="6" t="s">
        <v>125</v>
      </c>
      <c r="F4118" s="6" t="s">
        <v>40</v>
      </c>
      <c r="G4118" s="7">
        <v>0.04</v>
      </c>
      <c r="H4118" s="6" t="s">
        <v>1776</v>
      </c>
      <c r="I4118" s="6" t="s">
        <v>20</v>
      </c>
      <c r="J4118" s="6">
        <v>2017.0</v>
      </c>
      <c r="L4118" s="6">
        <v>1.0</v>
      </c>
      <c r="M4118" s="8">
        <f t="shared" si="4"/>
        <v>0.04</v>
      </c>
      <c r="P4118" s="9"/>
    </row>
    <row r="4119">
      <c r="A4119" s="6" t="s">
        <v>9243</v>
      </c>
      <c r="B4119" s="6" t="s">
        <v>74</v>
      </c>
      <c r="C4119" s="6" t="s">
        <v>43</v>
      </c>
      <c r="D4119" s="6" t="s">
        <v>9244</v>
      </c>
      <c r="E4119" s="6" t="s">
        <v>57</v>
      </c>
      <c r="F4119" s="6" t="s">
        <v>40</v>
      </c>
      <c r="G4119" s="7">
        <v>0.04</v>
      </c>
      <c r="H4119" s="6" t="s">
        <v>1776</v>
      </c>
      <c r="I4119" s="6" t="s">
        <v>20</v>
      </c>
      <c r="J4119" s="6">
        <v>2017.0</v>
      </c>
      <c r="L4119" s="6">
        <v>1.0</v>
      </c>
      <c r="M4119" s="8">
        <f t="shared" si="4"/>
        <v>0.04</v>
      </c>
      <c r="P4119" s="9"/>
    </row>
    <row r="4120">
      <c r="A4120" s="6" t="s">
        <v>9245</v>
      </c>
      <c r="B4120" s="6" t="s">
        <v>74</v>
      </c>
      <c r="C4120" s="6" t="s">
        <v>43</v>
      </c>
      <c r="D4120" s="6" t="s">
        <v>9246</v>
      </c>
      <c r="E4120" s="6" t="s">
        <v>125</v>
      </c>
      <c r="F4120" s="6" t="s">
        <v>40</v>
      </c>
      <c r="G4120" s="7">
        <v>0.08</v>
      </c>
      <c r="H4120" s="6" t="s">
        <v>922</v>
      </c>
      <c r="I4120" s="6" t="s">
        <v>20</v>
      </c>
      <c r="J4120" s="6">
        <v>2014.0</v>
      </c>
      <c r="L4120" s="6">
        <v>1.0</v>
      </c>
      <c r="M4120" s="8">
        <f t="shared" si="4"/>
        <v>0.08</v>
      </c>
      <c r="P4120" s="9"/>
    </row>
    <row r="4121">
      <c r="A4121" s="6" t="s">
        <v>9247</v>
      </c>
      <c r="B4121" s="6" t="s">
        <v>74</v>
      </c>
      <c r="C4121" s="6" t="s">
        <v>43</v>
      </c>
      <c r="D4121" s="6" t="s">
        <v>9248</v>
      </c>
      <c r="E4121" s="6" t="s">
        <v>135</v>
      </c>
      <c r="F4121" s="6" t="s">
        <v>40</v>
      </c>
      <c r="G4121" s="7">
        <v>0.04</v>
      </c>
      <c r="H4121" s="6" t="s">
        <v>506</v>
      </c>
      <c r="I4121" s="6" t="s">
        <v>20</v>
      </c>
      <c r="J4121" s="6">
        <v>2016.0</v>
      </c>
      <c r="L4121" s="6">
        <v>1.0</v>
      </c>
      <c r="M4121" s="8">
        <f t="shared" si="4"/>
        <v>0.04</v>
      </c>
      <c r="P4121" s="9"/>
    </row>
    <row r="4122">
      <c r="A4122" s="6" t="s">
        <v>9249</v>
      </c>
      <c r="B4122" s="6" t="s">
        <v>74</v>
      </c>
      <c r="C4122" s="6" t="s">
        <v>43</v>
      </c>
      <c r="D4122" s="6" t="s">
        <v>9250</v>
      </c>
      <c r="E4122" s="6" t="s">
        <v>39</v>
      </c>
      <c r="F4122" s="6" t="s">
        <v>40</v>
      </c>
      <c r="G4122" s="7">
        <v>0.04</v>
      </c>
      <c r="H4122" s="6" t="s">
        <v>1076</v>
      </c>
      <c r="I4122" s="6" t="s">
        <v>20</v>
      </c>
      <c r="J4122" s="6">
        <v>2018.0</v>
      </c>
      <c r="L4122" s="6">
        <v>1.0</v>
      </c>
      <c r="M4122" s="8">
        <f t="shared" si="4"/>
        <v>0.04</v>
      </c>
      <c r="P4122" s="9"/>
    </row>
    <row r="4123">
      <c r="A4123" s="6" t="s">
        <v>9251</v>
      </c>
      <c r="B4123" s="6" t="s">
        <v>494</v>
      </c>
      <c r="C4123" s="6" t="s">
        <v>43</v>
      </c>
      <c r="D4123" s="6" t="s">
        <v>9252</v>
      </c>
      <c r="E4123" s="6" t="s">
        <v>135</v>
      </c>
      <c r="F4123" s="6" t="s">
        <v>40</v>
      </c>
      <c r="G4123" s="7">
        <v>0.05</v>
      </c>
      <c r="H4123" s="6" t="s">
        <v>373</v>
      </c>
      <c r="I4123" s="6" t="s">
        <v>20</v>
      </c>
      <c r="J4123" s="6">
        <v>2015.0</v>
      </c>
      <c r="L4123" s="6">
        <v>6.0</v>
      </c>
      <c r="M4123" s="8">
        <f t="shared" si="4"/>
        <v>0.3</v>
      </c>
      <c r="P4123" s="9"/>
    </row>
    <row r="4124">
      <c r="A4124" s="6" t="s">
        <v>9253</v>
      </c>
      <c r="B4124" s="6" t="s">
        <v>494</v>
      </c>
      <c r="C4124" s="6" t="s">
        <v>37</v>
      </c>
      <c r="D4124" s="6" t="s">
        <v>9254</v>
      </c>
      <c r="E4124" s="6" t="s">
        <v>39</v>
      </c>
      <c r="F4124" s="6" t="s">
        <v>40</v>
      </c>
      <c r="G4124" s="7">
        <v>0.1</v>
      </c>
      <c r="H4124" s="6" t="s">
        <v>903</v>
      </c>
      <c r="I4124" s="6" t="s">
        <v>20</v>
      </c>
      <c r="J4124" s="6">
        <v>2016.0</v>
      </c>
      <c r="L4124" s="6">
        <v>4.0</v>
      </c>
      <c r="M4124" s="8">
        <f t="shared" si="4"/>
        <v>0.4</v>
      </c>
      <c r="P4124" s="9"/>
    </row>
    <row r="4125">
      <c r="A4125" s="6" t="s">
        <v>9255</v>
      </c>
      <c r="B4125" s="6" t="s">
        <v>146</v>
      </c>
      <c r="C4125" s="6" t="s">
        <v>37</v>
      </c>
      <c r="D4125" s="6" t="s">
        <v>9256</v>
      </c>
      <c r="E4125" s="6" t="s">
        <v>135</v>
      </c>
      <c r="F4125" s="6" t="s">
        <v>40</v>
      </c>
      <c r="G4125" s="7">
        <v>0.06</v>
      </c>
      <c r="H4125" s="6" t="s">
        <v>701</v>
      </c>
      <c r="I4125" s="6" t="s">
        <v>20</v>
      </c>
      <c r="J4125" s="6">
        <v>2015.0</v>
      </c>
      <c r="L4125" s="6">
        <v>1.0</v>
      </c>
      <c r="M4125" s="8">
        <f t="shared" si="4"/>
        <v>0.06</v>
      </c>
      <c r="P4125" s="9"/>
    </row>
    <row r="4126">
      <c r="A4126" s="6" t="s">
        <v>9257</v>
      </c>
      <c r="B4126" s="6" t="s">
        <v>146</v>
      </c>
      <c r="C4126" s="6" t="s">
        <v>37</v>
      </c>
      <c r="D4126" s="6" t="s">
        <v>9258</v>
      </c>
      <c r="E4126" s="6" t="s">
        <v>135</v>
      </c>
      <c r="F4126" s="6" t="s">
        <v>40</v>
      </c>
      <c r="G4126" s="7">
        <v>0.98</v>
      </c>
      <c r="H4126" s="6" t="s">
        <v>922</v>
      </c>
      <c r="I4126" s="6" t="s">
        <v>20</v>
      </c>
      <c r="J4126" s="6">
        <v>2014.0</v>
      </c>
      <c r="L4126" s="6">
        <v>1.0</v>
      </c>
      <c r="M4126" s="8">
        <f t="shared" si="4"/>
        <v>0.98</v>
      </c>
      <c r="N4126" s="6" t="s">
        <v>122</v>
      </c>
      <c r="P4126" s="9"/>
    </row>
    <row r="4127">
      <c r="A4127" s="6" t="s">
        <v>9259</v>
      </c>
      <c r="B4127" s="6" t="s">
        <v>494</v>
      </c>
      <c r="C4127" s="6" t="s">
        <v>43</v>
      </c>
      <c r="D4127" s="6" t="s">
        <v>9260</v>
      </c>
      <c r="E4127" s="6" t="s">
        <v>39</v>
      </c>
      <c r="F4127" s="6" t="s">
        <v>40</v>
      </c>
      <c r="G4127" s="7">
        <v>0.06</v>
      </c>
      <c r="H4127" s="6" t="s">
        <v>922</v>
      </c>
      <c r="I4127" s="6" t="s">
        <v>20</v>
      </c>
      <c r="J4127" s="6">
        <v>2014.0</v>
      </c>
      <c r="L4127" s="6">
        <v>1.0</v>
      </c>
      <c r="M4127" s="8">
        <f t="shared" si="4"/>
        <v>0.06</v>
      </c>
      <c r="P4127" s="9"/>
    </row>
    <row r="4128">
      <c r="A4128" s="6" t="s">
        <v>9261</v>
      </c>
      <c r="B4128" s="6" t="s">
        <v>494</v>
      </c>
      <c r="C4128" s="6" t="s">
        <v>43</v>
      </c>
      <c r="D4128" s="6" t="s">
        <v>9262</v>
      </c>
      <c r="E4128" s="6" t="s">
        <v>39</v>
      </c>
      <c r="F4128" s="6" t="s">
        <v>40</v>
      </c>
      <c r="G4128" s="7">
        <v>0.03</v>
      </c>
      <c r="H4128" s="6" t="s">
        <v>1344</v>
      </c>
      <c r="I4128" s="6" t="s">
        <v>20</v>
      </c>
      <c r="J4128" s="6">
        <v>2018.0</v>
      </c>
      <c r="L4128" s="6">
        <v>1.0</v>
      </c>
      <c r="M4128" s="8">
        <f t="shared" si="4"/>
        <v>0.03</v>
      </c>
      <c r="P4128" s="9"/>
    </row>
    <row r="4129">
      <c r="A4129" s="6" t="s">
        <v>9263</v>
      </c>
      <c r="B4129" s="6" t="s">
        <v>494</v>
      </c>
      <c r="C4129" s="6" t="s">
        <v>30</v>
      </c>
      <c r="D4129" s="6" t="s">
        <v>9264</v>
      </c>
      <c r="E4129" s="6" t="s">
        <v>125</v>
      </c>
      <c r="F4129" s="6" t="s">
        <v>40</v>
      </c>
      <c r="G4129" s="7">
        <v>0.65</v>
      </c>
      <c r="H4129" s="6" t="s">
        <v>496</v>
      </c>
      <c r="I4129" s="6" t="s">
        <v>20</v>
      </c>
      <c r="J4129" s="6">
        <v>2013.0</v>
      </c>
      <c r="L4129" s="6">
        <v>1.0</v>
      </c>
      <c r="M4129" s="8">
        <f t="shared" si="4"/>
        <v>0.65</v>
      </c>
      <c r="P4129" s="9"/>
    </row>
    <row r="4130">
      <c r="A4130" s="6" t="s">
        <v>9265</v>
      </c>
      <c r="B4130" s="6" t="s">
        <v>146</v>
      </c>
      <c r="C4130" s="6" t="s">
        <v>37</v>
      </c>
      <c r="D4130" s="6" t="s">
        <v>9266</v>
      </c>
      <c r="E4130" s="6" t="s">
        <v>135</v>
      </c>
      <c r="F4130" s="6" t="s">
        <v>40</v>
      </c>
      <c r="G4130" s="7">
        <v>0.07</v>
      </c>
      <c r="H4130" s="6" t="s">
        <v>903</v>
      </c>
      <c r="I4130" s="6" t="s">
        <v>20</v>
      </c>
      <c r="J4130" s="6">
        <v>2016.0</v>
      </c>
      <c r="L4130" s="6">
        <v>3.0</v>
      </c>
      <c r="M4130" s="8">
        <f t="shared" si="4"/>
        <v>0.21</v>
      </c>
      <c r="P4130" s="9"/>
    </row>
    <row r="4131">
      <c r="A4131" s="6" t="s">
        <v>9267</v>
      </c>
      <c r="B4131" s="6" t="s">
        <v>494</v>
      </c>
      <c r="C4131" s="6" t="s">
        <v>43</v>
      </c>
      <c r="D4131" s="6" t="s">
        <v>9268</v>
      </c>
      <c r="E4131" s="6" t="s">
        <v>57</v>
      </c>
      <c r="F4131" s="6" t="s">
        <v>40</v>
      </c>
      <c r="G4131" s="7">
        <v>0.03</v>
      </c>
      <c r="H4131" s="6" t="s">
        <v>1776</v>
      </c>
      <c r="I4131" s="6" t="s">
        <v>20</v>
      </c>
      <c r="J4131" s="6">
        <v>2017.0</v>
      </c>
      <c r="L4131" s="6">
        <v>1.0</v>
      </c>
      <c r="M4131" s="8">
        <f t="shared" si="4"/>
        <v>0.03</v>
      </c>
      <c r="P4131" s="9"/>
    </row>
    <row r="4132">
      <c r="A4132" s="6" t="s">
        <v>2244</v>
      </c>
      <c r="B4132" s="6" t="s">
        <v>494</v>
      </c>
      <c r="C4132" s="6" t="s">
        <v>43</v>
      </c>
      <c r="D4132" s="6" t="s">
        <v>2245</v>
      </c>
      <c r="E4132" s="6" t="s">
        <v>135</v>
      </c>
      <c r="F4132" s="6" t="s">
        <v>40</v>
      </c>
      <c r="G4132" s="7">
        <v>0.05</v>
      </c>
      <c r="H4132" s="6" t="s">
        <v>1392</v>
      </c>
      <c r="I4132" s="6" t="s">
        <v>20</v>
      </c>
      <c r="J4132" s="6">
        <v>2014.0</v>
      </c>
      <c r="L4132" s="6">
        <v>1.0</v>
      </c>
      <c r="M4132" s="8">
        <f t="shared" si="4"/>
        <v>0.05</v>
      </c>
      <c r="P4132" s="9"/>
    </row>
    <row r="4133">
      <c r="A4133" s="6" t="s">
        <v>9269</v>
      </c>
      <c r="B4133" s="6" t="s">
        <v>9270</v>
      </c>
      <c r="C4133" s="6" t="s">
        <v>43</v>
      </c>
      <c r="D4133" s="6" t="s">
        <v>9271</v>
      </c>
      <c r="E4133" s="6" t="s">
        <v>135</v>
      </c>
      <c r="F4133" s="6" t="s">
        <v>40</v>
      </c>
      <c r="G4133" s="7">
        <v>0.04</v>
      </c>
      <c r="H4133" s="6" t="s">
        <v>506</v>
      </c>
      <c r="I4133" s="6" t="s">
        <v>20</v>
      </c>
      <c r="J4133" s="6">
        <v>2016.0</v>
      </c>
      <c r="K4133" s="10">
        <v>46023.0</v>
      </c>
      <c r="L4133" s="6">
        <v>1.0</v>
      </c>
      <c r="M4133" s="8">
        <f t="shared" si="4"/>
        <v>0.04</v>
      </c>
      <c r="P4133" s="9"/>
    </row>
    <row r="4134">
      <c r="A4134" s="6" t="s">
        <v>9272</v>
      </c>
      <c r="B4134" s="6" t="s">
        <v>603</v>
      </c>
      <c r="C4134" s="6" t="s">
        <v>43</v>
      </c>
      <c r="D4134" s="6" t="s">
        <v>9273</v>
      </c>
      <c r="E4134" s="6" t="s">
        <v>135</v>
      </c>
      <c r="F4134" s="6" t="s">
        <v>40</v>
      </c>
      <c r="G4134" s="7">
        <v>0.03</v>
      </c>
      <c r="H4134" s="6" t="s">
        <v>506</v>
      </c>
      <c r="I4134" s="6" t="s">
        <v>20</v>
      </c>
      <c r="J4134" s="6">
        <v>2016.0</v>
      </c>
      <c r="K4134" s="10">
        <v>46054.0</v>
      </c>
      <c r="L4134" s="6">
        <v>2.0</v>
      </c>
      <c r="M4134" s="8">
        <f t="shared" si="4"/>
        <v>0.06</v>
      </c>
      <c r="P4134" s="9"/>
    </row>
    <row r="4135">
      <c r="A4135" s="6" t="s">
        <v>9274</v>
      </c>
      <c r="B4135" s="6" t="s">
        <v>8607</v>
      </c>
      <c r="C4135" s="6" t="s">
        <v>43</v>
      </c>
      <c r="D4135" s="6" t="s">
        <v>9275</v>
      </c>
      <c r="E4135" s="6" t="s">
        <v>125</v>
      </c>
      <c r="F4135" s="6" t="s">
        <v>40</v>
      </c>
      <c r="G4135" s="7">
        <v>0.3</v>
      </c>
      <c r="H4135" s="6" t="s">
        <v>531</v>
      </c>
      <c r="I4135" s="6" t="s">
        <v>20</v>
      </c>
      <c r="J4135" s="6">
        <v>2017.0</v>
      </c>
      <c r="L4135" s="6">
        <v>1.0</v>
      </c>
      <c r="M4135" s="8">
        <f t="shared" si="4"/>
        <v>0.3</v>
      </c>
      <c r="P4135" s="9"/>
    </row>
    <row r="4136">
      <c r="A4136" s="6" t="s">
        <v>9276</v>
      </c>
      <c r="B4136" s="6" t="s">
        <v>494</v>
      </c>
      <c r="C4136" s="6" t="s">
        <v>43</v>
      </c>
      <c r="D4136" s="6" t="s">
        <v>9277</v>
      </c>
      <c r="E4136" s="6" t="s">
        <v>57</v>
      </c>
      <c r="F4136" s="6" t="s">
        <v>40</v>
      </c>
      <c r="G4136" s="7">
        <v>0.03</v>
      </c>
      <c r="H4136" s="6" t="s">
        <v>382</v>
      </c>
      <c r="I4136" s="6" t="s">
        <v>20</v>
      </c>
      <c r="J4136" s="6">
        <v>2020.0</v>
      </c>
      <c r="L4136" s="6">
        <v>1.0</v>
      </c>
      <c r="M4136" s="8">
        <f t="shared" si="4"/>
        <v>0.03</v>
      </c>
      <c r="P4136" s="9"/>
    </row>
    <row r="4137">
      <c r="A4137" s="6" t="s">
        <v>9278</v>
      </c>
      <c r="B4137" s="6" t="s">
        <v>146</v>
      </c>
      <c r="C4137" s="6" t="s">
        <v>43</v>
      </c>
      <c r="D4137" s="6" t="s">
        <v>9279</v>
      </c>
      <c r="E4137" s="6" t="s">
        <v>282</v>
      </c>
      <c r="F4137" s="6" t="s">
        <v>40</v>
      </c>
      <c r="G4137" s="7">
        <v>0.06</v>
      </c>
      <c r="H4137" s="6" t="s">
        <v>407</v>
      </c>
      <c r="I4137" s="6" t="s">
        <v>20</v>
      </c>
      <c r="J4137" s="6">
        <v>2016.0</v>
      </c>
      <c r="L4137" s="6">
        <v>4.0</v>
      </c>
      <c r="M4137" s="8">
        <f t="shared" si="4"/>
        <v>0.24</v>
      </c>
      <c r="P4137" s="9"/>
    </row>
    <row r="4138">
      <c r="A4138" s="6" t="s">
        <v>9280</v>
      </c>
      <c r="B4138" s="6" t="s">
        <v>494</v>
      </c>
      <c r="C4138" s="6" t="s">
        <v>43</v>
      </c>
      <c r="D4138" s="6" t="s">
        <v>9281</v>
      </c>
      <c r="E4138" s="6" t="s">
        <v>39</v>
      </c>
      <c r="F4138" s="6" t="s">
        <v>40</v>
      </c>
      <c r="G4138" s="7">
        <v>0.06</v>
      </c>
      <c r="H4138" s="6" t="s">
        <v>373</v>
      </c>
      <c r="I4138" s="6" t="s">
        <v>20</v>
      </c>
      <c r="J4138" s="6">
        <v>2015.0</v>
      </c>
      <c r="L4138" s="6">
        <v>4.0</v>
      </c>
      <c r="M4138" s="8">
        <f t="shared" si="4"/>
        <v>0.24</v>
      </c>
      <c r="P4138" s="9"/>
    </row>
    <row r="4139">
      <c r="A4139" s="6" t="s">
        <v>9282</v>
      </c>
      <c r="B4139" s="6" t="s">
        <v>494</v>
      </c>
      <c r="C4139" s="6" t="s">
        <v>43</v>
      </c>
      <c r="D4139" s="6" t="s">
        <v>9283</v>
      </c>
      <c r="E4139" s="6" t="s">
        <v>135</v>
      </c>
      <c r="F4139" s="6" t="s">
        <v>40</v>
      </c>
      <c r="G4139" s="7">
        <v>0.03</v>
      </c>
      <c r="H4139" s="6" t="s">
        <v>531</v>
      </c>
      <c r="I4139" s="6" t="s">
        <v>20</v>
      </c>
      <c r="J4139" s="6">
        <v>2017.0</v>
      </c>
      <c r="L4139" s="6">
        <v>1.0</v>
      </c>
      <c r="M4139" s="8">
        <f t="shared" si="4"/>
        <v>0.03</v>
      </c>
      <c r="P4139" s="9"/>
    </row>
    <row r="4140">
      <c r="A4140" s="6" t="s">
        <v>9284</v>
      </c>
      <c r="B4140" s="6" t="s">
        <v>494</v>
      </c>
      <c r="C4140" s="6" t="s">
        <v>43</v>
      </c>
      <c r="D4140" s="6" t="s">
        <v>9285</v>
      </c>
      <c r="E4140" s="6" t="s">
        <v>57</v>
      </c>
      <c r="F4140" s="6" t="s">
        <v>40</v>
      </c>
      <c r="G4140" s="7">
        <v>0.03</v>
      </c>
      <c r="H4140" s="6" t="s">
        <v>1076</v>
      </c>
      <c r="I4140" s="6" t="s">
        <v>20</v>
      </c>
      <c r="J4140" s="6">
        <v>2018.0</v>
      </c>
      <c r="L4140" s="6">
        <v>2.0</v>
      </c>
      <c r="M4140" s="8">
        <f t="shared" si="4"/>
        <v>0.06</v>
      </c>
      <c r="P4140" s="9"/>
    </row>
    <row r="4141">
      <c r="A4141" s="6" t="s">
        <v>9286</v>
      </c>
      <c r="B4141" s="6" t="s">
        <v>494</v>
      </c>
      <c r="C4141" s="6" t="s">
        <v>43</v>
      </c>
      <c r="D4141" s="6" t="s">
        <v>1184</v>
      </c>
      <c r="E4141" s="6" t="s">
        <v>57</v>
      </c>
      <c r="F4141" s="6" t="s">
        <v>40</v>
      </c>
      <c r="G4141" s="7">
        <v>0.03</v>
      </c>
      <c r="H4141" s="6" t="s">
        <v>1076</v>
      </c>
      <c r="I4141" s="6" t="s">
        <v>20</v>
      </c>
      <c r="J4141" s="6">
        <v>2018.0</v>
      </c>
      <c r="L4141" s="6">
        <v>3.0</v>
      </c>
      <c r="M4141" s="8">
        <f t="shared" si="4"/>
        <v>0.09</v>
      </c>
      <c r="P4141" s="9"/>
    </row>
    <row r="4142">
      <c r="A4142" s="6" t="s">
        <v>9287</v>
      </c>
      <c r="B4142" s="6" t="s">
        <v>494</v>
      </c>
      <c r="C4142" s="6" t="s">
        <v>43</v>
      </c>
      <c r="D4142" s="6" t="s">
        <v>9288</v>
      </c>
      <c r="E4142" s="6" t="s">
        <v>135</v>
      </c>
      <c r="F4142" s="6" t="s">
        <v>40</v>
      </c>
      <c r="G4142" s="7">
        <v>0.03</v>
      </c>
      <c r="H4142" s="6" t="s">
        <v>1776</v>
      </c>
      <c r="I4142" s="6" t="s">
        <v>20</v>
      </c>
      <c r="J4142" s="6">
        <v>2017.0</v>
      </c>
      <c r="L4142" s="6">
        <v>4.0</v>
      </c>
      <c r="M4142" s="8">
        <f t="shared" si="4"/>
        <v>0.12</v>
      </c>
      <c r="P4142" s="9"/>
    </row>
    <row r="4143">
      <c r="A4143" s="6" t="s">
        <v>9289</v>
      </c>
      <c r="B4143" s="6" t="s">
        <v>9290</v>
      </c>
      <c r="C4143" s="6" t="s">
        <v>37</v>
      </c>
      <c r="D4143" s="6" t="s">
        <v>9291</v>
      </c>
      <c r="E4143" s="6" t="s">
        <v>135</v>
      </c>
      <c r="F4143" s="6" t="s">
        <v>40</v>
      </c>
      <c r="G4143" s="7">
        <v>0.03</v>
      </c>
      <c r="H4143" s="6" t="s">
        <v>1776</v>
      </c>
      <c r="I4143" s="6" t="s">
        <v>20</v>
      </c>
      <c r="J4143" s="6">
        <v>2017.0</v>
      </c>
      <c r="K4143" s="10">
        <v>46024.0</v>
      </c>
      <c r="L4143" s="6">
        <v>1.0</v>
      </c>
      <c r="M4143" s="8">
        <f t="shared" si="4"/>
        <v>0.03</v>
      </c>
      <c r="P4143" s="9"/>
    </row>
    <row r="4144">
      <c r="A4144" s="6" t="s">
        <v>9292</v>
      </c>
      <c r="B4144" s="6" t="s">
        <v>4485</v>
      </c>
      <c r="C4144" s="6" t="s">
        <v>43</v>
      </c>
      <c r="D4144" s="6" t="s">
        <v>1500</v>
      </c>
      <c r="E4144" s="6" t="s">
        <v>135</v>
      </c>
      <c r="F4144" s="6" t="s">
        <v>40</v>
      </c>
      <c r="G4144" s="7">
        <v>0.06</v>
      </c>
      <c r="H4144" s="6" t="s">
        <v>709</v>
      </c>
      <c r="I4144" s="6" t="s">
        <v>20</v>
      </c>
      <c r="J4144" s="6">
        <v>2017.0</v>
      </c>
      <c r="K4144" s="10">
        <v>46082.0</v>
      </c>
      <c r="L4144" s="6">
        <v>1.0</v>
      </c>
      <c r="M4144" s="8">
        <f t="shared" si="4"/>
        <v>0.06</v>
      </c>
      <c r="P4144" s="9"/>
    </row>
    <row r="4145">
      <c r="A4145" s="6" t="s">
        <v>9293</v>
      </c>
      <c r="B4145" s="6" t="s">
        <v>5057</v>
      </c>
      <c r="C4145" s="6" t="s">
        <v>43</v>
      </c>
      <c r="D4145" s="6" t="s">
        <v>9294</v>
      </c>
      <c r="E4145" s="6" t="s">
        <v>39</v>
      </c>
      <c r="F4145" s="6" t="s">
        <v>40</v>
      </c>
      <c r="G4145" s="7">
        <v>0.03</v>
      </c>
      <c r="H4145" s="6" t="s">
        <v>709</v>
      </c>
      <c r="I4145" s="6" t="s">
        <v>20</v>
      </c>
      <c r="J4145" s="6">
        <v>2017.0</v>
      </c>
      <c r="K4145" s="10">
        <v>46056.0</v>
      </c>
      <c r="L4145" s="6">
        <v>1.0</v>
      </c>
      <c r="M4145" s="8">
        <f t="shared" si="4"/>
        <v>0.03</v>
      </c>
      <c r="P4145" s="9"/>
    </row>
    <row r="4146">
      <c r="A4146" s="6" t="s">
        <v>9295</v>
      </c>
      <c r="B4146" s="6" t="s">
        <v>4485</v>
      </c>
      <c r="C4146" s="6" t="s">
        <v>43</v>
      </c>
      <c r="D4146" s="6" t="s">
        <v>1500</v>
      </c>
      <c r="E4146" s="6" t="s">
        <v>554</v>
      </c>
      <c r="F4146" s="6" t="s">
        <v>40</v>
      </c>
      <c r="G4146" s="7">
        <v>0.03</v>
      </c>
      <c r="H4146" s="6" t="s">
        <v>1076</v>
      </c>
      <c r="I4146" s="6" t="s">
        <v>20</v>
      </c>
      <c r="J4146" s="6">
        <v>2018.0</v>
      </c>
      <c r="K4146" s="10">
        <v>46083.0</v>
      </c>
      <c r="L4146" s="6">
        <v>1.0</v>
      </c>
      <c r="M4146" s="8">
        <f t="shared" si="4"/>
        <v>0.03</v>
      </c>
      <c r="P4146" s="9"/>
    </row>
    <row r="4147">
      <c r="A4147" s="6" t="s">
        <v>9296</v>
      </c>
      <c r="B4147" s="6" t="s">
        <v>603</v>
      </c>
      <c r="C4147" s="6" t="s">
        <v>43</v>
      </c>
      <c r="D4147" s="6" t="s">
        <v>9297</v>
      </c>
      <c r="E4147" s="6" t="s">
        <v>2030</v>
      </c>
      <c r="F4147" s="6" t="s">
        <v>40</v>
      </c>
      <c r="G4147" s="7">
        <v>0.04</v>
      </c>
      <c r="H4147" s="6" t="s">
        <v>407</v>
      </c>
      <c r="I4147" s="6" t="s">
        <v>20</v>
      </c>
      <c r="J4147" s="6">
        <v>2016.0</v>
      </c>
      <c r="K4147" s="10">
        <v>46055.0</v>
      </c>
      <c r="L4147" s="6">
        <v>2.0</v>
      </c>
      <c r="M4147" s="8">
        <f t="shared" si="4"/>
        <v>0.08</v>
      </c>
      <c r="P4147" s="9"/>
    </row>
    <row r="4148">
      <c r="A4148" s="6" t="s">
        <v>9298</v>
      </c>
      <c r="B4148" s="6" t="s">
        <v>854</v>
      </c>
      <c r="C4148" s="6" t="s">
        <v>43</v>
      </c>
      <c r="D4148" s="6" t="s">
        <v>9299</v>
      </c>
      <c r="E4148" s="6" t="s">
        <v>39</v>
      </c>
      <c r="F4148" s="6" t="s">
        <v>40</v>
      </c>
      <c r="G4148" s="7">
        <v>0.06</v>
      </c>
      <c r="H4148" s="6" t="s">
        <v>415</v>
      </c>
      <c r="I4148" s="6" t="s">
        <v>20</v>
      </c>
      <c r="J4148" s="6">
        <v>2016.0</v>
      </c>
      <c r="K4148" s="10">
        <v>46083.0</v>
      </c>
      <c r="L4148" s="6">
        <v>1.0</v>
      </c>
      <c r="M4148" s="8">
        <f t="shared" si="4"/>
        <v>0.06</v>
      </c>
      <c r="P4148" s="9"/>
    </row>
    <row r="4149">
      <c r="A4149" s="6" t="s">
        <v>9300</v>
      </c>
      <c r="B4149" s="6" t="s">
        <v>854</v>
      </c>
      <c r="C4149" s="6" t="s">
        <v>43</v>
      </c>
      <c r="D4149" s="6" t="s">
        <v>9301</v>
      </c>
      <c r="E4149" s="6" t="s">
        <v>135</v>
      </c>
      <c r="F4149" s="6" t="s">
        <v>40</v>
      </c>
      <c r="G4149" s="7">
        <v>0.05</v>
      </c>
      <c r="H4149" s="6" t="s">
        <v>415</v>
      </c>
      <c r="I4149" s="6" t="s">
        <v>20</v>
      </c>
      <c r="J4149" s="6">
        <v>2016.0</v>
      </c>
      <c r="K4149" s="10">
        <v>46055.0</v>
      </c>
      <c r="L4149" s="6">
        <v>1.0</v>
      </c>
      <c r="M4149" s="8">
        <f t="shared" si="4"/>
        <v>0.05</v>
      </c>
      <c r="P4149" s="9"/>
    </row>
    <row r="4150">
      <c r="A4150" s="6" t="s">
        <v>9302</v>
      </c>
      <c r="B4150" s="6" t="s">
        <v>371</v>
      </c>
      <c r="C4150" s="6" t="s">
        <v>43</v>
      </c>
      <c r="D4150" s="6" t="s">
        <v>9303</v>
      </c>
      <c r="E4150" s="6" t="s">
        <v>135</v>
      </c>
      <c r="F4150" s="6" t="s">
        <v>40</v>
      </c>
      <c r="G4150" s="7">
        <v>0.03</v>
      </c>
      <c r="H4150" s="6" t="s">
        <v>1344</v>
      </c>
      <c r="I4150" s="6" t="s">
        <v>20</v>
      </c>
      <c r="J4150" s="6">
        <v>2018.0</v>
      </c>
      <c r="K4150" s="10">
        <v>46055.0</v>
      </c>
      <c r="L4150" s="6">
        <v>1.0</v>
      </c>
      <c r="M4150" s="8">
        <f t="shared" si="4"/>
        <v>0.03</v>
      </c>
      <c r="P4150" s="9"/>
    </row>
    <row r="4151">
      <c r="A4151" s="6" t="s">
        <v>9304</v>
      </c>
      <c r="B4151" s="6" t="s">
        <v>854</v>
      </c>
      <c r="C4151" s="6" t="s">
        <v>37</v>
      </c>
      <c r="D4151" s="6" t="s">
        <v>9305</v>
      </c>
      <c r="E4151" s="6" t="s">
        <v>125</v>
      </c>
      <c r="F4151" s="6" t="s">
        <v>40</v>
      </c>
      <c r="G4151" s="7">
        <v>0.17</v>
      </c>
      <c r="H4151" s="6" t="s">
        <v>415</v>
      </c>
      <c r="I4151" s="6" t="s">
        <v>20</v>
      </c>
      <c r="J4151" s="6">
        <v>2016.0</v>
      </c>
      <c r="K4151" s="10">
        <v>46023.0</v>
      </c>
      <c r="L4151" s="6">
        <v>1.0</v>
      </c>
      <c r="M4151" s="8">
        <f t="shared" si="4"/>
        <v>0.17</v>
      </c>
      <c r="P4151" s="9"/>
    </row>
    <row r="4152">
      <c r="A4152" s="6" t="s">
        <v>9306</v>
      </c>
      <c r="B4152" s="6" t="s">
        <v>1947</v>
      </c>
      <c r="C4152" s="6" t="s">
        <v>37</v>
      </c>
      <c r="D4152" s="6" t="s">
        <v>9307</v>
      </c>
      <c r="E4152" s="6" t="s">
        <v>1752</v>
      </c>
      <c r="F4152" s="6" t="s">
        <v>40</v>
      </c>
      <c r="G4152" s="7">
        <v>0.08</v>
      </c>
      <c r="H4152" s="6" t="s">
        <v>1493</v>
      </c>
      <c r="I4152" s="6" t="s">
        <v>20</v>
      </c>
      <c r="J4152" s="6">
        <v>2015.0</v>
      </c>
      <c r="K4152" s="10">
        <v>46116.0</v>
      </c>
      <c r="L4152" s="6">
        <v>1.0</v>
      </c>
      <c r="M4152" s="8">
        <f t="shared" si="4"/>
        <v>0.08</v>
      </c>
      <c r="P4152" s="9"/>
    </row>
    <row r="4153">
      <c r="A4153" s="6" t="s">
        <v>9308</v>
      </c>
      <c r="B4153" s="6" t="s">
        <v>685</v>
      </c>
      <c r="C4153" s="6" t="s">
        <v>37</v>
      </c>
      <c r="D4153" s="6" t="s">
        <v>9309</v>
      </c>
      <c r="E4153" s="6" t="s">
        <v>39</v>
      </c>
      <c r="F4153" s="6" t="s">
        <v>40</v>
      </c>
      <c r="G4153" s="7">
        <v>0.14</v>
      </c>
      <c r="H4153" s="6" t="s">
        <v>922</v>
      </c>
      <c r="I4153" s="6" t="s">
        <v>20</v>
      </c>
      <c r="J4153" s="6">
        <v>2014.0</v>
      </c>
      <c r="K4153" s="10">
        <v>46056.0</v>
      </c>
      <c r="L4153" s="6">
        <v>1.0</v>
      </c>
      <c r="M4153" s="8">
        <f t="shared" si="4"/>
        <v>0.14</v>
      </c>
      <c r="P4153" s="9"/>
    </row>
    <row r="4154">
      <c r="A4154" s="6" t="s">
        <v>9310</v>
      </c>
      <c r="B4154" s="6" t="s">
        <v>371</v>
      </c>
      <c r="C4154" s="6" t="s">
        <v>37</v>
      </c>
      <c r="D4154" s="6" t="s">
        <v>9311</v>
      </c>
      <c r="E4154" s="6" t="s">
        <v>57</v>
      </c>
      <c r="F4154" s="6" t="s">
        <v>40</v>
      </c>
      <c r="G4154" s="7">
        <v>0.09</v>
      </c>
      <c r="H4154" s="6" t="s">
        <v>922</v>
      </c>
      <c r="I4154" s="6" t="s">
        <v>20</v>
      </c>
      <c r="J4154" s="6">
        <v>2014.0</v>
      </c>
      <c r="K4154" s="10">
        <v>46083.0</v>
      </c>
      <c r="L4154" s="6">
        <v>1.0</v>
      </c>
      <c r="M4154" s="8">
        <f t="shared" si="4"/>
        <v>0.09</v>
      </c>
      <c r="P4154" s="9"/>
    </row>
    <row r="4155">
      <c r="A4155" s="6" t="s">
        <v>9312</v>
      </c>
      <c r="B4155" s="6" t="s">
        <v>412</v>
      </c>
      <c r="C4155" s="6" t="s">
        <v>37</v>
      </c>
      <c r="D4155" s="6" t="s">
        <v>9313</v>
      </c>
      <c r="E4155" s="6" t="s">
        <v>1752</v>
      </c>
      <c r="F4155" s="6" t="s">
        <v>40</v>
      </c>
      <c r="G4155" s="7">
        <v>0.17</v>
      </c>
      <c r="H4155" s="6" t="s">
        <v>903</v>
      </c>
      <c r="I4155" s="6" t="s">
        <v>20</v>
      </c>
      <c r="J4155" s="6">
        <v>2016.0</v>
      </c>
      <c r="K4155" s="10">
        <v>46085.0</v>
      </c>
      <c r="L4155" s="6">
        <v>1.0</v>
      </c>
      <c r="M4155" s="8">
        <f t="shared" si="4"/>
        <v>0.17</v>
      </c>
      <c r="P4155" s="9"/>
    </row>
    <row r="4156">
      <c r="A4156" s="6" t="s">
        <v>9314</v>
      </c>
      <c r="B4156" s="6" t="s">
        <v>3097</v>
      </c>
      <c r="C4156" s="6" t="s">
        <v>37</v>
      </c>
      <c r="D4156" s="6" t="s">
        <v>9315</v>
      </c>
      <c r="E4156" s="6" t="s">
        <v>39</v>
      </c>
      <c r="F4156" s="6" t="s">
        <v>40</v>
      </c>
      <c r="G4156" s="7">
        <v>0.06</v>
      </c>
      <c r="H4156" s="6" t="s">
        <v>903</v>
      </c>
      <c r="I4156" s="6" t="s">
        <v>20</v>
      </c>
      <c r="J4156" s="6">
        <v>2016.0</v>
      </c>
      <c r="K4156" s="10">
        <v>46115.0</v>
      </c>
      <c r="L4156" s="6">
        <v>1.0</v>
      </c>
      <c r="M4156" s="8">
        <f t="shared" si="4"/>
        <v>0.06</v>
      </c>
      <c r="P4156" s="9"/>
    </row>
    <row r="4157">
      <c r="A4157" s="6" t="s">
        <v>9316</v>
      </c>
      <c r="B4157" s="6" t="s">
        <v>6673</v>
      </c>
      <c r="C4157" s="6" t="s">
        <v>37</v>
      </c>
      <c r="D4157" s="6" t="s">
        <v>9317</v>
      </c>
      <c r="E4157" s="6" t="s">
        <v>57</v>
      </c>
      <c r="F4157" s="6" t="s">
        <v>40</v>
      </c>
      <c r="G4157" s="7">
        <v>0.08</v>
      </c>
      <c r="H4157" s="6" t="s">
        <v>903</v>
      </c>
      <c r="I4157" s="6" t="s">
        <v>20</v>
      </c>
      <c r="J4157" s="6">
        <v>2016.0</v>
      </c>
      <c r="K4157" s="10">
        <v>46083.0</v>
      </c>
      <c r="L4157" s="6">
        <v>1.0</v>
      </c>
      <c r="M4157" s="8">
        <f t="shared" si="4"/>
        <v>0.08</v>
      </c>
      <c r="P4157" s="9"/>
    </row>
    <row r="4158">
      <c r="A4158" s="6" t="s">
        <v>9318</v>
      </c>
      <c r="B4158" s="6" t="s">
        <v>7729</v>
      </c>
      <c r="C4158" s="6" t="s">
        <v>43</v>
      </c>
      <c r="D4158" s="6" t="s">
        <v>9319</v>
      </c>
      <c r="E4158" s="6" t="s">
        <v>135</v>
      </c>
      <c r="F4158" s="6" t="s">
        <v>40</v>
      </c>
      <c r="G4158" s="7">
        <v>0.03</v>
      </c>
      <c r="H4158" s="6" t="s">
        <v>1776</v>
      </c>
      <c r="I4158" s="6" t="s">
        <v>20</v>
      </c>
      <c r="J4158" s="6">
        <v>2017.0</v>
      </c>
      <c r="K4158" s="10">
        <v>46025.0</v>
      </c>
      <c r="L4158" s="6">
        <v>1.0</v>
      </c>
      <c r="M4158" s="8">
        <f t="shared" si="4"/>
        <v>0.03</v>
      </c>
      <c r="P4158" s="9"/>
    </row>
    <row r="4159">
      <c r="A4159" s="6" t="s">
        <v>9320</v>
      </c>
      <c r="B4159" s="6" t="s">
        <v>603</v>
      </c>
      <c r="C4159" s="6" t="s">
        <v>43</v>
      </c>
      <c r="D4159" s="6" t="s">
        <v>9321</v>
      </c>
      <c r="E4159" s="6" t="s">
        <v>420</v>
      </c>
      <c r="F4159" s="6" t="s">
        <v>40</v>
      </c>
      <c r="G4159" s="7">
        <v>0.03</v>
      </c>
      <c r="H4159" s="6" t="s">
        <v>1776</v>
      </c>
      <c r="I4159" s="6" t="s">
        <v>20</v>
      </c>
      <c r="J4159" s="6">
        <v>2017.0</v>
      </c>
      <c r="K4159" s="10">
        <v>46084.0</v>
      </c>
      <c r="L4159" s="6">
        <v>1.0</v>
      </c>
      <c r="M4159" s="8">
        <f t="shared" si="4"/>
        <v>0.03</v>
      </c>
      <c r="P4159" s="9"/>
    </row>
    <row r="4160">
      <c r="A4160" s="6" t="s">
        <v>9322</v>
      </c>
      <c r="B4160" s="6" t="s">
        <v>4150</v>
      </c>
      <c r="C4160" s="6" t="s">
        <v>43</v>
      </c>
      <c r="D4160" s="6" t="s">
        <v>1083</v>
      </c>
      <c r="E4160" s="6" t="s">
        <v>135</v>
      </c>
      <c r="F4160" s="6" t="s">
        <v>40</v>
      </c>
      <c r="G4160" s="7">
        <v>0.06</v>
      </c>
      <c r="H4160" s="6" t="s">
        <v>922</v>
      </c>
      <c r="I4160" s="6" t="s">
        <v>20</v>
      </c>
      <c r="J4160" s="6">
        <v>2014.0</v>
      </c>
      <c r="K4160" s="10">
        <v>46082.0</v>
      </c>
      <c r="L4160" s="6">
        <v>1.0</v>
      </c>
      <c r="M4160" s="8">
        <f t="shared" si="4"/>
        <v>0.06</v>
      </c>
      <c r="P4160" s="9"/>
    </row>
    <row r="4161">
      <c r="A4161" s="6" t="s">
        <v>267</v>
      </c>
      <c r="B4161" s="6" t="s">
        <v>268</v>
      </c>
      <c r="C4161" s="6" t="s">
        <v>43</v>
      </c>
      <c r="D4161" s="6" t="s">
        <v>269</v>
      </c>
      <c r="E4161" s="6" t="s">
        <v>135</v>
      </c>
      <c r="F4161" s="6" t="s">
        <v>40</v>
      </c>
      <c r="G4161" s="7">
        <v>0.06</v>
      </c>
      <c r="H4161" s="6" t="s">
        <v>922</v>
      </c>
      <c r="I4161" s="6" t="s">
        <v>20</v>
      </c>
      <c r="J4161" s="6">
        <v>2014.0</v>
      </c>
      <c r="K4161" s="10">
        <v>46024.0</v>
      </c>
      <c r="L4161" s="6">
        <v>1.0</v>
      </c>
      <c r="M4161" s="8">
        <f t="shared" si="4"/>
        <v>0.06</v>
      </c>
      <c r="P4161" s="9"/>
    </row>
    <row r="4162">
      <c r="A4162" s="6" t="s">
        <v>9323</v>
      </c>
      <c r="B4162" s="6" t="s">
        <v>9324</v>
      </c>
      <c r="C4162" s="6" t="s">
        <v>43</v>
      </c>
      <c r="D4162" s="6" t="s">
        <v>9325</v>
      </c>
      <c r="E4162" s="6" t="s">
        <v>135</v>
      </c>
      <c r="F4162" s="6" t="s">
        <v>40</v>
      </c>
      <c r="G4162" s="7">
        <v>0.06</v>
      </c>
      <c r="H4162" s="6" t="s">
        <v>460</v>
      </c>
      <c r="I4162" s="6" t="s">
        <v>20</v>
      </c>
      <c r="J4162" s="6">
        <v>2015.0</v>
      </c>
      <c r="K4162" s="10">
        <v>46025.0</v>
      </c>
      <c r="L4162" s="6">
        <v>1.0</v>
      </c>
      <c r="M4162" s="8">
        <f t="shared" si="4"/>
        <v>0.06</v>
      </c>
      <c r="P4162" s="9"/>
    </row>
    <row r="4163">
      <c r="A4163" s="6" t="s">
        <v>9326</v>
      </c>
      <c r="B4163" s="6" t="s">
        <v>2250</v>
      </c>
      <c r="C4163" s="6" t="s">
        <v>43</v>
      </c>
      <c r="D4163" s="6" t="s">
        <v>9327</v>
      </c>
      <c r="E4163" s="6" t="s">
        <v>39</v>
      </c>
      <c r="F4163" s="6" t="s">
        <v>40</v>
      </c>
      <c r="G4163" s="7">
        <v>0.05</v>
      </c>
      <c r="H4163" s="6" t="s">
        <v>460</v>
      </c>
      <c r="I4163" s="6" t="s">
        <v>20</v>
      </c>
      <c r="J4163" s="6">
        <v>2015.0</v>
      </c>
      <c r="K4163" s="10">
        <v>46083.0</v>
      </c>
      <c r="L4163" s="6">
        <v>1.0</v>
      </c>
      <c r="M4163" s="8">
        <f t="shared" si="4"/>
        <v>0.05</v>
      </c>
      <c r="P4163" s="9"/>
    </row>
    <row r="4164">
      <c r="A4164" s="6" t="s">
        <v>9328</v>
      </c>
      <c r="B4164" s="6" t="s">
        <v>102</v>
      </c>
      <c r="C4164" s="6" t="s">
        <v>43</v>
      </c>
      <c r="D4164" s="6" t="s">
        <v>9329</v>
      </c>
      <c r="E4164" s="6" t="s">
        <v>135</v>
      </c>
      <c r="F4164" s="6" t="s">
        <v>40</v>
      </c>
      <c r="G4164" s="7">
        <v>0.05</v>
      </c>
      <c r="H4164" s="6" t="s">
        <v>65</v>
      </c>
      <c r="I4164" s="6" t="s">
        <v>20</v>
      </c>
      <c r="J4164" s="6">
        <v>2013.0</v>
      </c>
      <c r="K4164" s="10">
        <v>46025.0</v>
      </c>
      <c r="L4164" s="6">
        <v>1.0</v>
      </c>
      <c r="M4164" s="8">
        <f t="shared" si="4"/>
        <v>0.05</v>
      </c>
      <c r="P4164" s="9"/>
    </row>
    <row r="4165">
      <c r="A4165" s="6" t="s">
        <v>9330</v>
      </c>
      <c r="B4165" s="6" t="s">
        <v>102</v>
      </c>
      <c r="C4165" s="6" t="s">
        <v>43</v>
      </c>
      <c r="D4165" s="6" t="s">
        <v>9331</v>
      </c>
      <c r="E4165" s="6" t="s">
        <v>420</v>
      </c>
      <c r="F4165" s="6" t="s">
        <v>40</v>
      </c>
      <c r="G4165" s="7">
        <v>0.03</v>
      </c>
      <c r="H4165" s="6" t="s">
        <v>431</v>
      </c>
      <c r="I4165" s="6" t="s">
        <v>20</v>
      </c>
      <c r="J4165" s="6">
        <v>2019.0</v>
      </c>
      <c r="K4165" s="10">
        <v>46084.0</v>
      </c>
      <c r="L4165" s="6">
        <v>1.0</v>
      </c>
      <c r="M4165" s="8">
        <f t="shared" si="4"/>
        <v>0.03</v>
      </c>
      <c r="P4165" s="9"/>
    </row>
    <row r="4166">
      <c r="A4166" s="6" t="s">
        <v>9332</v>
      </c>
      <c r="B4166" s="6" t="s">
        <v>1517</v>
      </c>
      <c r="C4166" s="6" t="s">
        <v>43</v>
      </c>
      <c r="E4166" s="6" t="s">
        <v>135</v>
      </c>
      <c r="F4166" s="6" t="s">
        <v>40</v>
      </c>
      <c r="G4166" s="7">
        <v>0.03</v>
      </c>
      <c r="H4166" s="6" t="s">
        <v>431</v>
      </c>
      <c r="I4166" s="6" t="s">
        <v>20</v>
      </c>
      <c r="J4166" s="6">
        <v>2019.0</v>
      </c>
      <c r="K4166" s="10">
        <v>46025.0</v>
      </c>
      <c r="L4166" s="6">
        <v>1.0</v>
      </c>
      <c r="M4166" s="8">
        <f t="shared" si="4"/>
        <v>0.03</v>
      </c>
      <c r="P4166" s="9"/>
    </row>
    <row r="4167">
      <c r="A4167" s="6" t="s">
        <v>9333</v>
      </c>
      <c r="B4167" s="6" t="s">
        <v>603</v>
      </c>
      <c r="C4167" s="6" t="s">
        <v>43</v>
      </c>
      <c r="D4167" s="6" t="s">
        <v>9334</v>
      </c>
      <c r="E4167" s="6" t="s">
        <v>39</v>
      </c>
      <c r="F4167" s="6" t="s">
        <v>40</v>
      </c>
      <c r="G4167" s="7">
        <v>0.03</v>
      </c>
      <c r="H4167" s="6" t="s">
        <v>431</v>
      </c>
      <c r="I4167" s="6" t="s">
        <v>20</v>
      </c>
      <c r="J4167" s="6">
        <v>2019.0</v>
      </c>
      <c r="K4167" s="10">
        <v>46083.0</v>
      </c>
      <c r="L4167" s="6">
        <v>1.0</v>
      </c>
      <c r="M4167" s="8">
        <f t="shared" si="4"/>
        <v>0.03</v>
      </c>
      <c r="P4167" s="9"/>
    </row>
    <row r="4168">
      <c r="A4168" s="6" t="s">
        <v>4048</v>
      </c>
      <c r="B4168" s="6" t="s">
        <v>504</v>
      </c>
      <c r="C4168" s="6" t="s">
        <v>43</v>
      </c>
      <c r="D4168" s="6" t="s">
        <v>4049</v>
      </c>
      <c r="E4168" s="6" t="s">
        <v>420</v>
      </c>
      <c r="F4168" s="6" t="s">
        <v>40</v>
      </c>
      <c r="G4168" s="7">
        <v>0.03</v>
      </c>
      <c r="H4168" s="6" t="s">
        <v>1344</v>
      </c>
      <c r="I4168" s="6" t="s">
        <v>20</v>
      </c>
      <c r="J4168" s="6">
        <v>2018.0</v>
      </c>
      <c r="K4168" s="10">
        <v>46084.0</v>
      </c>
      <c r="L4168" s="6">
        <v>1.0</v>
      </c>
      <c r="M4168" s="8">
        <f t="shared" si="4"/>
        <v>0.03</v>
      </c>
      <c r="P4168" s="9"/>
    </row>
    <row r="4169">
      <c r="A4169" s="6" t="s">
        <v>9335</v>
      </c>
      <c r="B4169" s="6" t="s">
        <v>685</v>
      </c>
      <c r="C4169" s="6" t="s">
        <v>43</v>
      </c>
      <c r="D4169" s="6" t="s">
        <v>9336</v>
      </c>
      <c r="E4169" s="6" t="s">
        <v>135</v>
      </c>
      <c r="F4169" s="6" t="s">
        <v>40</v>
      </c>
      <c r="G4169" s="7">
        <v>0.05</v>
      </c>
      <c r="H4169" s="6" t="s">
        <v>431</v>
      </c>
      <c r="I4169" s="6" t="s">
        <v>20</v>
      </c>
      <c r="J4169" s="6">
        <v>2019.0</v>
      </c>
      <c r="K4169" s="10">
        <v>46055.0</v>
      </c>
      <c r="L4169" s="6">
        <v>1.0</v>
      </c>
      <c r="M4169" s="8">
        <f t="shared" si="4"/>
        <v>0.05</v>
      </c>
      <c r="P4169" s="9"/>
    </row>
    <row r="4170">
      <c r="A4170" s="6" t="s">
        <v>3248</v>
      </c>
      <c r="B4170" s="6" t="s">
        <v>371</v>
      </c>
      <c r="C4170" s="6" t="s">
        <v>43</v>
      </c>
      <c r="D4170" s="6" t="s">
        <v>304</v>
      </c>
      <c r="E4170" s="6" t="s">
        <v>125</v>
      </c>
      <c r="F4170" s="6" t="s">
        <v>40</v>
      </c>
      <c r="G4170" s="7">
        <v>0.13</v>
      </c>
      <c r="H4170" s="6" t="s">
        <v>3249</v>
      </c>
      <c r="I4170" s="6" t="s">
        <v>20</v>
      </c>
      <c r="J4170" s="6">
        <v>2017.0</v>
      </c>
      <c r="K4170" s="10">
        <v>46023.0</v>
      </c>
      <c r="L4170" s="6">
        <v>1.0</v>
      </c>
      <c r="M4170" s="8">
        <f t="shared" si="4"/>
        <v>0.13</v>
      </c>
      <c r="P4170" s="9"/>
    </row>
    <row r="4171">
      <c r="A4171" s="6" t="s">
        <v>9337</v>
      </c>
      <c r="B4171" s="6" t="s">
        <v>4964</v>
      </c>
      <c r="C4171" s="6" t="s">
        <v>43</v>
      </c>
      <c r="D4171" s="6" t="s">
        <v>2414</v>
      </c>
      <c r="E4171" s="6" t="s">
        <v>39</v>
      </c>
      <c r="F4171" s="6" t="s">
        <v>40</v>
      </c>
      <c r="G4171" s="7">
        <v>0.06</v>
      </c>
      <c r="H4171" s="6" t="s">
        <v>922</v>
      </c>
      <c r="I4171" s="6" t="s">
        <v>20</v>
      </c>
      <c r="J4171" s="6">
        <v>2014.0</v>
      </c>
      <c r="K4171" s="10">
        <v>46083.0</v>
      </c>
      <c r="L4171" s="6">
        <v>1.0</v>
      </c>
      <c r="M4171" s="8">
        <f t="shared" si="4"/>
        <v>0.06</v>
      </c>
      <c r="P4171" s="9"/>
    </row>
    <row r="4172">
      <c r="A4172" s="6" t="s">
        <v>9338</v>
      </c>
      <c r="B4172" s="6" t="s">
        <v>2348</v>
      </c>
      <c r="C4172" s="6" t="s">
        <v>43</v>
      </c>
      <c r="D4172" s="6" t="s">
        <v>9339</v>
      </c>
      <c r="E4172" s="6" t="s">
        <v>125</v>
      </c>
      <c r="F4172" s="6" t="s">
        <v>40</v>
      </c>
      <c r="G4172" s="7">
        <v>0.29</v>
      </c>
      <c r="H4172" s="6" t="s">
        <v>410</v>
      </c>
      <c r="I4172" s="6" t="s">
        <v>20</v>
      </c>
      <c r="J4172" s="6">
        <v>2021.0</v>
      </c>
      <c r="K4172" s="10">
        <v>46023.0</v>
      </c>
      <c r="L4172" s="6">
        <v>1.0</v>
      </c>
      <c r="M4172" s="8">
        <f t="shared" si="4"/>
        <v>0.29</v>
      </c>
      <c r="P4172" s="9"/>
    </row>
    <row r="4173">
      <c r="A4173" s="6" t="s">
        <v>9340</v>
      </c>
      <c r="B4173" s="6" t="s">
        <v>2329</v>
      </c>
      <c r="C4173" s="6" t="s">
        <v>43</v>
      </c>
      <c r="D4173" s="6" t="s">
        <v>9341</v>
      </c>
      <c r="E4173" s="6" t="s">
        <v>39</v>
      </c>
      <c r="F4173" s="6" t="s">
        <v>40</v>
      </c>
      <c r="G4173" s="7">
        <v>0.09</v>
      </c>
      <c r="H4173" s="6" t="s">
        <v>410</v>
      </c>
      <c r="I4173" s="6" t="s">
        <v>20</v>
      </c>
      <c r="J4173" s="6">
        <v>2021.0</v>
      </c>
      <c r="K4173" s="10">
        <v>46054.0</v>
      </c>
      <c r="L4173" s="6">
        <v>1.0</v>
      </c>
      <c r="M4173" s="8">
        <f t="shared" si="4"/>
        <v>0.09</v>
      </c>
      <c r="P4173" s="9"/>
    </row>
    <row r="4174">
      <c r="A4174" s="6" t="s">
        <v>9342</v>
      </c>
      <c r="B4174" s="6" t="s">
        <v>2250</v>
      </c>
      <c r="C4174" s="6" t="s">
        <v>43</v>
      </c>
      <c r="D4174" s="6" t="s">
        <v>9343</v>
      </c>
      <c r="E4174" s="6" t="s">
        <v>39</v>
      </c>
      <c r="F4174" s="6" t="s">
        <v>40</v>
      </c>
      <c r="G4174" s="7">
        <v>0.05</v>
      </c>
      <c r="H4174" s="6" t="s">
        <v>373</v>
      </c>
      <c r="I4174" s="6" t="s">
        <v>20</v>
      </c>
      <c r="J4174" s="6">
        <v>2015.0</v>
      </c>
      <c r="K4174" s="10">
        <v>46055.0</v>
      </c>
      <c r="L4174" s="6">
        <v>2.0</v>
      </c>
      <c r="M4174" s="8">
        <f t="shared" si="4"/>
        <v>0.1</v>
      </c>
      <c r="P4174" s="9"/>
    </row>
    <row r="4175">
      <c r="A4175" s="6" t="s">
        <v>9344</v>
      </c>
      <c r="B4175" s="6" t="s">
        <v>1721</v>
      </c>
      <c r="C4175" s="6" t="s">
        <v>43</v>
      </c>
      <c r="D4175" s="6" t="s">
        <v>9345</v>
      </c>
      <c r="E4175" s="6" t="s">
        <v>540</v>
      </c>
      <c r="F4175" s="6" t="s">
        <v>40</v>
      </c>
      <c r="G4175" s="7">
        <v>0.06</v>
      </c>
      <c r="H4175" s="6" t="s">
        <v>373</v>
      </c>
      <c r="I4175" s="6" t="s">
        <v>20</v>
      </c>
      <c r="J4175" s="6">
        <v>2015.0</v>
      </c>
      <c r="K4175" s="10">
        <v>46084.0</v>
      </c>
      <c r="L4175" s="6">
        <v>2.0</v>
      </c>
      <c r="M4175" s="8">
        <f t="shared" si="4"/>
        <v>0.12</v>
      </c>
      <c r="P4175" s="9"/>
    </row>
    <row r="4176">
      <c r="A4176" s="6" t="s">
        <v>6943</v>
      </c>
      <c r="B4176" s="6" t="s">
        <v>4150</v>
      </c>
      <c r="C4176" s="6" t="s">
        <v>37</v>
      </c>
      <c r="D4176" s="6" t="s">
        <v>6944</v>
      </c>
      <c r="E4176" s="6" t="s">
        <v>420</v>
      </c>
      <c r="F4176" s="6" t="s">
        <v>40</v>
      </c>
      <c r="G4176" s="7">
        <v>0.06</v>
      </c>
      <c r="H4176" s="6" t="s">
        <v>701</v>
      </c>
      <c r="I4176" s="6" t="s">
        <v>20</v>
      </c>
      <c r="J4176" s="6">
        <v>2015.0</v>
      </c>
      <c r="K4176" s="10">
        <v>46084.0</v>
      </c>
      <c r="L4176" s="6">
        <v>1.0</v>
      </c>
      <c r="M4176" s="8">
        <f t="shared" si="4"/>
        <v>0.06</v>
      </c>
      <c r="P4176" s="9"/>
    </row>
    <row r="4177">
      <c r="A4177" s="6" t="s">
        <v>9346</v>
      </c>
      <c r="B4177" s="6" t="s">
        <v>4150</v>
      </c>
      <c r="C4177" s="6" t="s">
        <v>37</v>
      </c>
      <c r="D4177" s="6" t="s">
        <v>9347</v>
      </c>
      <c r="E4177" s="6" t="s">
        <v>57</v>
      </c>
      <c r="F4177" s="6" t="s">
        <v>40</v>
      </c>
      <c r="G4177" s="7">
        <v>0.09</v>
      </c>
      <c r="H4177" s="6" t="s">
        <v>701</v>
      </c>
      <c r="I4177" s="6" t="s">
        <v>20</v>
      </c>
      <c r="J4177" s="6">
        <v>2015.0</v>
      </c>
      <c r="K4177" s="10">
        <v>46083.0</v>
      </c>
      <c r="L4177" s="6">
        <v>1.0</v>
      </c>
      <c r="M4177" s="8">
        <f t="shared" si="4"/>
        <v>0.09</v>
      </c>
      <c r="P4177" s="9"/>
    </row>
    <row r="4178">
      <c r="A4178" s="6" t="s">
        <v>9348</v>
      </c>
      <c r="B4178" s="6" t="s">
        <v>371</v>
      </c>
      <c r="C4178" s="6" t="s">
        <v>37</v>
      </c>
      <c r="D4178" s="6" t="s">
        <v>9349</v>
      </c>
      <c r="E4178" s="6" t="s">
        <v>1448</v>
      </c>
      <c r="F4178" s="6" t="s">
        <v>40</v>
      </c>
      <c r="G4178" s="7">
        <v>0.09</v>
      </c>
      <c r="H4178" s="6" t="s">
        <v>373</v>
      </c>
      <c r="I4178" s="6" t="s">
        <v>20</v>
      </c>
      <c r="J4178" s="6">
        <v>2015.0</v>
      </c>
      <c r="K4178" s="10">
        <v>46024.0</v>
      </c>
      <c r="L4178" s="6">
        <v>1.0</v>
      </c>
      <c r="M4178" s="8">
        <f t="shared" si="4"/>
        <v>0.09</v>
      </c>
      <c r="P4178" s="9"/>
    </row>
    <row r="4179">
      <c r="A4179" s="6" t="s">
        <v>9350</v>
      </c>
      <c r="B4179" s="6" t="s">
        <v>9351</v>
      </c>
      <c r="C4179" s="6" t="s">
        <v>43</v>
      </c>
      <c r="D4179" s="6" t="s">
        <v>9352</v>
      </c>
      <c r="E4179" s="6" t="s">
        <v>135</v>
      </c>
      <c r="F4179" s="6" t="s">
        <v>40</v>
      </c>
      <c r="G4179" s="7">
        <v>0.06</v>
      </c>
      <c r="H4179" s="6" t="s">
        <v>373</v>
      </c>
      <c r="I4179" s="6" t="s">
        <v>20</v>
      </c>
      <c r="J4179" s="6">
        <v>2015.0</v>
      </c>
      <c r="K4179" s="10">
        <v>46023.0</v>
      </c>
      <c r="L4179" s="6">
        <v>5.0</v>
      </c>
      <c r="M4179" s="8">
        <f t="shared" si="4"/>
        <v>0.3</v>
      </c>
      <c r="P4179" s="9"/>
    </row>
    <row r="4180">
      <c r="A4180" s="6" t="s">
        <v>9353</v>
      </c>
      <c r="B4180" s="6" t="s">
        <v>8918</v>
      </c>
      <c r="C4180" s="6" t="s">
        <v>43</v>
      </c>
      <c r="D4180" s="6" t="s">
        <v>9354</v>
      </c>
      <c r="E4180" s="6" t="s">
        <v>420</v>
      </c>
      <c r="F4180" s="6" t="s">
        <v>40</v>
      </c>
      <c r="G4180" s="7">
        <v>0.04</v>
      </c>
      <c r="H4180" s="6" t="s">
        <v>922</v>
      </c>
      <c r="I4180" s="6" t="s">
        <v>20</v>
      </c>
      <c r="J4180" s="6">
        <v>2014.0</v>
      </c>
      <c r="K4180" s="10">
        <v>46143.0</v>
      </c>
      <c r="L4180" s="6">
        <v>1.0</v>
      </c>
      <c r="M4180" s="8">
        <f t="shared" si="4"/>
        <v>0.04</v>
      </c>
      <c r="P4180" s="9"/>
    </row>
    <row r="4181">
      <c r="A4181" s="6" t="s">
        <v>9355</v>
      </c>
      <c r="B4181" s="6" t="s">
        <v>7591</v>
      </c>
      <c r="C4181" s="6" t="s">
        <v>43</v>
      </c>
      <c r="D4181" s="6" t="s">
        <v>9356</v>
      </c>
      <c r="E4181" s="6" t="s">
        <v>57</v>
      </c>
      <c r="F4181" s="6" t="s">
        <v>40</v>
      </c>
      <c r="G4181" s="7">
        <v>0.03</v>
      </c>
      <c r="H4181" s="6" t="s">
        <v>506</v>
      </c>
      <c r="I4181" s="6" t="s">
        <v>20</v>
      </c>
      <c r="J4181" s="6">
        <v>2016.0</v>
      </c>
      <c r="K4181" s="10">
        <v>46056.0</v>
      </c>
      <c r="L4181" s="6">
        <v>1.0</v>
      </c>
      <c r="M4181" s="8">
        <f t="shared" si="4"/>
        <v>0.03</v>
      </c>
      <c r="P4181" s="9"/>
    </row>
    <row r="4182">
      <c r="A4182" s="6" t="s">
        <v>9357</v>
      </c>
      <c r="B4182" s="6" t="s">
        <v>9358</v>
      </c>
      <c r="C4182" s="6" t="s">
        <v>43</v>
      </c>
      <c r="D4182" s="6" t="s">
        <v>9359</v>
      </c>
      <c r="E4182" s="6" t="s">
        <v>125</v>
      </c>
      <c r="F4182" s="6" t="s">
        <v>40</v>
      </c>
      <c r="G4182" s="7">
        <v>0.08</v>
      </c>
      <c r="H4182" s="6" t="s">
        <v>460</v>
      </c>
      <c r="I4182" s="6" t="s">
        <v>20</v>
      </c>
      <c r="J4182" s="6">
        <v>2015.0</v>
      </c>
      <c r="K4182" s="10">
        <v>46023.0</v>
      </c>
      <c r="L4182" s="6">
        <v>1.0</v>
      </c>
      <c r="M4182" s="8">
        <f t="shared" si="4"/>
        <v>0.08</v>
      </c>
      <c r="P4182" s="9"/>
    </row>
    <row r="4183">
      <c r="A4183" s="6" t="s">
        <v>9360</v>
      </c>
      <c r="B4183" s="6" t="s">
        <v>9270</v>
      </c>
      <c r="C4183" s="6" t="s">
        <v>43</v>
      </c>
      <c r="E4183" s="6" t="s">
        <v>57</v>
      </c>
      <c r="F4183" s="6" t="s">
        <v>40</v>
      </c>
      <c r="G4183" s="7">
        <v>0.03</v>
      </c>
      <c r="H4183" s="6" t="s">
        <v>1776</v>
      </c>
      <c r="I4183" s="6" t="s">
        <v>20</v>
      </c>
      <c r="J4183" s="6">
        <v>2017.0</v>
      </c>
      <c r="K4183" s="10">
        <v>46056.0</v>
      </c>
      <c r="L4183" s="6">
        <v>1.0</v>
      </c>
      <c r="M4183" s="8">
        <f t="shared" si="4"/>
        <v>0.03</v>
      </c>
      <c r="P4183" s="9"/>
    </row>
    <row r="4184">
      <c r="A4184" s="6" t="s">
        <v>9361</v>
      </c>
      <c r="B4184" s="6" t="s">
        <v>371</v>
      </c>
      <c r="C4184" s="6" t="s">
        <v>43</v>
      </c>
      <c r="D4184" s="6" t="s">
        <v>9362</v>
      </c>
      <c r="E4184" s="6" t="s">
        <v>135</v>
      </c>
      <c r="F4184" s="6" t="s">
        <v>40</v>
      </c>
      <c r="G4184" s="7">
        <v>0.06</v>
      </c>
      <c r="H4184" s="6" t="s">
        <v>903</v>
      </c>
      <c r="I4184" s="6" t="s">
        <v>20</v>
      </c>
      <c r="J4184" s="6">
        <v>2016.0</v>
      </c>
      <c r="K4184" s="10">
        <v>46024.0</v>
      </c>
      <c r="L4184" s="6">
        <v>1.0</v>
      </c>
      <c r="M4184" s="8">
        <f t="shared" si="4"/>
        <v>0.06</v>
      </c>
      <c r="P4184" s="9"/>
    </row>
    <row r="4185">
      <c r="A4185" s="6" t="s">
        <v>9363</v>
      </c>
      <c r="B4185" s="6" t="s">
        <v>371</v>
      </c>
      <c r="C4185" s="6" t="s">
        <v>43</v>
      </c>
      <c r="D4185" s="6" t="s">
        <v>9364</v>
      </c>
      <c r="E4185" s="6" t="s">
        <v>135</v>
      </c>
      <c r="F4185" s="6" t="s">
        <v>40</v>
      </c>
      <c r="G4185" s="7">
        <v>0.04</v>
      </c>
      <c r="H4185" s="6" t="s">
        <v>373</v>
      </c>
      <c r="I4185" s="6" t="s">
        <v>20</v>
      </c>
      <c r="J4185" s="6">
        <v>2015.0</v>
      </c>
      <c r="K4185" s="10">
        <v>46055.0</v>
      </c>
      <c r="L4185" s="6">
        <v>5.0</v>
      </c>
      <c r="M4185" s="8">
        <f t="shared" si="4"/>
        <v>0.2</v>
      </c>
      <c r="P4185" s="9"/>
    </row>
    <row r="4186">
      <c r="A4186" s="6" t="s">
        <v>9365</v>
      </c>
      <c r="B4186" s="6" t="s">
        <v>2356</v>
      </c>
      <c r="C4186" s="6" t="s">
        <v>37</v>
      </c>
      <c r="D4186" s="6" t="s">
        <v>9366</v>
      </c>
      <c r="E4186" s="6" t="s">
        <v>125</v>
      </c>
      <c r="F4186" s="6" t="s">
        <v>40</v>
      </c>
      <c r="G4186" s="7">
        <v>0.06</v>
      </c>
      <c r="H4186" s="6" t="s">
        <v>701</v>
      </c>
      <c r="I4186" s="6" t="s">
        <v>20</v>
      </c>
      <c r="J4186" s="6">
        <v>2015.0</v>
      </c>
      <c r="K4186" s="10">
        <v>46024.0</v>
      </c>
      <c r="L4186" s="6">
        <v>2.0</v>
      </c>
      <c r="M4186" s="8">
        <f t="shared" si="4"/>
        <v>0.12</v>
      </c>
      <c r="P4186" s="9"/>
    </row>
    <row r="4187">
      <c r="A4187" s="6" t="s">
        <v>9367</v>
      </c>
      <c r="B4187" s="6" t="s">
        <v>477</v>
      </c>
      <c r="C4187" s="6" t="s">
        <v>43</v>
      </c>
      <c r="D4187" s="6" t="s">
        <v>9368</v>
      </c>
      <c r="E4187" s="6" t="s">
        <v>57</v>
      </c>
      <c r="F4187" s="6" t="s">
        <v>40</v>
      </c>
      <c r="G4187" s="7">
        <v>0.03</v>
      </c>
      <c r="H4187" s="6" t="s">
        <v>144</v>
      </c>
      <c r="I4187" s="6" t="s">
        <v>20</v>
      </c>
      <c r="J4187" s="6">
        <v>2018.0</v>
      </c>
      <c r="K4187" s="10">
        <v>46056.0</v>
      </c>
      <c r="L4187" s="6">
        <v>1.0</v>
      </c>
      <c r="M4187" s="8">
        <f t="shared" si="4"/>
        <v>0.03</v>
      </c>
      <c r="P4187" s="9"/>
    </row>
    <row r="4188">
      <c r="A4188" s="6" t="s">
        <v>9369</v>
      </c>
      <c r="B4188" s="6" t="s">
        <v>4150</v>
      </c>
      <c r="C4188" s="6" t="s">
        <v>37</v>
      </c>
      <c r="D4188" s="6" t="s">
        <v>9370</v>
      </c>
      <c r="E4188" s="6" t="s">
        <v>135</v>
      </c>
      <c r="F4188" s="6" t="s">
        <v>40</v>
      </c>
      <c r="G4188" s="7">
        <v>0.07</v>
      </c>
      <c r="H4188" s="6" t="s">
        <v>1493</v>
      </c>
      <c r="I4188" s="6" t="s">
        <v>20</v>
      </c>
      <c r="J4188" s="6">
        <v>2015.0</v>
      </c>
      <c r="K4188" s="10">
        <v>46025.0</v>
      </c>
      <c r="L4188" s="6">
        <v>1.0</v>
      </c>
      <c r="M4188" s="8">
        <f t="shared" si="4"/>
        <v>0.07</v>
      </c>
      <c r="P4188" s="9"/>
    </row>
    <row r="4189">
      <c r="A4189" s="6" t="s">
        <v>9371</v>
      </c>
      <c r="B4189" s="6" t="s">
        <v>4745</v>
      </c>
      <c r="C4189" s="6" t="s">
        <v>43</v>
      </c>
      <c r="D4189" s="6" t="s">
        <v>1500</v>
      </c>
      <c r="E4189" s="6" t="s">
        <v>125</v>
      </c>
      <c r="F4189" s="6" t="s">
        <v>40</v>
      </c>
      <c r="G4189" s="7">
        <v>0.06</v>
      </c>
      <c r="H4189" s="6" t="s">
        <v>460</v>
      </c>
      <c r="I4189" s="6" t="s">
        <v>20</v>
      </c>
      <c r="J4189" s="6">
        <v>2015.0</v>
      </c>
      <c r="K4189" s="10">
        <v>46023.0</v>
      </c>
      <c r="L4189" s="6">
        <v>1.0</v>
      </c>
      <c r="M4189" s="8">
        <f t="shared" si="4"/>
        <v>0.06</v>
      </c>
      <c r="P4189" s="9"/>
    </row>
    <row r="4190">
      <c r="A4190" s="6" t="s">
        <v>9372</v>
      </c>
      <c r="B4190" s="6" t="s">
        <v>2356</v>
      </c>
      <c r="C4190" s="6" t="s">
        <v>43</v>
      </c>
      <c r="D4190" s="6" t="s">
        <v>9373</v>
      </c>
      <c r="E4190" s="6" t="s">
        <v>57</v>
      </c>
      <c r="F4190" s="6" t="s">
        <v>40</v>
      </c>
      <c r="G4190" s="7">
        <v>0.06</v>
      </c>
      <c r="H4190" s="6" t="s">
        <v>922</v>
      </c>
      <c r="I4190" s="6" t="s">
        <v>20</v>
      </c>
      <c r="J4190" s="6">
        <v>2014.0</v>
      </c>
      <c r="K4190" s="10">
        <v>46083.0</v>
      </c>
      <c r="L4190" s="6">
        <v>2.0</v>
      </c>
      <c r="M4190" s="8">
        <f t="shared" si="4"/>
        <v>0.12</v>
      </c>
      <c r="P4190" s="9"/>
    </row>
    <row r="4191">
      <c r="A4191" s="6" t="s">
        <v>9374</v>
      </c>
      <c r="B4191" s="6" t="s">
        <v>9375</v>
      </c>
      <c r="C4191" s="6" t="s">
        <v>43</v>
      </c>
      <c r="D4191" s="6" t="s">
        <v>9376</v>
      </c>
      <c r="E4191" s="6" t="s">
        <v>1752</v>
      </c>
      <c r="F4191" s="6" t="s">
        <v>40</v>
      </c>
      <c r="G4191" s="7">
        <v>0.03</v>
      </c>
      <c r="H4191" s="6" t="s">
        <v>1344</v>
      </c>
      <c r="I4191" s="6" t="s">
        <v>20</v>
      </c>
      <c r="J4191" s="6">
        <v>2018.0</v>
      </c>
      <c r="K4191" s="10">
        <v>46115.0</v>
      </c>
      <c r="L4191" s="6">
        <v>1.0</v>
      </c>
      <c r="M4191" s="8">
        <f t="shared" si="4"/>
        <v>0.03</v>
      </c>
      <c r="P4191" s="9"/>
    </row>
    <row r="4192">
      <c r="A4192" s="6" t="s">
        <v>9377</v>
      </c>
      <c r="B4192" s="6" t="s">
        <v>4615</v>
      </c>
      <c r="C4192" s="6" t="s">
        <v>43</v>
      </c>
      <c r="D4192" s="6" t="s">
        <v>9378</v>
      </c>
      <c r="E4192" s="6" t="s">
        <v>39</v>
      </c>
      <c r="F4192" s="6" t="s">
        <v>40</v>
      </c>
      <c r="G4192" s="7">
        <v>0.03</v>
      </c>
      <c r="H4192" s="6" t="s">
        <v>431</v>
      </c>
      <c r="I4192" s="6" t="s">
        <v>20</v>
      </c>
      <c r="J4192" s="6">
        <v>2019.0</v>
      </c>
      <c r="K4192" s="10">
        <v>46084.0</v>
      </c>
      <c r="L4192" s="6">
        <v>1.0</v>
      </c>
      <c r="M4192" s="8">
        <f t="shared" si="4"/>
        <v>0.03</v>
      </c>
      <c r="P4192" s="9"/>
    </row>
    <row r="4193">
      <c r="A4193" s="6" t="s">
        <v>9379</v>
      </c>
      <c r="B4193" s="6" t="s">
        <v>9380</v>
      </c>
      <c r="C4193" s="6" t="s">
        <v>43</v>
      </c>
      <c r="D4193" s="6" t="s">
        <v>9381</v>
      </c>
      <c r="E4193" s="6" t="s">
        <v>57</v>
      </c>
      <c r="F4193" s="6" t="s">
        <v>40</v>
      </c>
      <c r="G4193" s="7">
        <v>0.05</v>
      </c>
      <c r="H4193" s="6" t="s">
        <v>407</v>
      </c>
      <c r="I4193" s="6" t="s">
        <v>20</v>
      </c>
      <c r="J4193" s="6">
        <v>2016.0</v>
      </c>
      <c r="K4193" s="10">
        <v>46056.0</v>
      </c>
      <c r="L4193" s="6">
        <v>2.0</v>
      </c>
      <c r="M4193" s="8">
        <f t="shared" si="4"/>
        <v>0.1</v>
      </c>
      <c r="P4193" s="9"/>
    </row>
    <row r="4194">
      <c r="A4194" s="6" t="s">
        <v>9382</v>
      </c>
      <c r="B4194" s="6" t="s">
        <v>9383</v>
      </c>
      <c r="C4194" s="6" t="s">
        <v>43</v>
      </c>
      <c r="D4194" s="6" t="s">
        <v>1500</v>
      </c>
      <c r="E4194" s="6" t="s">
        <v>57</v>
      </c>
      <c r="F4194" s="6" t="s">
        <v>40</v>
      </c>
      <c r="G4194" s="7">
        <v>0.06</v>
      </c>
      <c r="H4194" s="6" t="s">
        <v>460</v>
      </c>
      <c r="I4194" s="6" t="s">
        <v>20</v>
      </c>
      <c r="J4194" s="6">
        <v>2015.0</v>
      </c>
      <c r="K4194" s="10">
        <v>46055.0</v>
      </c>
      <c r="L4194" s="6">
        <v>1.0</v>
      </c>
      <c r="M4194" s="8">
        <f t="shared" si="4"/>
        <v>0.06</v>
      </c>
      <c r="P4194" s="9"/>
    </row>
    <row r="4195">
      <c r="A4195" s="6" t="s">
        <v>9384</v>
      </c>
      <c r="B4195" s="6" t="s">
        <v>371</v>
      </c>
      <c r="C4195" s="6" t="s">
        <v>43</v>
      </c>
      <c r="D4195" s="6" t="s">
        <v>9385</v>
      </c>
      <c r="E4195" s="6" t="s">
        <v>135</v>
      </c>
      <c r="F4195" s="6" t="s">
        <v>40</v>
      </c>
      <c r="G4195" s="7">
        <v>0.03</v>
      </c>
      <c r="H4195" s="6" t="s">
        <v>1076</v>
      </c>
      <c r="I4195" s="6" t="s">
        <v>20</v>
      </c>
      <c r="J4195" s="6">
        <v>2018.0</v>
      </c>
      <c r="K4195" s="10">
        <v>46055.0</v>
      </c>
      <c r="L4195" s="6">
        <v>3.0</v>
      </c>
      <c r="M4195" s="8">
        <f t="shared" si="4"/>
        <v>0.09</v>
      </c>
      <c r="P4195" s="9"/>
    </row>
    <row r="4196">
      <c r="A4196" s="6" t="s">
        <v>9386</v>
      </c>
      <c r="B4196" s="6" t="s">
        <v>9290</v>
      </c>
      <c r="C4196" s="6" t="s">
        <v>43</v>
      </c>
      <c r="D4196" s="6" t="s">
        <v>9387</v>
      </c>
      <c r="E4196" s="6" t="s">
        <v>135</v>
      </c>
      <c r="F4196" s="6" t="s">
        <v>40</v>
      </c>
      <c r="G4196" s="7">
        <v>0.03</v>
      </c>
      <c r="H4196" s="6" t="s">
        <v>1776</v>
      </c>
      <c r="I4196" s="6" t="s">
        <v>20</v>
      </c>
      <c r="J4196" s="6">
        <v>2017.0</v>
      </c>
      <c r="K4196" s="10">
        <v>46055.0</v>
      </c>
      <c r="L4196" s="6">
        <v>2.0</v>
      </c>
      <c r="M4196" s="8">
        <f t="shared" si="4"/>
        <v>0.06</v>
      </c>
      <c r="P4196" s="9"/>
    </row>
    <row r="4197">
      <c r="A4197" s="6" t="s">
        <v>9388</v>
      </c>
      <c r="B4197" s="6" t="s">
        <v>5539</v>
      </c>
      <c r="C4197" s="6" t="s">
        <v>43</v>
      </c>
      <c r="D4197" s="6" t="s">
        <v>9389</v>
      </c>
      <c r="E4197" s="6" t="s">
        <v>39</v>
      </c>
      <c r="F4197" s="6" t="s">
        <v>40</v>
      </c>
      <c r="G4197" s="7">
        <v>0.03</v>
      </c>
      <c r="H4197" s="6" t="s">
        <v>1076</v>
      </c>
      <c r="I4197" s="6" t="s">
        <v>20</v>
      </c>
      <c r="J4197" s="6">
        <v>2018.0</v>
      </c>
      <c r="K4197" s="10">
        <v>46084.0</v>
      </c>
      <c r="L4197" s="6">
        <v>4.0</v>
      </c>
      <c r="M4197" s="8">
        <f t="shared" si="4"/>
        <v>0.12</v>
      </c>
      <c r="P4197" s="9"/>
    </row>
    <row r="4198">
      <c r="A4198" s="6" t="s">
        <v>4484</v>
      </c>
      <c r="B4198" s="6" t="s">
        <v>4485</v>
      </c>
      <c r="C4198" s="6" t="s">
        <v>43</v>
      </c>
      <c r="D4198" s="6" t="s">
        <v>4486</v>
      </c>
      <c r="E4198" s="6" t="s">
        <v>57</v>
      </c>
      <c r="F4198" s="6" t="s">
        <v>40</v>
      </c>
      <c r="G4198" s="7">
        <v>0.03</v>
      </c>
      <c r="H4198" s="6" t="s">
        <v>1076</v>
      </c>
      <c r="I4198" s="6" t="s">
        <v>20</v>
      </c>
      <c r="J4198" s="6">
        <v>2018.0</v>
      </c>
      <c r="K4198" s="10">
        <v>46055.0</v>
      </c>
      <c r="L4198" s="6">
        <v>2.0</v>
      </c>
      <c r="M4198" s="8">
        <f t="shared" si="4"/>
        <v>0.06</v>
      </c>
      <c r="P4198" s="9"/>
    </row>
    <row r="4199">
      <c r="A4199" s="6" t="s">
        <v>9390</v>
      </c>
      <c r="B4199" s="6" t="s">
        <v>685</v>
      </c>
      <c r="C4199" s="6" t="s">
        <v>43</v>
      </c>
      <c r="D4199" s="6" t="s">
        <v>9391</v>
      </c>
      <c r="E4199" s="6" t="s">
        <v>135</v>
      </c>
      <c r="F4199" s="6" t="s">
        <v>40</v>
      </c>
      <c r="G4199" s="7">
        <v>0.06</v>
      </c>
      <c r="H4199" s="6" t="s">
        <v>373</v>
      </c>
      <c r="I4199" s="6" t="s">
        <v>20</v>
      </c>
      <c r="J4199" s="6">
        <v>2015.0</v>
      </c>
      <c r="K4199" s="10">
        <v>46055.0</v>
      </c>
      <c r="L4199" s="6">
        <v>5.0</v>
      </c>
      <c r="M4199" s="8">
        <f t="shared" si="4"/>
        <v>0.3</v>
      </c>
      <c r="P4199" s="9"/>
    </row>
    <row r="4200">
      <c r="A4200" s="6" t="s">
        <v>9392</v>
      </c>
      <c r="B4200" s="6" t="s">
        <v>371</v>
      </c>
      <c r="C4200" s="6" t="s">
        <v>43</v>
      </c>
      <c r="D4200" s="6" t="s">
        <v>9393</v>
      </c>
      <c r="E4200" s="6" t="s">
        <v>125</v>
      </c>
      <c r="F4200" s="6" t="s">
        <v>40</v>
      </c>
      <c r="G4200" s="7">
        <v>0.06</v>
      </c>
      <c r="H4200" s="6" t="s">
        <v>373</v>
      </c>
      <c r="I4200" s="6" t="s">
        <v>20</v>
      </c>
      <c r="J4200" s="6">
        <v>2015.0</v>
      </c>
      <c r="K4200" s="10">
        <v>46023.0</v>
      </c>
      <c r="L4200" s="6">
        <v>4.0</v>
      </c>
      <c r="M4200" s="8">
        <f t="shared" si="4"/>
        <v>0.24</v>
      </c>
      <c r="P4200" s="9"/>
    </row>
    <row r="4201">
      <c r="A4201" s="6" t="s">
        <v>9394</v>
      </c>
      <c r="B4201" s="6" t="s">
        <v>371</v>
      </c>
      <c r="C4201" s="6" t="s">
        <v>43</v>
      </c>
      <c r="D4201" s="6" t="s">
        <v>9395</v>
      </c>
      <c r="E4201" s="6" t="s">
        <v>57</v>
      </c>
      <c r="F4201" s="6" t="s">
        <v>40</v>
      </c>
      <c r="G4201" s="7">
        <v>0.03</v>
      </c>
      <c r="H4201" s="6" t="s">
        <v>431</v>
      </c>
      <c r="I4201" s="6" t="s">
        <v>20</v>
      </c>
      <c r="J4201" s="6">
        <v>2019.0</v>
      </c>
      <c r="K4201" s="10">
        <v>46056.0</v>
      </c>
      <c r="L4201" s="6">
        <v>2.0</v>
      </c>
      <c r="M4201" s="8">
        <f t="shared" si="4"/>
        <v>0.06</v>
      </c>
      <c r="P4201" s="9"/>
    </row>
    <row r="4202">
      <c r="A4202" s="6" t="s">
        <v>9396</v>
      </c>
      <c r="B4202" s="6" t="s">
        <v>371</v>
      </c>
      <c r="C4202" s="6" t="s">
        <v>43</v>
      </c>
      <c r="D4202" s="6" t="s">
        <v>9397</v>
      </c>
      <c r="E4202" s="6" t="s">
        <v>420</v>
      </c>
      <c r="F4202" s="6" t="s">
        <v>40</v>
      </c>
      <c r="G4202" s="7">
        <v>0.04</v>
      </c>
      <c r="H4202" s="6" t="s">
        <v>373</v>
      </c>
      <c r="I4202" s="6" t="s">
        <v>20</v>
      </c>
      <c r="J4202" s="6">
        <v>2015.0</v>
      </c>
      <c r="K4202" s="10">
        <v>46115.0</v>
      </c>
      <c r="L4202" s="6">
        <v>7.0</v>
      </c>
      <c r="M4202" s="8">
        <f t="shared" si="4"/>
        <v>0.28</v>
      </c>
      <c r="P4202" s="9"/>
    </row>
    <row r="4203">
      <c r="A4203" s="6" t="s">
        <v>9398</v>
      </c>
      <c r="B4203" s="6" t="s">
        <v>9399</v>
      </c>
      <c r="C4203" s="6" t="s">
        <v>37</v>
      </c>
      <c r="D4203" s="6" t="s">
        <v>9400</v>
      </c>
      <c r="E4203" s="6" t="s">
        <v>135</v>
      </c>
      <c r="F4203" s="6" t="s">
        <v>40</v>
      </c>
      <c r="G4203" s="7">
        <v>0.06</v>
      </c>
      <c r="H4203" s="6" t="s">
        <v>903</v>
      </c>
      <c r="I4203" s="6" t="s">
        <v>20</v>
      </c>
      <c r="J4203" s="6">
        <v>2016.0</v>
      </c>
      <c r="K4203" s="10">
        <v>46083.0</v>
      </c>
      <c r="L4203" s="6">
        <v>2.0</v>
      </c>
      <c r="M4203" s="8">
        <f t="shared" si="4"/>
        <v>0.12</v>
      </c>
      <c r="P4203" s="9"/>
    </row>
    <row r="4204">
      <c r="A4204" s="6" t="s">
        <v>5837</v>
      </c>
      <c r="B4204" s="6" t="s">
        <v>361</v>
      </c>
      <c r="C4204" s="6" t="s">
        <v>43</v>
      </c>
      <c r="E4204" s="6" t="s">
        <v>135</v>
      </c>
      <c r="F4204" s="6" t="s">
        <v>40</v>
      </c>
      <c r="G4204" s="7">
        <v>0.03</v>
      </c>
      <c r="H4204" s="6" t="s">
        <v>1076</v>
      </c>
      <c r="I4204" s="6" t="s">
        <v>20</v>
      </c>
      <c r="J4204" s="6">
        <v>2018.0</v>
      </c>
      <c r="K4204" s="10">
        <v>46025.0</v>
      </c>
      <c r="L4204" s="6">
        <v>4.0</v>
      </c>
      <c r="M4204" s="8">
        <f t="shared" si="4"/>
        <v>0.12</v>
      </c>
      <c r="P4204" s="9"/>
    </row>
    <row r="4205">
      <c r="A4205" s="6" t="s">
        <v>9401</v>
      </c>
      <c r="B4205" s="6" t="s">
        <v>9402</v>
      </c>
      <c r="C4205" s="6" t="s">
        <v>43</v>
      </c>
      <c r="E4205" s="6" t="s">
        <v>125</v>
      </c>
      <c r="F4205" s="6" t="s">
        <v>40</v>
      </c>
      <c r="G4205" s="7">
        <v>0.05</v>
      </c>
      <c r="H4205" s="6" t="s">
        <v>373</v>
      </c>
      <c r="I4205" s="6" t="s">
        <v>20</v>
      </c>
      <c r="J4205" s="6">
        <v>2015.0</v>
      </c>
      <c r="K4205" s="6" t="s">
        <v>445</v>
      </c>
      <c r="L4205" s="6">
        <v>2.0</v>
      </c>
      <c r="M4205" s="8">
        <f t="shared" si="4"/>
        <v>0.1</v>
      </c>
      <c r="P4205" s="9"/>
    </row>
    <row r="4206">
      <c r="A4206" s="6" t="s">
        <v>9403</v>
      </c>
      <c r="B4206" s="6" t="s">
        <v>102</v>
      </c>
      <c r="C4206" s="6" t="s">
        <v>43</v>
      </c>
      <c r="D4206" s="6" t="s">
        <v>9404</v>
      </c>
      <c r="E4206" s="6" t="s">
        <v>57</v>
      </c>
      <c r="F4206" s="6" t="s">
        <v>40</v>
      </c>
      <c r="G4206" s="7">
        <v>0.06</v>
      </c>
      <c r="H4206" s="6" t="s">
        <v>373</v>
      </c>
      <c r="I4206" s="6" t="s">
        <v>20</v>
      </c>
      <c r="J4206" s="6">
        <v>2015.0</v>
      </c>
      <c r="K4206" s="10">
        <v>46056.0</v>
      </c>
      <c r="L4206" s="6">
        <v>9.0</v>
      </c>
      <c r="M4206" s="8">
        <f t="shared" si="4"/>
        <v>0.54</v>
      </c>
      <c r="P4206" s="9"/>
    </row>
    <row r="4207">
      <c r="A4207" s="6" t="s">
        <v>9405</v>
      </c>
      <c r="B4207" s="6" t="s">
        <v>3648</v>
      </c>
      <c r="C4207" s="6" t="s">
        <v>43</v>
      </c>
      <c r="D4207" s="6" t="s">
        <v>9406</v>
      </c>
      <c r="E4207" s="6" t="s">
        <v>57</v>
      </c>
      <c r="F4207" s="6" t="s">
        <v>40</v>
      </c>
      <c r="G4207" s="7">
        <v>0.05</v>
      </c>
      <c r="H4207" s="6" t="s">
        <v>407</v>
      </c>
      <c r="I4207" s="6" t="s">
        <v>20</v>
      </c>
      <c r="J4207" s="6">
        <v>2016.0</v>
      </c>
      <c r="K4207" s="10">
        <v>46113.0</v>
      </c>
      <c r="L4207" s="6">
        <v>3.0</v>
      </c>
      <c r="M4207" s="8">
        <f t="shared" si="4"/>
        <v>0.15</v>
      </c>
      <c r="P4207" s="9"/>
    </row>
    <row r="4208">
      <c r="A4208" s="6" t="s">
        <v>9407</v>
      </c>
      <c r="B4208" s="6" t="s">
        <v>699</v>
      </c>
      <c r="C4208" s="6" t="s">
        <v>43</v>
      </c>
      <c r="D4208" s="6" t="s">
        <v>9408</v>
      </c>
      <c r="E4208" s="6" t="s">
        <v>57</v>
      </c>
      <c r="F4208" s="6" t="s">
        <v>40</v>
      </c>
      <c r="G4208" s="7">
        <v>0.06</v>
      </c>
      <c r="H4208" s="6" t="s">
        <v>373</v>
      </c>
      <c r="I4208" s="6" t="s">
        <v>20</v>
      </c>
      <c r="J4208" s="6">
        <v>2015.0</v>
      </c>
      <c r="K4208" s="10">
        <v>46082.0</v>
      </c>
      <c r="L4208" s="6">
        <v>4.0</v>
      </c>
      <c r="M4208" s="8">
        <f t="shared" si="4"/>
        <v>0.24</v>
      </c>
      <c r="P4208" s="9"/>
    </row>
    <row r="4209">
      <c r="A4209" s="6" t="s">
        <v>370</v>
      </c>
      <c r="B4209" s="6" t="s">
        <v>371</v>
      </c>
      <c r="C4209" s="6" t="s">
        <v>43</v>
      </c>
      <c r="D4209" s="6" t="s">
        <v>372</v>
      </c>
      <c r="E4209" s="6" t="s">
        <v>282</v>
      </c>
      <c r="F4209" s="6" t="s">
        <v>40</v>
      </c>
      <c r="G4209" s="7">
        <v>0.06</v>
      </c>
      <c r="H4209" s="6" t="s">
        <v>373</v>
      </c>
      <c r="I4209" s="6" t="s">
        <v>20</v>
      </c>
      <c r="J4209" s="6">
        <v>2015.0</v>
      </c>
      <c r="K4209" s="10">
        <v>46084.0</v>
      </c>
      <c r="L4209" s="6">
        <v>3.0</v>
      </c>
      <c r="M4209" s="8">
        <f t="shared" si="4"/>
        <v>0.18</v>
      </c>
      <c r="P4209" s="9"/>
    </row>
    <row r="4210">
      <c r="A4210" s="6" t="s">
        <v>9409</v>
      </c>
      <c r="B4210" s="6" t="s">
        <v>208</v>
      </c>
      <c r="C4210" s="6" t="s">
        <v>43</v>
      </c>
      <c r="D4210" s="6" t="s">
        <v>9410</v>
      </c>
      <c r="E4210" s="6" t="s">
        <v>57</v>
      </c>
      <c r="F4210" s="6" t="s">
        <v>40</v>
      </c>
      <c r="G4210" s="7">
        <v>0.06</v>
      </c>
      <c r="H4210" s="6" t="s">
        <v>373</v>
      </c>
      <c r="I4210" s="6" t="s">
        <v>20</v>
      </c>
      <c r="J4210" s="6">
        <v>2015.0</v>
      </c>
      <c r="K4210" s="10">
        <v>46055.0</v>
      </c>
      <c r="L4210" s="6">
        <v>3.0</v>
      </c>
      <c r="M4210" s="8">
        <f t="shared" si="4"/>
        <v>0.18</v>
      </c>
      <c r="P4210" s="9"/>
    </row>
    <row r="4211">
      <c r="A4211" s="6" t="s">
        <v>9411</v>
      </c>
      <c r="B4211" s="6" t="s">
        <v>685</v>
      </c>
      <c r="C4211" s="6" t="s">
        <v>37</v>
      </c>
      <c r="D4211" s="6" t="s">
        <v>9412</v>
      </c>
      <c r="E4211" s="6" t="s">
        <v>282</v>
      </c>
      <c r="F4211" s="6" t="s">
        <v>40</v>
      </c>
      <c r="G4211" s="7">
        <v>0.08</v>
      </c>
      <c r="H4211" s="6" t="s">
        <v>373</v>
      </c>
      <c r="I4211" s="6" t="s">
        <v>20</v>
      </c>
      <c r="J4211" s="6">
        <v>2015.0</v>
      </c>
      <c r="K4211" s="10">
        <v>46084.0</v>
      </c>
      <c r="L4211" s="6">
        <v>2.0</v>
      </c>
      <c r="M4211" s="8">
        <f t="shared" si="4"/>
        <v>0.16</v>
      </c>
      <c r="P4211" s="9"/>
    </row>
    <row r="4212">
      <c r="A4212" s="6" t="s">
        <v>9413</v>
      </c>
      <c r="B4212" s="6" t="s">
        <v>9380</v>
      </c>
      <c r="C4212" s="6" t="s">
        <v>43</v>
      </c>
      <c r="D4212" s="6" t="s">
        <v>9414</v>
      </c>
      <c r="E4212" s="6" t="s">
        <v>57</v>
      </c>
      <c r="F4212" s="6" t="s">
        <v>40</v>
      </c>
      <c r="G4212" s="7">
        <v>0.05</v>
      </c>
      <c r="H4212" s="6" t="s">
        <v>407</v>
      </c>
      <c r="I4212" s="6" t="s">
        <v>20</v>
      </c>
      <c r="J4212" s="6">
        <v>2016.0</v>
      </c>
      <c r="K4212" s="10">
        <v>46025.0</v>
      </c>
      <c r="L4212" s="6">
        <v>5.0</v>
      </c>
      <c r="M4212" s="8">
        <f t="shared" si="4"/>
        <v>0.25</v>
      </c>
      <c r="P4212" s="9"/>
    </row>
    <row r="4213">
      <c r="A4213" s="6" t="s">
        <v>5310</v>
      </c>
      <c r="B4213" s="6" t="s">
        <v>5311</v>
      </c>
      <c r="C4213" s="6" t="s">
        <v>43</v>
      </c>
      <c r="D4213" s="6" t="s">
        <v>5312</v>
      </c>
      <c r="E4213" s="6" t="s">
        <v>135</v>
      </c>
      <c r="F4213" s="6" t="s">
        <v>40</v>
      </c>
      <c r="G4213" s="7">
        <v>0.05</v>
      </c>
      <c r="H4213" s="6" t="s">
        <v>407</v>
      </c>
      <c r="I4213" s="6" t="s">
        <v>20</v>
      </c>
      <c r="J4213" s="6">
        <v>2016.0</v>
      </c>
      <c r="K4213" s="10">
        <v>46055.0</v>
      </c>
      <c r="L4213" s="6">
        <v>3.0</v>
      </c>
      <c r="M4213" s="8">
        <f t="shared" si="4"/>
        <v>0.15</v>
      </c>
      <c r="P4213" s="9"/>
    </row>
    <row r="4214">
      <c r="A4214" s="6" t="s">
        <v>9415</v>
      </c>
      <c r="B4214" s="6" t="s">
        <v>9416</v>
      </c>
      <c r="C4214" s="6" t="s">
        <v>30</v>
      </c>
      <c r="D4214" s="6" t="s">
        <v>9417</v>
      </c>
      <c r="E4214" s="6" t="s">
        <v>39</v>
      </c>
      <c r="F4214" s="6" t="s">
        <v>40</v>
      </c>
      <c r="G4214" s="7">
        <v>0.35</v>
      </c>
      <c r="H4214" s="6" t="s">
        <v>350</v>
      </c>
      <c r="I4214" s="6" t="s">
        <v>20</v>
      </c>
      <c r="J4214" s="6">
        <v>2003.0</v>
      </c>
      <c r="K4214" s="10">
        <v>46143.0</v>
      </c>
      <c r="L4214" s="6">
        <v>1.0</v>
      </c>
      <c r="M4214" s="8">
        <f t="shared" si="4"/>
        <v>0.35</v>
      </c>
      <c r="P4214" s="9"/>
    </row>
    <row r="4215">
      <c r="A4215" s="6" t="s">
        <v>1616</v>
      </c>
      <c r="B4215" s="6" t="s">
        <v>552</v>
      </c>
      <c r="C4215" s="6" t="s">
        <v>204</v>
      </c>
      <c r="D4215" s="6" t="s">
        <v>1617</v>
      </c>
      <c r="E4215" s="6" t="s">
        <v>135</v>
      </c>
      <c r="F4215" s="6" t="s">
        <v>40</v>
      </c>
      <c r="G4215" s="7">
        <v>0.2</v>
      </c>
      <c r="H4215" s="6" t="s">
        <v>316</v>
      </c>
      <c r="I4215" s="6" t="s">
        <v>20</v>
      </c>
      <c r="J4215" s="6">
        <v>1995.0</v>
      </c>
      <c r="L4215" s="6">
        <v>3.0</v>
      </c>
      <c r="M4215" s="8">
        <f t="shared" si="4"/>
        <v>0.6</v>
      </c>
      <c r="P4215" s="9"/>
    </row>
    <row r="4216">
      <c r="A4216" s="6" t="s">
        <v>1616</v>
      </c>
      <c r="B4216" s="6" t="s">
        <v>552</v>
      </c>
      <c r="C4216" s="6" t="s">
        <v>204</v>
      </c>
      <c r="D4216" s="6" t="s">
        <v>1617</v>
      </c>
      <c r="E4216" s="6" t="s">
        <v>135</v>
      </c>
      <c r="F4216" s="6" t="s">
        <v>40</v>
      </c>
      <c r="G4216" s="7">
        <v>0.1</v>
      </c>
      <c r="H4216" s="6" t="s">
        <v>324</v>
      </c>
      <c r="I4216" s="6" t="s">
        <v>20</v>
      </c>
      <c r="J4216" s="6">
        <v>1995.0</v>
      </c>
      <c r="L4216" s="6">
        <v>4.0</v>
      </c>
      <c r="M4216" s="8">
        <f t="shared" si="4"/>
        <v>0.4</v>
      </c>
      <c r="P4216" s="9"/>
    </row>
    <row r="4217">
      <c r="A4217" s="6" t="s">
        <v>9418</v>
      </c>
      <c r="B4217" s="6" t="s">
        <v>5379</v>
      </c>
      <c r="C4217" s="6" t="s">
        <v>43</v>
      </c>
      <c r="D4217" s="6" t="s">
        <v>9419</v>
      </c>
      <c r="E4217" s="6" t="s">
        <v>135</v>
      </c>
      <c r="F4217" s="6" t="s">
        <v>40</v>
      </c>
      <c r="G4217" s="7">
        <v>0.09</v>
      </c>
      <c r="H4217" s="6" t="s">
        <v>350</v>
      </c>
      <c r="I4217" s="6" t="s">
        <v>20</v>
      </c>
      <c r="J4217" s="6">
        <v>2003.0</v>
      </c>
      <c r="K4217" s="10">
        <v>46023.0</v>
      </c>
      <c r="L4217" s="6">
        <v>2.0</v>
      </c>
      <c r="M4217" s="8">
        <f t="shared" si="4"/>
        <v>0.18</v>
      </c>
      <c r="P4217" s="9"/>
    </row>
    <row r="4218">
      <c r="A4218" s="6" t="s">
        <v>3552</v>
      </c>
      <c r="B4218" s="6" t="s">
        <v>254</v>
      </c>
      <c r="C4218" s="6" t="s">
        <v>37</v>
      </c>
      <c r="D4218" s="6" t="s">
        <v>3553</v>
      </c>
      <c r="E4218" s="6" t="s">
        <v>125</v>
      </c>
      <c r="F4218" s="6" t="s">
        <v>40</v>
      </c>
      <c r="G4218" s="7">
        <v>0.25</v>
      </c>
      <c r="H4218" s="6" t="s">
        <v>324</v>
      </c>
      <c r="I4218" s="6" t="s">
        <v>20</v>
      </c>
      <c r="J4218" s="6">
        <v>1995.0</v>
      </c>
      <c r="L4218" s="6">
        <v>1.0</v>
      </c>
      <c r="M4218" s="8">
        <f t="shared" si="4"/>
        <v>0.25</v>
      </c>
      <c r="P4218" s="9"/>
    </row>
    <row r="4219">
      <c r="A4219" s="6" t="s">
        <v>9420</v>
      </c>
      <c r="B4219" s="6" t="s">
        <v>9421</v>
      </c>
      <c r="C4219" s="6" t="s">
        <v>30</v>
      </c>
      <c r="D4219" s="6" t="s">
        <v>9422</v>
      </c>
      <c r="E4219" s="6" t="s">
        <v>9423</v>
      </c>
      <c r="F4219" s="6" t="s">
        <v>40</v>
      </c>
      <c r="G4219" s="7">
        <v>0.37</v>
      </c>
      <c r="H4219" s="6" t="s">
        <v>313</v>
      </c>
      <c r="I4219" s="6" t="s">
        <v>20</v>
      </c>
      <c r="J4219" s="6">
        <v>1995.0</v>
      </c>
      <c r="K4219" s="10">
        <v>46179.0</v>
      </c>
      <c r="L4219" s="6">
        <v>1.0</v>
      </c>
      <c r="M4219" s="8">
        <f t="shared" si="4"/>
        <v>0.37</v>
      </c>
      <c r="P4219" s="9"/>
    </row>
    <row r="4220">
      <c r="A4220" s="6" t="s">
        <v>9424</v>
      </c>
      <c r="B4220" s="6" t="s">
        <v>9425</v>
      </c>
      <c r="C4220" s="6" t="s">
        <v>204</v>
      </c>
      <c r="D4220" s="6" t="s">
        <v>9426</v>
      </c>
      <c r="E4220" s="6" t="s">
        <v>554</v>
      </c>
      <c r="F4220" s="6" t="s">
        <v>40</v>
      </c>
      <c r="G4220" s="7">
        <v>0.33</v>
      </c>
      <c r="H4220" s="6" t="s">
        <v>194</v>
      </c>
      <c r="I4220" s="6" t="s">
        <v>20</v>
      </c>
      <c r="J4220" s="6">
        <v>1994.0</v>
      </c>
      <c r="K4220" s="10">
        <v>46082.0</v>
      </c>
      <c r="L4220" s="6">
        <v>1.0</v>
      </c>
      <c r="M4220" s="8">
        <f t="shared" si="4"/>
        <v>0.33</v>
      </c>
      <c r="P4220" s="9"/>
    </row>
    <row r="4221">
      <c r="A4221" s="6" t="s">
        <v>9427</v>
      </c>
      <c r="B4221" s="6" t="s">
        <v>9428</v>
      </c>
      <c r="C4221" s="6" t="s">
        <v>204</v>
      </c>
      <c r="D4221" s="6" t="s">
        <v>9429</v>
      </c>
      <c r="E4221" s="6" t="s">
        <v>39</v>
      </c>
      <c r="F4221" s="6" t="s">
        <v>40</v>
      </c>
      <c r="G4221" s="7">
        <v>4.5</v>
      </c>
      <c r="H4221" s="6" t="s">
        <v>194</v>
      </c>
      <c r="I4221" s="6" t="s">
        <v>20</v>
      </c>
      <c r="J4221" s="6">
        <v>1994.0</v>
      </c>
      <c r="K4221" s="10">
        <v>46023.0</v>
      </c>
      <c r="L4221" s="6">
        <v>1.0</v>
      </c>
      <c r="M4221" s="8">
        <f t="shared" si="4"/>
        <v>4.5</v>
      </c>
      <c r="N4221" s="6" t="s">
        <v>122</v>
      </c>
      <c r="P4221" s="9"/>
    </row>
    <row r="4222">
      <c r="A4222" s="6" t="s">
        <v>9430</v>
      </c>
      <c r="B4222" s="6" t="s">
        <v>9431</v>
      </c>
      <c r="C4222" s="6" t="s">
        <v>183</v>
      </c>
      <c r="D4222" s="6" t="s">
        <v>9432</v>
      </c>
      <c r="E4222" s="6" t="s">
        <v>135</v>
      </c>
      <c r="F4222" s="6" t="s">
        <v>40</v>
      </c>
      <c r="G4222" s="7">
        <v>0.25</v>
      </c>
      <c r="H4222" s="6" t="s">
        <v>316</v>
      </c>
      <c r="I4222" s="6" t="s">
        <v>20</v>
      </c>
      <c r="J4222" s="6">
        <v>1995.0</v>
      </c>
      <c r="K4222" s="10">
        <v>46023.0</v>
      </c>
      <c r="L4222" s="6">
        <v>2.0</v>
      </c>
      <c r="M4222" s="8">
        <f t="shared" si="4"/>
        <v>0.5</v>
      </c>
      <c r="P4222" s="9"/>
    </row>
    <row r="4223">
      <c r="A4223" s="6" t="s">
        <v>9430</v>
      </c>
      <c r="B4223" s="6" t="s">
        <v>9431</v>
      </c>
      <c r="C4223" s="6" t="s">
        <v>183</v>
      </c>
      <c r="D4223" s="6" t="s">
        <v>9432</v>
      </c>
      <c r="E4223" s="6" t="s">
        <v>135</v>
      </c>
      <c r="F4223" s="6" t="s">
        <v>40</v>
      </c>
      <c r="G4223" s="7">
        <v>0.23</v>
      </c>
      <c r="H4223" s="6" t="s">
        <v>324</v>
      </c>
      <c r="I4223" s="6" t="s">
        <v>20</v>
      </c>
      <c r="J4223" s="6">
        <v>1995.0</v>
      </c>
      <c r="K4223" s="10">
        <v>46023.0</v>
      </c>
      <c r="L4223" s="6">
        <v>2.0</v>
      </c>
      <c r="M4223" s="8">
        <f t="shared" si="4"/>
        <v>0.46</v>
      </c>
      <c r="P4223" s="9"/>
    </row>
    <row r="4224">
      <c r="A4224" s="6" t="s">
        <v>9433</v>
      </c>
      <c r="B4224" s="6" t="s">
        <v>9434</v>
      </c>
      <c r="C4224" s="6" t="s">
        <v>204</v>
      </c>
      <c r="D4224" s="6" t="s">
        <v>9435</v>
      </c>
      <c r="E4224" s="6" t="s">
        <v>125</v>
      </c>
      <c r="F4224" s="6" t="s">
        <v>40</v>
      </c>
      <c r="G4224" s="7">
        <v>0.24</v>
      </c>
      <c r="H4224" s="6" t="s">
        <v>194</v>
      </c>
      <c r="I4224" s="6" t="s">
        <v>20</v>
      </c>
      <c r="J4224" s="6">
        <v>1994.0</v>
      </c>
      <c r="K4224" s="6" t="s">
        <v>233</v>
      </c>
      <c r="L4224" s="6">
        <v>1.0</v>
      </c>
      <c r="M4224" s="8">
        <f t="shared" si="4"/>
        <v>0.24</v>
      </c>
      <c r="P4224" s="9"/>
    </row>
    <row r="4225">
      <c r="A4225" s="6" t="s">
        <v>9436</v>
      </c>
      <c r="B4225" s="6" t="s">
        <v>9437</v>
      </c>
      <c r="C4225" s="6" t="s">
        <v>204</v>
      </c>
      <c r="D4225" s="6" t="s">
        <v>9438</v>
      </c>
      <c r="E4225" s="6" t="s">
        <v>135</v>
      </c>
      <c r="F4225" s="6" t="s">
        <v>40</v>
      </c>
      <c r="G4225" s="7">
        <v>0.25</v>
      </c>
      <c r="H4225" s="6" t="s">
        <v>316</v>
      </c>
      <c r="I4225" s="6" t="s">
        <v>20</v>
      </c>
      <c r="J4225" s="6">
        <v>1995.0</v>
      </c>
      <c r="K4225" s="10">
        <v>46023.0</v>
      </c>
      <c r="L4225" s="6">
        <v>6.0</v>
      </c>
      <c r="M4225" s="8">
        <f t="shared" si="4"/>
        <v>1.5</v>
      </c>
      <c r="P4225" s="9"/>
    </row>
    <row r="4226">
      <c r="A4226" s="6" t="s">
        <v>9436</v>
      </c>
      <c r="B4226" s="6" t="s">
        <v>9437</v>
      </c>
      <c r="C4226" s="6" t="s">
        <v>204</v>
      </c>
      <c r="D4226" s="6" t="s">
        <v>9438</v>
      </c>
      <c r="E4226" s="6" t="s">
        <v>135</v>
      </c>
      <c r="F4226" s="6" t="s">
        <v>40</v>
      </c>
      <c r="G4226" s="7">
        <v>0.07</v>
      </c>
      <c r="H4226" s="6" t="s">
        <v>324</v>
      </c>
      <c r="I4226" s="6" t="s">
        <v>20</v>
      </c>
      <c r="J4226" s="6">
        <v>1995.0</v>
      </c>
      <c r="K4226" s="10">
        <v>46023.0</v>
      </c>
      <c r="L4226" s="6">
        <v>2.0</v>
      </c>
      <c r="M4226" s="8">
        <f t="shared" si="4"/>
        <v>0.14</v>
      </c>
      <c r="P4226" s="9"/>
    </row>
    <row r="4227">
      <c r="A4227" s="6" t="s">
        <v>9439</v>
      </c>
      <c r="B4227" s="6" t="s">
        <v>9428</v>
      </c>
      <c r="C4227" s="6" t="s">
        <v>204</v>
      </c>
      <c r="D4227" s="6" t="s">
        <v>9440</v>
      </c>
      <c r="E4227" s="6" t="s">
        <v>125</v>
      </c>
      <c r="F4227" s="6" t="s">
        <v>40</v>
      </c>
      <c r="G4227" s="7">
        <v>0.18</v>
      </c>
      <c r="H4227" s="6" t="s">
        <v>194</v>
      </c>
      <c r="I4227" s="6" t="s">
        <v>20</v>
      </c>
      <c r="J4227" s="6">
        <v>1994.0</v>
      </c>
      <c r="K4227" s="10">
        <v>46023.0</v>
      </c>
      <c r="L4227" s="6">
        <v>1.0</v>
      </c>
      <c r="M4227" s="8">
        <f t="shared" si="4"/>
        <v>0.18</v>
      </c>
      <c r="P4227" s="9"/>
    </row>
    <row r="4228">
      <c r="A4228" s="6" t="s">
        <v>9441</v>
      </c>
      <c r="B4228" s="6" t="s">
        <v>9442</v>
      </c>
      <c r="C4228" s="6" t="s">
        <v>204</v>
      </c>
      <c r="D4228" s="6" t="s">
        <v>9443</v>
      </c>
      <c r="E4228" s="6" t="s">
        <v>135</v>
      </c>
      <c r="F4228" s="6" t="s">
        <v>40</v>
      </c>
      <c r="G4228" s="7">
        <v>0.2</v>
      </c>
      <c r="H4228" s="6" t="s">
        <v>316</v>
      </c>
      <c r="I4228" s="6" t="s">
        <v>20</v>
      </c>
      <c r="J4228" s="6">
        <v>1995.0</v>
      </c>
      <c r="K4228" s="10">
        <v>46023.0</v>
      </c>
      <c r="L4228" s="6">
        <v>3.0</v>
      </c>
      <c r="M4228" s="8">
        <f t="shared" si="4"/>
        <v>0.6</v>
      </c>
      <c r="P4228" s="9"/>
    </row>
    <row r="4229">
      <c r="A4229" s="6" t="s">
        <v>9441</v>
      </c>
      <c r="B4229" s="6" t="s">
        <v>9442</v>
      </c>
      <c r="C4229" s="6" t="s">
        <v>204</v>
      </c>
      <c r="D4229" s="6" t="s">
        <v>9443</v>
      </c>
      <c r="E4229" s="6" t="s">
        <v>135</v>
      </c>
      <c r="F4229" s="6" t="s">
        <v>40</v>
      </c>
      <c r="G4229" s="7">
        <v>0.07</v>
      </c>
      <c r="H4229" s="6" t="s">
        <v>324</v>
      </c>
      <c r="I4229" s="6" t="s">
        <v>20</v>
      </c>
      <c r="J4229" s="6">
        <v>1995.0</v>
      </c>
      <c r="K4229" s="10">
        <v>46023.0</v>
      </c>
      <c r="L4229" s="6">
        <v>5.0</v>
      </c>
      <c r="M4229" s="8">
        <f t="shared" si="4"/>
        <v>0.35</v>
      </c>
      <c r="P4229" s="9"/>
    </row>
    <row r="4230">
      <c r="A4230" s="6" t="s">
        <v>9444</v>
      </c>
      <c r="B4230" s="6" t="s">
        <v>9445</v>
      </c>
      <c r="C4230" s="6" t="s">
        <v>43</v>
      </c>
      <c r="D4230" s="6" t="s">
        <v>9446</v>
      </c>
      <c r="E4230" s="6" t="s">
        <v>57</v>
      </c>
      <c r="F4230" s="6" t="s">
        <v>40</v>
      </c>
      <c r="G4230" s="7">
        <v>0.24</v>
      </c>
      <c r="H4230" s="6" t="s">
        <v>194</v>
      </c>
      <c r="I4230" s="6" t="s">
        <v>20</v>
      </c>
      <c r="J4230" s="6">
        <v>1994.0</v>
      </c>
      <c r="K4230" s="6" t="s">
        <v>233</v>
      </c>
      <c r="L4230" s="6">
        <v>1.0</v>
      </c>
      <c r="M4230" s="8">
        <f t="shared" si="4"/>
        <v>0.24</v>
      </c>
      <c r="P4230" s="9"/>
    </row>
    <row r="4231">
      <c r="A4231" s="6" t="s">
        <v>9444</v>
      </c>
      <c r="B4231" s="6" t="s">
        <v>9445</v>
      </c>
      <c r="C4231" s="6" t="s">
        <v>43</v>
      </c>
      <c r="D4231" s="6" t="s">
        <v>9446</v>
      </c>
      <c r="E4231" s="6" t="s">
        <v>57</v>
      </c>
      <c r="F4231" s="6" t="s">
        <v>40</v>
      </c>
      <c r="G4231" s="7">
        <v>0.23</v>
      </c>
      <c r="H4231" s="6" t="s">
        <v>194</v>
      </c>
      <c r="I4231" s="6" t="s">
        <v>20</v>
      </c>
      <c r="J4231" s="6">
        <v>1994.0</v>
      </c>
      <c r="K4231" s="6" t="s">
        <v>233</v>
      </c>
      <c r="L4231" s="6">
        <v>1.0</v>
      </c>
      <c r="M4231" s="8">
        <f t="shared" si="4"/>
        <v>0.23</v>
      </c>
      <c r="P4231" s="9"/>
    </row>
    <row r="4232">
      <c r="A4232" s="6" t="s">
        <v>9447</v>
      </c>
      <c r="B4232" s="6" t="s">
        <v>1438</v>
      </c>
      <c r="C4232" s="6" t="s">
        <v>43</v>
      </c>
      <c r="D4232" s="6" t="s">
        <v>9448</v>
      </c>
      <c r="E4232" s="6" t="s">
        <v>554</v>
      </c>
      <c r="F4232" s="6" t="s">
        <v>40</v>
      </c>
      <c r="G4232" s="7">
        <v>0.2</v>
      </c>
      <c r="H4232" s="6" t="s">
        <v>194</v>
      </c>
      <c r="I4232" s="6" t="s">
        <v>20</v>
      </c>
      <c r="J4232" s="6">
        <v>1994.0</v>
      </c>
      <c r="K4232" s="10">
        <v>46055.0</v>
      </c>
      <c r="L4232" s="6">
        <v>1.0</v>
      </c>
      <c r="M4232" s="8">
        <f t="shared" si="4"/>
        <v>0.2</v>
      </c>
      <c r="P4232" s="9"/>
    </row>
    <row r="4233">
      <c r="A4233" s="6" t="s">
        <v>9439</v>
      </c>
      <c r="B4233" s="6" t="s">
        <v>9428</v>
      </c>
      <c r="C4233" s="6" t="s">
        <v>204</v>
      </c>
      <c r="D4233" s="6" t="s">
        <v>9440</v>
      </c>
      <c r="E4233" s="6" t="s">
        <v>125</v>
      </c>
      <c r="F4233" s="6" t="s">
        <v>40</v>
      </c>
      <c r="G4233" s="7">
        <v>0.1</v>
      </c>
      <c r="H4233" s="6" t="s">
        <v>194</v>
      </c>
      <c r="I4233" s="6" t="s">
        <v>20</v>
      </c>
      <c r="J4233" s="6">
        <v>1994.0</v>
      </c>
      <c r="K4233" s="10">
        <v>46023.0</v>
      </c>
      <c r="L4233" s="6">
        <v>1.0</v>
      </c>
      <c r="M4233" s="8">
        <f t="shared" si="4"/>
        <v>0.1</v>
      </c>
      <c r="P4233" s="9"/>
    </row>
    <row r="4234">
      <c r="A4234" s="6" t="s">
        <v>9444</v>
      </c>
      <c r="B4234" s="6" t="s">
        <v>9445</v>
      </c>
      <c r="C4234" s="6" t="s">
        <v>43</v>
      </c>
      <c r="D4234" s="6" t="s">
        <v>9446</v>
      </c>
      <c r="E4234" s="6" t="s">
        <v>57</v>
      </c>
      <c r="F4234" s="6" t="s">
        <v>40</v>
      </c>
      <c r="G4234" s="7">
        <v>0.15</v>
      </c>
      <c r="H4234" s="6" t="s">
        <v>194</v>
      </c>
      <c r="I4234" s="6" t="s">
        <v>20</v>
      </c>
      <c r="J4234" s="6">
        <v>1994.0</v>
      </c>
      <c r="K4234" s="6" t="s">
        <v>233</v>
      </c>
      <c r="L4234" s="6">
        <v>2.0</v>
      </c>
      <c r="M4234" s="8">
        <f t="shared" si="4"/>
        <v>0.3</v>
      </c>
      <c r="P4234" s="9"/>
    </row>
    <row r="4235">
      <c r="A4235" s="6" t="s">
        <v>9444</v>
      </c>
      <c r="B4235" s="6" t="s">
        <v>9445</v>
      </c>
      <c r="C4235" s="6" t="s">
        <v>43</v>
      </c>
      <c r="D4235" s="6" t="s">
        <v>9446</v>
      </c>
      <c r="E4235" s="6" t="s">
        <v>57</v>
      </c>
      <c r="F4235" s="6" t="s">
        <v>40</v>
      </c>
      <c r="G4235" s="7">
        <v>0.25</v>
      </c>
      <c r="H4235" s="6" t="s">
        <v>194</v>
      </c>
      <c r="I4235" s="6" t="s">
        <v>20</v>
      </c>
      <c r="J4235" s="6">
        <v>1994.0</v>
      </c>
      <c r="K4235" s="6" t="s">
        <v>233</v>
      </c>
      <c r="L4235" s="6">
        <v>1.0</v>
      </c>
      <c r="M4235" s="8">
        <f t="shared" si="4"/>
        <v>0.25</v>
      </c>
      <c r="P4235" s="9"/>
    </row>
    <row r="4236">
      <c r="A4236" s="6" t="s">
        <v>9449</v>
      </c>
      <c r="B4236" s="6" t="s">
        <v>545</v>
      </c>
      <c r="C4236" s="6" t="s">
        <v>37</v>
      </c>
      <c r="D4236" s="6" t="s">
        <v>9450</v>
      </c>
      <c r="E4236" s="6" t="s">
        <v>420</v>
      </c>
      <c r="F4236" s="6" t="s">
        <v>40</v>
      </c>
      <c r="G4236" s="7">
        <v>0.23</v>
      </c>
      <c r="H4236" s="6" t="s">
        <v>194</v>
      </c>
      <c r="I4236" s="6" t="s">
        <v>20</v>
      </c>
      <c r="J4236" s="6">
        <v>1994.0</v>
      </c>
      <c r="K4236" s="10">
        <v>46114.0</v>
      </c>
      <c r="L4236" s="6">
        <v>2.0</v>
      </c>
      <c r="M4236" s="8">
        <f t="shared" si="4"/>
        <v>0.46</v>
      </c>
      <c r="P4236" s="9"/>
    </row>
    <row r="4237">
      <c r="A4237" s="6" t="s">
        <v>54</v>
      </c>
      <c r="B4237" s="6" t="s">
        <v>929</v>
      </c>
      <c r="C4237" s="6" t="s">
        <v>43</v>
      </c>
      <c r="D4237" s="6" t="s">
        <v>9451</v>
      </c>
      <c r="E4237" s="6" t="s">
        <v>57</v>
      </c>
      <c r="F4237" s="6" t="s">
        <v>40</v>
      </c>
      <c r="G4237" s="7">
        <v>0.05</v>
      </c>
      <c r="H4237" s="6" t="s">
        <v>58</v>
      </c>
      <c r="I4237" s="6" t="s">
        <v>20</v>
      </c>
      <c r="J4237" s="6">
        <v>1995.0</v>
      </c>
      <c r="K4237" s="10">
        <v>46082.0</v>
      </c>
      <c r="L4237" s="6">
        <v>2.0</v>
      </c>
      <c r="M4237" s="8">
        <f t="shared" si="4"/>
        <v>0.1</v>
      </c>
      <c r="P4237" s="9"/>
    </row>
    <row r="4238">
      <c r="A4238" s="6" t="s">
        <v>9452</v>
      </c>
      <c r="B4238" s="6" t="s">
        <v>292</v>
      </c>
      <c r="C4238" s="6" t="s">
        <v>204</v>
      </c>
      <c r="D4238" s="6" t="s">
        <v>9453</v>
      </c>
      <c r="E4238" s="6" t="s">
        <v>9454</v>
      </c>
      <c r="F4238" s="6" t="s">
        <v>40</v>
      </c>
      <c r="G4238" s="7">
        <v>0.13</v>
      </c>
      <c r="H4238" s="6" t="s">
        <v>316</v>
      </c>
      <c r="I4238" s="6" t="s">
        <v>20</v>
      </c>
      <c r="J4238" s="6">
        <v>1995.0</v>
      </c>
      <c r="L4238" s="6">
        <v>1.0</v>
      </c>
      <c r="M4238" s="8">
        <f t="shared" si="4"/>
        <v>0.13</v>
      </c>
      <c r="P4238" s="9"/>
    </row>
    <row r="4239">
      <c r="A4239" s="6" t="s">
        <v>9452</v>
      </c>
      <c r="B4239" s="6" t="s">
        <v>292</v>
      </c>
      <c r="C4239" s="6" t="s">
        <v>204</v>
      </c>
      <c r="D4239" s="6" t="s">
        <v>9453</v>
      </c>
      <c r="E4239" s="6" t="s">
        <v>9454</v>
      </c>
      <c r="F4239" s="6" t="s">
        <v>40</v>
      </c>
      <c r="G4239" s="7">
        <v>0.09</v>
      </c>
      <c r="H4239" s="6" t="s">
        <v>324</v>
      </c>
      <c r="I4239" s="6" t="s">
        <v>20</v>
      </c>
      <c r="J4239" s="6">
        <v>1995.0</v>
      </c>
      <c r="L4239" s="6">
        <v>2.0</v>
      </c>
      <c r="M4239" s="8">
        <f t="shared" si="4"/>
        <v>0.18</v>
      </c>
      <c r="P4239" s="9"/>
    </row>
    <row r="4240">
      <c r="A4240" s="6" t="s">
        <v>9455</v>
      </c>
      <c r="B4240" s="6" t="s">
        <v>292</v>
      </c>
      <c r="C4240" s="6" t="s">
        <v>204</v>
      </c>
      <c r="D4240" s="6" t="s">
        <v>9456</v>
      </c>
      <c r="E4240" s="6" t="s">
        <v>125</v>
      </c>
      <c r="F4240" s="6" t="s">
        <v>40</v>
      </c>
      <c r="G4240" s="7">
        <v>0.17</v>
      </c>
      <c r="H4240" s="6" t="s">
        <v>316</v>
      </c>
      <c r="I4240" s="6" t="s">
        <v>20</v>
      </c>
      <c r="J4240" s="6">
        <v>1995.0</v>
      </c>
      <c r="L4240" s="6">
        <v>3.0</v>
      </c>
      <c r="M4240" s="8">
        <f t="shared" si="4"/>
        <v>0.51</v>
      </c>
      <c r="P4240" s="9"/>
    </row>
    <row r="4241">
      <c r="A4241" s="6" t="s">
        <v>9455</v>
      </c>
      <c r="B4241" s="6" t="s">
        <v>292</v>
      </c>
      <c r="C4241" s="6" t="s">
        <v>204</v>
      </c>
      <c r="D4241" s="6" t="s">
        <v>9456</v>
      </c>
      <c r="E4241" s="6" t="s">
        <v>125</v>
      </c>
      <c r="F4241" s="6" t="s">
        <v>40</v>
      </c>
      <c r="G4241" s="7">
        <v>0.04</v>
      </c>
      <c r="H4241" s="6" t="s">
        <v>324</v>
      </c>
      <c r="I4241" s="6" t="s">
        <v>20</v>
      </c>
      <c r="J4241" s="6">
        <v>1995.0</v>
      </c>
      <c r="L4241" s="6">
        <v>5.0</v>
      </c>
      <c r="M4241" s="8">
        <f t="shared" si="4"/>
        <v>0.2</v>
      </c>
      <c r="P4241" s="9"/>
    </row>
    <row r="4242">
      <c r="A4242" s="6" t="s">
        <v>9457</v>
      </c>
      <c r="B4242" s="6" t="s">
        <v>929</v>
      </c>
      <c r="C4242" s="6" t="s">
        <v>43</v>
      </c>
      <c r="E4242" s="6" t="s">
        <v>554</v>
      </c>
      <c r="F4242" s="6" t="s">
        <v>40</v>
      </c>
      <c r="G4242" s="7">
        <v>0.09</v>
      </c>
      <c r="H4242" s="6" t="s">
        <v>3245</v>
      </c>
      <c r="I4242" s="6" t="s">
        <v>20</v>
      </c>
      <c r="J4242" s="6">
        <v>1994.0</v>
      </c>
      <c r="K4242" s="10">
        <v>46083.0</v>
      </c>
      <c r="L4242" s="6">
        <v>4.0</v>
      </c>
      <c r="M4242" s="8">
        <f t="shared" si="4"/>
        <v>0.36</v>
      </c>
      <c r="P4242" s="9"/>
    </row>
    <row r="4243">
      <c r="A4243" s="6" t="s">
        <v>9458</v>
      </c>
      <c r="B4243" s="6" t="s">
        <v>9459</v>
      </c>
      <c r="C4243" s="6" t="s">
        <v>61</v>
      </c>
      <c r="D4243" s="6" t="s">
        <v>9460</v>
      </c>
      <c r="E4243" s="6" t="s">
        <v>414</v>
      </c>
      <c r="F4243" s="6" t="s">
        <v>40</v>
      </c>
      <c r="G4243" s="7">
        <v>0.61</v>
      </c>
      <c r="H4243" s="6" t="s">
        <v>58</v>
      </c>
      <c r="I4243" s="6" t="s">
        <v>20</v>
      </c>
      <c r="J4243" s="6">
        <v>1995.0</v>
      </c>
      <c r="K4243" s="10">
        <v>46120.0</v>
      </c>
      <c r="L4243" s="6">
        <v>1.0</v>
      </c>
      <c r="M4243" s="8">
        <f t="shared" si="4"/>
        <v>0.61</v>
      </c>
      <c r="P4243" s="9"/>
    </row>
    <row r="4244">
      <c r="A4244" s="6" t="s">
        <v>9461</v>
      </c>
      <c r="B4244" s="6" t="s">
        <v>9462</v>
      </c>
      <c r="C4244" s="6" t="s">
        <v>43</v>
      </c>
      <c r="D4244" s="6" t="s">
        <v>9463</v>
      </c>
      <c r="E4244" s="6" t="s">
        <v>57</v>
      </c>
      <c r="F4244" s="6" t="s">
        <v>40</v>
      </c>
      <c r="G4244" s="7">
        <v>0.09</v>
      </c>
      <c r="H4244" s="6" t="s">
        <v>631</v>
      </c>
      <c r="I4244" s="6" t="s">
        <v>20</v>
      </c>
      <c r="J4244" s="6">
        <v>1995.0</v>
      </c>
      <c r="K4244" s="10">
        <v>46054.0</v>
      </c>
      <c r="L4244" s="6">
        <v>2.0</v>
      </c>
      <c r="M4244" s="8">
        <f t="shared" si="4"/>
        <v>0.18</v>
      </c>
      <c r="P4244" s="9"/>
    </row>
    <row r="4245">
      <c r="A4245" s="6" t="s">
        <v>9464</v>
      </c>
      <c r="B4245" s="6" t="s">
        <v>1438</v>
      </c>
      <c r="C4245" s="6" t="s">
        <v>30</v>
      </c>
      <c r="D4245" s="6" t="s">
        <v>9465</v>
      </c>
      <c r="E4245" s="6" t="s">
        <v>2030</v>
      </c>
      <c r="F4245" s="6" t="s">
        <v>40</v>
      </c>
      <c r="G4245" s="7">
        <v>2.0</v>
      </c>
      <c r="H4245" s="6" t="s">
        <v>453</v>
      </c>
      <c r="I4245" s="6" t="s">
        <v>20</v>
      </c>
      <c r="J4245" s="6">
        <v>1994.0</v>
      </c>
      <c r="K4245" s="10">
        <v>46144.0</v>
      </c>
      <c r="L4245" s="6">
        <v>1.0</v>
      </c>
      <c r="M4245" s="8">
        <f t="shared" si="4"/>
        <v>2</v>
      </c>
      <c r="N4245" s="6" t="s">
        <v>122</v>
      </c>
      <c r="P4245" s="9"/>
    </row>
    <row r="4246">
      <c r="A4246" s="6" t="s">
        <v>9466</v>
      </c>
      <c r="B4246" s="6" t="s">
        <v>9467</v>
      </c>
      <c r="C4246" s="6" t="s">
        <v>43</v>
      </c>
      <c r="D4246" s="6" t="s">
        <v>9468</v>
      </c>
      <c r="E4246" s="6" t="s">
        <v>135</v>
      </c>
      <c r="F4246" s="6" t="s">
        <v>40</v>
      </c>
      <c r="G4246" s="7">
        <v>0.21</v>
      </c>
      <c r="H4246" s="6" t="s">
        <v>453</v>
      </c>
      <c r="I4246" s="6" t="s">
        <v>20</v>
      </c>
      <c r="J4246" s="6">
        <v>1994.0</v>
      </c>
      <c r="K4246" s="10">
        <v>46023.0</v>
      </c>
      <c r="L4246" s="6">
        <v>1.0</v>
      </c>
      <c r="M4246" s="8">
        <f t="shared" si="4"/>
        <v>0.21</v>
      </c>
      <c r="P4246" s="9"/>
    </row>
    <row r="4247">
      <c r="A4247" s="6" t="s">
        <v>9469</v>
      </c>
      <c r="B4247" s="6" t="s">
        <v>102</v>
      </c>
      <c r="C4247" s="6" t="s">
        <v>37</v>
      </c>
      <c r="D4247" s="6" t="s">
        <v>9470</v>
      </c>
      <c r="E4247" s="6" t="s">
        <v>1448</v>
      </c>
      <c r="F4247" s="6" t="s">
        <v>40</v>
      </c>
      <c r="G4247" s="7">
        <v>0.9</v>
      </c>
      <c r="H4247" s="6" t="s">
        <v>453</v>
      </c>
      <c r="I4247" s="6" t="s">
        <v>20</v>
      </c>
      <c r="J4247" s="6">
        <v>1994.0</v>
      </c>
      <c r="K4247" s="10">
        <v>46055.0</v>
      </c>
      <c r="L4247" s="6">
        <v>1.0</v>
      </c>
      <c r="M4247" s="8">
        <f t="shared" si="4"/>
        <v>0.9</v>
      </c>
      <c r="P4247" s="9"/>
    </row>
    <row r="4248">
      <c r="A4248" s="6" t="s">
        <v>9471</v>
      </c>
      <c r="B4248" s="6" t="s">
        <v>9472</v>
      </c>
      <c r="C4248" s="6" t="s">
        <v>183</v>
      </c>
      <c r="D4248" s="6" t="s">
        <v>9473</v>
      </c>
      <c r="E4248" s="6" t="s">
        <v>2030</v>
      </c>
      <c r="F4248" s="6" t="s">
        <v>40</v>
      </c>
      <c r="G4248" s="7">
        <v>10.95</v>
      </c>
      <c r="H4248" s="6" t="s">
        <v>453</v>
      </c>
      <c r="I4248" s="6" t="s">
        <v>20</v>
      </c>
      <c r="J4248" s="6">
        <v>1994.0</v>
      </c>
      <c r="K4248" s="10">
        <v>46116.0</v>
      </c>
      <c r="L4248" s="6">
        <v>1.0</v>
      </c>
      <c r="M4248" s="8">
        <f t="shared" si="4"/>
        <v>10.95</v>
      </c>
      <c r="N4248" s="6" t="s">
        <v>122</v>
      </c>
      <c r="P4248" s="9"/>
    </row>
    <row r="4249">
      <c r="A4249" s="6" t="s">
        <v>9474</v>
      </c>
      <c r="B4249" s="6" t="s">
        <v>146</v>
      </c>
      <c r="C4249" s="6" t="s">
        <v>43</v>
      </c>
      <c r="D4249" s="6" t="s">
        <v>9475</v>
      </c>
      <c r="E4249" s="6" t="s">
        <v>135</v>
      </c>
      <c r="F4249" s="6" t="s">
        <v>40</v>
      </c>
      <c r="G4249" s="7">
        <v>0.29</v>
      </c>
      <c r="H4249" s="6" t="s">
        <v>453</v>
      </c>
      <c r="I4249" s="6" t="s">
        <v>20</v>
      </c>
      <c r="J4249" s="6">
        <v>1994.0</v>
      </c>
      <c r="L4249" s="6">
        <v>1.0</v>
      </c>
      <c r="M4249" s="8">
        <f t="shared" si="4"/>
        <v>0.29</v>
      </c>
      <c r="P4249" s="9"/>
    </row>
    <row r="4250">
      <c r="A4250" s="6" t="s">
        <v>1607</v>
      </c>
      <c r="B4250" s="6" t="s">
        <v>146</v>
      </c>
      <c r="C4250" s="6" t="s">
        <v>43</v>
      </c>
      <c r="D4250" s="6" t="s">
        <v>9476</v>
      </c>
      <c r="E4250" s="6" t="s">
        <v>135</v>
      </c>
      <c r="F4250" s="6" t="s">
        <v>40</v>
      </c>
      <c r="G4250" s="7">
        <v>0.34</v>
      </c>
      <c r="H4250" s="6" t="s">
        <v>453</v>
      </c>
      <c r="I4250" s="6" t="s">
        <v>20</v>
      </c>
      <c r="J4250" s="6">
        <v>1994.0</v>
      </c>
      <c r="L4250" s="6">
        <v>1.0</v>
      </c>
      <c r="M4250" s="8">
        <f t="shared" si="4"/>
        <v>0.34</v>
      </c>
      <c r="P4250" s="9"/>
    </row>
    <row r="4251">
      <c r="A4251" s="6" t="s">
        <v>9420</v>
      </c>
      <c r="B4251" s="6" t="s">
        <v>9421</v>
      </c>
      <c r="C4251" s="6" t="s">
        <v>30</v>
      </c>
      <c r="D4251" s="6" t="s">
        <v>9422</v>
      </c>
      <c r="E4251" s="6" t="s">
        <v>9423</v>
      </c>
      <c r="F4251" s="6" t="s">
        <v>40</v>
      </c>
      <c r="G4251" s="7">
        <v>1.95</v>
      </c>
      <c r="H4251" s="6" t="s">
        <v>453</v>
      </c>
      <c r="I4251" s="6" t="s">
        <v>20</v>
      </c>
      <c r="J4251" s="6">
        <v>1994.0</v>
      </c>
      <c r="K4251" s="10">
        <v>46179.0</v>
      </c>
      <c r="L4251" s="6">
        <v>1.0</v>
      </c>
      <c r="M4251" s="8">
        <f t="shared" si="4"/>
        <v>1.95</v>
      </c>
      <c r="N4251" s="6" t="s">
        <v>122</v>
      </c>
      <c r="P4251" s="9"/>
    </row>
    <row r="4252">
      <c r="A4252" s="6" t="s">
        <v>9477</v>
      </c>
      <c r="B4252" s="6" t="s">
        <v>254</v>
      </c>
      <c r="C4252" s="6" t="s">
        <v>37</v>
      </c>
      <c r="D4252" s="6" t="s">
        <v>9478</v>
      </c>
      <c r="E4252" s="6" t="s">
        <v>125</v>
      </c>
      <c r="F4252" s="6" t="s">
        <v>40</v>
      </c>
      <c r="G4252" s="7">
        <v>0.3</v>
      </c>
      <c r="H4252" s="6" t="s">
        <v>453</v>
      </c>
      <c r="I4252" s="6" t="s">
        <v>20</v>
      </c>
      <c r="J4252" s="6">
        <v>1994.0</v>
      </c>
      <c r="L4252" s="6">
        <v>1.0</v>
      </c>
      <c r="M4252" s="8">
        <f t="shared" si="4"/>
        <v>0.3</v>
      </c>
      <c r="P4252" s="9"/>
    </row>
    <row r="4253">
      <c r="A4253" s="6" t="s">
        <v>9009</v>
      </c>
      <c r="B4253" s="6" t="s">
        <v>254</v>
      </c>
      <c r="C4253" s="6" t="s">
        <v>37</v>
      </c>
      <c r="D4253" s="6" t="s">
        <v>9010</v>
      </c>
      <c r="E4253" s="6" t="s">
        <v>125</v>
      </c>
      <c r="F4253" s="6" t="s">
        <v>40</v>
      </c>
      <c r="G4253" s="7">
        <v>0.59</v>
      </c>
      <c r="H4253" s="6" t="s">
        <v>453</v>
      </c>
      <c r="I4253" s="6" t="s">
        <v>20</v>
      </c>
      <c r="J4253" s="6">
        <v>1994.0</v>
      </c>
      <c r="L4253" s="6">
        <v>1.0</v>
      </c>
      <c r="M4253" s="8">
        <f t="shared" si="4"/>
        <v>0.59</v>
      </c>
      <c r="P4253" s="9"/>
    </row>
    <row r="4254">
      <c r="A4254" s="6" t="s">
        <v>9479</v>
      </c>
      <c r="B4254" s="6" t="s">
        <v>138</v>
      </c>
      <c r="C4254" s="6" t="s">
        <v>43</v>
      </c>
      <c r="D4254" s="6" t="s">
        <v>9480</v>
      </c>
      <c r="E4254" s="6" t="s">
        <v>9481</v>
      </c>
      <c r="F4254" s="6" t="s">
        <v>40</v>
      </c>
      <c r="G4254" s="7">
        <v>0.15</v>
      </c>
      <c r="H4254" s="6" t="s">
        <v>453</v>
      </c>
      <c r="I4254" s="6" t="s">
        <v>20</v>
      </c>
      <c r="J4254" s="6">
        <v>1994.0</v>
      </c>
      <c r="L4254" s="6">
        <v>2.0</v>
      </c>
      <c r="M4254" s="8">
        <f t="shared" si="4"/>
        <v>0.3</v>
      </c>
      <c r="P4254" s="9"/>
    </row>
    <row r="4255">
      <c r="A4255" s="6" t="s">
        <v>9482</v>
      </c>
      <c r="B4255" s="6" t="s">
        <v>440</v>
      </c>
      <c r="C4255" s="6" t="s">
        <v>37</v>
      </c>
      <c r="D4255" s="6" t="s">
        <v>9483</v>
      </c>
      <c r="E4255" s="6" t="s">
        <v>39</v>
      </c>
      <c r="F4255" s="6" t="s">
        <v>40</v>
      </c>
      <c r="G4255" s="7">
        <v>0.2</v>
      </c>
      <c r="H4255" s="6" t="s">
        <v>453</v>
      </c>
      <c r="I4255" s="6" t="s">
        <v>20</v>
      </c>
      <c r="J4255" s="6">
        <v>1994.0</v>
      </c>
      <c r="L4255" s="6">
        <v>1.0</v>
      </c>
      <c r="M4255" s="8">
        <f t="shared" si="4"/>
        <v>0.2</v>
      </c>
      <c r="P4255" s="9"/>
    </row>
    <row r="4256">
      <c r="A4256" s="6" t="s">
        <v>9484</v>
      </c>
      <c r="B4256" s="6" t="s">
        <v>494</v>
      </c>
      <c r="C4256" s="6" t="s">
        <v>43</v>
      </c>
      <c r="D4256" s="6" t="s">
        <v>9485</v>
      </c>
      <c r="E4256" s="6" t="s">
        <v>125</v>
      </c>
      <c r="F4256" s="6" t="s">
        <v>40</v>
      </c>
      <c r="G4256" s="7">
        <v>0.25</v>
      </c>
      <c r="H4256" s="6" t="s">
        <v>453</v>
      </c>
      <c r="I4256" s="6" t="s">
        <v>20</v>
      </c>
      <c r="J4256" s="6">
        <v>1994.0</v>
      </c>
      <c r="L4256" s="6">
        <v>1.0</v>
      </c>
      <c r="M4256" s="8">
        <f t="shared" si="4"/>
        <v>0.25</v>
      </c>
      <c r="P4256" s="9"/>
    </row>
    <row r="4257">
      <c r="A4257" s="6" t="s">
        <v>3791</v>
      </c>
      <c r="B4257" s="6" t="s">
        <v>254</v>
      </c>
      <c r="C4257" s="6" t="s">
        <v>43</v>
      </c>
      <c r="D4257" s="6" t="s">
        <v>9486</v>
      </c>
      <c r="E4257" s="6" t="s">
        <v>125</v>
      </c>
      <c r="F4257" s="6" t="s">
        <v>40</v>
      </c>
      <c r="G4257" s="7">
        <v>0.15</v>
      </c>
      <c r="H4257" s="6" t="s">
        <v>453</v>
      </c>
      <c r="I4257" s="6" t="s">
        <v>20</v>
      </c>
      <c r="J4257" s="6">
        <v>1994.0</v>
      </c>
      <c r="L4257" s="6">
        <v>1.0</v>
      </c>
      <c r="M4257" s="8">
        <f t="shared" si="4"/>
        <v>0.15</v>
      </c>
      <c r="P4257" s="9"/>
    </row>
    <row r="4258">
      <c r="A4258" s="6" t="s">
        <v>9487</v>
      </c>
      <c r="B4258" s="6" t="s">
        <v>1794</v>
      </c>
      <c r="C4258" s="6" t="s">
        <v>204</v>
      </c>
      <c r="D4258" s="6" t="s">
        <v>9488</v>
      </c>
      <c r="E4258" s="6" t="s">
        <v>125</v>
      </c>
      <c r="F4258" s="6" t="s">
        <v>40</v>
      </c>
      <c r="G4258" s="7">
        <v>0.2</v>
      </c>
      <c r="H4258" s="6" t="s">
        <v>316</v>
      </c>
      <c r="I4258" s="6" t="s">
        <v>20</v>
      </c>
      <c r="J4258" s="6">
        <v>1995.0</v>
      </c>
      <c r="L4258" s="6">
        <v>5.0</v>
      </c>
      <c r="M4258" s="8">
        <f t="shared" si="4"/>
        <v>1</v>
      </c>
      <c r="P4258" s="9"/>
    </row>
    <row r="4259">
      <c r="A4259" s="6" t="s">
        <v>9487</v>
      </c>
      <c r="B4259" s="6" t="s">
        <v>1794</v>
      </c>
      <c r="C4259" s="6" t="s">
        <v>204</v>
      </c>
      <c r="D4259" s="6" t="s">
        <v>9488</v>
      </c>
      <c r="E4259" s="6" t="s">
        <v>125</v>
      </c>
      <c r="F4259" s="6" t="s">
        <v>40</v>
      </c>
      <c r="G4259" s="7">
        <v>0.09</v>
      </c>
      <c r="H4259" s="6" t="s">
        <v>324</v>
      </c>
      <c r="I4259" s="6" t="s">
        <v>20</v>
      </c>
      <c r="J4259" s="6">
        <v>1995.0</v>
      </c>
      <c r="L4259" s="6">
        <v>5.0</v>
      </c>
      <c r="M4259" s="8">
        <f t="shared" si="4"/>
        <v>0.45</v>
      </c>
      <c r="P4259" s="9"/>
    </row>
    <row r="4260">
      <c r="A4260" s="6" t="s">
        <v>9489</v>
      </c>
      <c r="B4260" s="6" t="s">
        <v>138</v>
      </c>
      <c r="C4260" s="6" t="s">
        <v>43</v>
      </c>
      <c r="D4260" s="6" t="s">
        <v>9490</v>
      </c>
      <c r="E4260" s="6" t="s">
        <v>125</v>
      </c>
      <c r="F4260" s="6" t="s">
        <v>40</v>
      </c>
      <c r="G4260" s="7">
        <v>0.09</v>
      </c>
      <c r="H4260" s="6" t="s">
        <v>631</v>
      </c>
      <c r="I4260" s="6" t="s">
        <v>20</v>
      </c>
      <c r="J4260" s="6">
        <v>1995.0</v>
      </c>
      <c r="L4260" s="6">
        <v>1.0</v>
      </c>
      <c r="M4260" s="8">
        <f t="shared" si="4"/>
        <v>0.09</v>
      </c>
      <c r="P4260" s="9"/>
    </row>
    <row r="4261">
      <c r="A4261" s="6" t="s">
        <v>9491</v>
      </c>
      <c r="B4261" s="6" t="s">
        <v>9492</v>
      </c>
      <c r="C4261" s="6" t="s">
        <v>183</v>
      </c>
      <c r="D4261" s="6" t="s">
        <v>9493</v>
      </c>
      <c r="E4261" s="6" t="s">
        <v>125</v>
      </c>
      <c r="F4261" s="6" t="s">
        <v>40</v>
      </c>
      <c r="G4261" s="7">
        <v>0.99</v>
      </c>
      <c r="H4261" s="6" t="s">
        <v>324</v>
      </c>
      <c r="I4261" s="6" t="s">
        <v>20</v>
      </c>
      <c r="J4261" s="6">
        <v>1995.0</v>
      </c>
      <c r="L4261" s="6">
        <v>2.0</v>
      </c>
      <c r="M4261" s="8">
        <f t="shared" si="4"/>
        <v>1.98</v>
      </c>
      <c r="P4261" s="9"/>
    </row>
    <row r="4262">
      <c r="A4262" s="6" t="s">
        <v>9494</v>
      </c>
      <c r="B4262" s="6" t="s">
        <v>1452</v>
      </c>
      <c r="C4262" s="6" t="s">
        <v>43</v>
      </c>
      <c r="D4262" s="6" t="s">
        <v>9495</v>
      </c>
      <c r="E4262" s="6" t="s">
        <v>135</v>
      </c>
      <c r="F4262" s="6" t="s">
        <v>40</v>
      </c>
      <c r="G4262" s="7">
        <v>0.03</v>
      </c>
      <c r="H4262" s="6" t="s">
        <v>259</v>
      </c>
      <c r="I4262" s="6" t="s">
        <v>20</v>
      </c>
      <c r="J4262" s="6">
        <v>1996.0</v>
      </c>
      <c r="K4262" s="6" t="s">
        <v>1924</v>
      </c>
      <c r="L4262" s="6">
        <v>1.0</v>
      </c>
      <c r="M4262" s="8">
        <f t="shared" si="4"/>
        <v>0.03</v>
      </c>
      <c r="P4262" s="9"/>
    </row>
    <row r="4263">
      <c r="A4263" s="6" t="s">
        <v>9496</v>
      </c>
      <c r="B4263" s="6" t="s">
        <v>9497</v>
      </c>
      <c r="C4263" s="6" t="s">
        <v>204</v>
      </c>
      <c r="D4263" s="6" t="s">
        <v>9498</v>
      </c>
      <c r="E4263" s="6" t="s">
        <v>125</v>
      </c>
      <c r="F4263" s="6" t="s">
        <v>40</v>
      </c>
      <c r="G4263" s="7">
        <v>0.03</v>
      </c>
      <c r="H4263" s="6" t="s">
        <v>259</v>
      </c>
      <c r="I4263" s="6" t="s">
        <v>20</v>
      </c>
      <c r="J4263" s="6">
        <v>1996.0</v>
      </c>
      <c r="K4263" s="10">
        <v>46023.0</v>
      </c>
      <c r="L4263" s="6">
        <v>1.0</v>
      </c>
      <c r="M4263" s="8">
        <f t="shared" si="4"/>
        <v>0.03</v>
      </c>
      <c r="P4263" s="9"/>
    </row>
    <row r="4264">
      <c r="A4264" s="6" t="s">
        <v>9499</v>
      </c>
      <c r="B4264" s="6" t="s">
        <v>9500</v>
      </c>
      <c r="C4264" s="6" t="s">
        <v>204</v>
      </c>
      <c r="D4264" s="6" t="s">
        <v>9501</v>
      </c>
      <c r="E4264" s="6" t="s">
        <v>39</v>
      </c>
      <c r="F4264" s="6" t="s">
        <v>40</v>
      </c>
      <c r="G4264" s="7">
        <v>0.05</v>
      </c>
      <c r="H4264" s="6" t="s">
        <v>259</v>
      </c>
      <c r="I4264" s="6" t="s">
        <v>20</v>
      </c>
      <c r="J4264" s="6">
        <v>1996.0</v>
      </c>
      <c r="K4264" s="10">
        <v>46055.0</v>
      </c>
      <c r="L4264" s="6">
        <v>1.0</v>
      </c>
      <c r="M4264" s="8">
        <f t="shared" si="4"/>
        <v>0.05</v>
      </c>
      <c r="P4264" s="9"/>
    </row>
    <row r="4265">
      <c r="A4265" s="6" t="s">
        <v>9502</v>
      </c>
      <c r="B4265" s="6" t="s">
        <v>882</v>
      </c>
      <c r="C4265" s="6" t="s">
        <v>43</v>
      </c>
      <c r="D4265" s="6" t="s">
        <v>9503</v>
      </c>
      <c r="E4265" s="6" t="s">
        <v>57</v>
      </c>
      <c r="F4265" s="6" t="s">
        <v>40</v>
      </c>
      <c r="G4265" s="7">
        <v>0.02</v>
      </c>
      <c r="H4265" s="6" t="s">
        <v>259</v>
      </c>
      <c r="I4265" s="6" t="s">
        <v>20</v>
      </c>
      <c r="J4265" s="6">
        <v>1996.0</v>
      </c>
      <c r="K4265" s="10">
        <v>46055.0</v>
      </c>
      <c r="L4265" s="6">
        <v>1.0</v>
      </c>
      <c r="M4265" s="8">
        <f t="shared" si="4"/>
        <v>0.02</v>
      </c>
      <c r="P4265" s="9"/>
    </row>
    <row r="4266">
      <c r="A4266" s="6" t="s">
        <v>9504</v>
      </c>
      <c r="B4266" s="6" t="s">
        <v>138</v>
      </c>
      <c r="C4266" s="6" t="s">
        <v>43</v>
      </c>
      <c r="D4266" s="6" t="s">
        <v>9505</v>
      </c>
      <c r="E4266" s="6" t="s">
        <v>125</v>
      </c>
      <c r="F4266" s="6" t="s">
        <v>40</v>
      </c>
      <c r="G4266" s="7">
        <v>0.08</v>
      </c>
      <c r="H4266" s="6" t="s">
        <v>259</v>
      </c>
      <c r="I4266" s="6" t="s">
        <v>20</v>
      </c>
      <c r="J4266" s="6">
        <v>1996.0</v>
      </c>
      <c r="L4266" s="6">
        <v>1.0</v>
      </c>
      <c r="M4266" s="8">
        <f t="shared" si="4"/>
        <v>0.08</v>
      </c>
      <c r="P4266" s="9"/>
    </row>
    <row r="4267">
      <c r="A4267" s="6" t="s">
        <v>9506</v>
      </c>
      <c r="B4267" s="6" t="s">
        <v>292</v>
      </c>
      <c r="C4267" s="6" t="s">
        <v>204</v>
      </c>
      <c r="D4267" s="6" t="s">
        <v>9507</v>
      </c>
      <c r="E4267" s="6" t="s">
        <v>125</v>
      </c>
      <c r="F4267" s="6" t="s">
        <v>40</v>
      </c>
      <c r="G4267" s="7">
        <v>0.05</v>
      </c>
      <c r="H4267" s="6" t="s">
        <v>259</v>
      </c>
      <c r="I4267" s="6" t="s">
        <v>20</v>
      </c>
      <c r="J4267" s="6">
        <v>1996.0</v>
      </c>
      <c r="L4267" s="6">
        <v>1.0</v>
      </c>
      <c r="M4267" s="8">
        <f t="shared" si="4"/>
        <v>0.05</v>
      </c>
      <c r="P4267" s="9"/>
    </row>
    <row r="4268">
      <c r="A4268" s="6" t="s">
        <v>9508</v>
      </c>
      <c r="B4268" s="6" t="s">
        <v>1794</v>
      </c>
      <c r="C4268" s="6" t="s">
        <v>183</v>
      </c>
      <c r="D4268" s="6" t="s">
        <v>9509</v>
      </c>
      <c r="E4268" s="6" t="s">
        <v>125</v>
      </c>
      <c r="F4268" s="6" t="s">
        <v>40</v>
      </c>
      <c r="G4268" s="7">
        <v>0.05</v>
      </c>
      <c r="H4268" s="6" t="s">
        <v>187</v>
      </c>
      <c r="I4268" s="6" t="s">
        <v>20</v>
      </c>
      <c r="J4268" s="6">
        <v>1995.0</v>
      </c>
      <c r="L4268" s="6">
        <v>2.0</v>
      </c>
      <c r="M4268" s="8">
        <f t="shared" si="4"/>
        <v>0.1</v>
      </c>
      <c r="P4268" s="9"/>
    </row>
    <row r="4269">
      <c r="A4269" s="6" t="s">
        <v>9510</v>
      </c>
      <c r="B4269" s="6" t="s">
        <v>9511</v>
      </c>
      <c r="C4269" s="6" t="s">
        <v>204</v>
      </c>
      <c r="D4269" s="6" t="s">
        <v>9512</v>
      </c>
      <c r="E4269" s="6" t="s">
        <v>125</v>
      </c>
      <c r="F4269" s="6" t="s">
        <v>40</v>
      </c>
      <c r="G4269" s="7">
        <v>0.01</v>
      </c>
      <c r="H4269" s="6" t="s">
        <v>187</v>
      </c>
      <c r="I4269" s="6" t="s">
        <v>20</v>
      </c>
      <c r="J4269" s="6">
        <v>1995.0</v>
      </c>
      <c r="K4269" s="10">
        <v>46023.0</v>
      </c>
      <c r="L4269" s="6">
        <v>4.0</v>
      </c>
      <c r="M4269" s="8">
        <f t="shared" si="4"/>
        <v>0.04</v>
      </c>
      <c r="P4269" s="9"/>
    </row>
    <row r="4270">
      <c r="A4270" s="6" t="s">
        <v>9513</v>
      </c>
      <c r="B4270" s="6" t="s">
        <v>1794</v>
      </c>
      <c r="C4270" s="6" t="s">
        <v>204</v>
      </c>
      <c r="D4270" s="6" t="s">
        <v>9514</v>
      </c>
      <c r="E4270" s="6" t="s">
        <v>125</v>
      </c>
      <c r="F4270" s="6" t="s">
        <v>40</v>
      </c>
      <c r="G4270" s="7">
        <v>0.01</v>
      </c>
      <c r="H4270" s="6" t="s">
        <v>187</v>
      </c>
      <c r="I4270" s="6" t="s">
        <v>20</v>
      </c>
      <c r="J4270" s="6">
        <v>1995.0</v>
      </c>
      <c r="L4270" s="6">
        <v>1.0</v>
      </c>
      <c r="M4270" s="8">
        <f t="shared" si="4"/>
        <v>0.01</v>
      </c>
      <c r="P4270" s="9"/>
    </row>
    <row r="4271">
      <c r="A4271" s="6" t="s">
        <v>9515</v>
      </c>
      <c r="B4271" s="6" t="s">
        <v>4327</v>
      </c>
      <c r="C4271" s="6" t="s">
        <v>204</v>
      </c>
      <c r="D4271" s="6" t="s">
        <v>4328</v>
      </c>
      <c r="E4271" s="6" t="s">
        <v>135</v>
      </c>
      <c r="F4271" s="6" t="s">
        <v>40</v>
      </c>
      <c r="G4271" s="7">
        <v>0.03</v>
      </c>
      <c r="H4271" s="6" t="s">
        <v>187</v>
      </c>
      <c r="I4271" s="6" t="s">
        <v>20</v>
      </c>
      <c r="J4271" s="6">
        <v>1995.0</v>
      </c>
      <c r="K4271" s="6" t="s">
        <v>1924</v>
      </c>
      <c r="L4271" s="6">
        <v>2.0</v>
      </c>
      <c r="M4271" s="8">
        <f t="shared" si="4"/>
        <v>0.06</v>
      </c>
      <c r="P4271" s="9"/>
    </row>
    <row r="4272">
      <c r="A4272" s="6" t="s">
        <v>9516</v>
      </c>
      <c r="B4272" s="6" t="s">
        <v>9517</v>
      </c>
      <c r="C4272" s="6" t="s">
        <v>183</v>
      </c>
      <c r="D4272" s="6" t="s">
        <v>9518</v>
      </c>
      <c r="E4272" s="6" t="s">
        <v>39</v>
      </c>
      <c r="F4272" s="6" t="s">
        <v>40</v>
      </c>
      <c r="G4272" s="7">
        <v>0.95</v>
      </c>
      <c r="H4272" s="6" t="s">
        <v>187</v>
      </c>
      <c r="I4272" s="6" t="s">
        <v>20</v>
      </c>
      <c r="J4272" s="6">
        <v>1995.0</v>
      </c>
      <c r="K4272" s="10">
        <v>46055.0</v>
      </c>
      <c r="L4272" s="6">
        <v>2.0</v>
      </c>
      <c r="M4272" s="8">
        <f t="shared" si="4"/>
        <v>1.9</v>
      </c>
      <c r="P4272" s="9"/>
    </row>
    <row r="4273">
      <c r="A4273" s="6" t="s">
        <v>9519</v>
      </c>
      <c r="B4273" s="6" t="s">
        <v>1762</v>
      </c>
      <c r="C4273" s="6" t="s">
        <v>30</v>
      </c>
      <c r="D4273" s="6" t="s">
        <v>9520</v>
      </c>
      <c r="E4273" s="6" t="s">
        <v>9521</v>
      </c>
      <c r="F4273" s="6" t="s">
        <v>977</v>
      </c>
      <c r="G4273" s="7">
        <v>0.15</v>
      </c>
      <c r="H4273" s="6" t="s">
        <v>1856</v>
      </c>
      <c r="I4273" s="6" t="s">
        <v>20</v>
      </c>
      <c r="J4273" s="6">
        <v>2017.0</v>
      </c>
      <c r="L4273" s="6">
        <v>1.0</v>
      </c>
      <c r="M4273" s="8">
        <f t="shared" si="4"/>
        <v>0.15</v>
      </c>
      <c r="P4273" s="9"/>
    </row>
    <row r="4274">
      <c r="A4274" s="6" t="s">
        <v>9522</v>
      </c>
      <c r="B4274" s="6" t="s">
        <v>9523</v>
      </c>
      <c r="C4274" s="6" t="s">
        <v>43</v>
      </c>
      <c r="D4274" s="6" t="s">
        <v>9524</v>
      </c>
      <c r="E4274" s="6" t="s">
        <v>329</v>
      </c>
      <c r="F4274" s="6" t="s">
        <v>112</v>
      </c>
      <c r="G4274" s="7">
        <v>0.05</v>
      </c>
      <c r="H4274" s="6" t="s">
        <v>4519</v>
      </c>
      <c r="I4274" s="6" t="s">
        <v>20</v>
      </c>
      <c r="J4274" s="6">
        <v>2009.0</v>
      </c>
      <c r="K4274" s="10">
        <v>46055.0</v>
      </c>
      <c r="L4274" s="6">
        <v>1.0</v>
      </c>
      <c r="M4274" s="8">
        <f t="shared" si="4"/>
        <v>0.05</v>
      </c>
      <c r="P4274" s="9"/>
    </row>
    <row r="4275">
      <c r="A4275" s="6" t="s">
        <v>8591</v>
      </c>
      <c r="B4275" s="6" t="s">
        <v>74</v>
      </c>
      <c r="C4275" s="6" t="s">
        <v>43</v>
      </c>
      <c r="D4275" s="6" t="s">
        <v>8592</v>
      </c>
      <c r="E4275" s="6" t="s">
        <v>329</v>
      </c>
      <c r="F4275" s="6" t="s">
        <v>112</v>
      </c>
      <c r="G4275" s="7">
        <v>0.03</v>
      </c>
      <c r="H4275" s="6" t="s">
        <v>1856</v>
      </c>
      <c r="I4275" s="6" t="s">
        <v>20</v>
      </c>
      <c r="J4275" s="6">
        <v>2017.0</v>
      </c>
      <c r="L4275" s="6">
        <v>1.0</v>
      </c>
      <c r="M4275" s="8">
        <f t="shared" si="4"/>
        <v>0.03</v>
      </c>
      <c r="P4275" s="9"/>
    </row>
    <row r="4276">
      <c r="A4276" s="6" t="s">
        <v>9525</v>
      </c>
      <c r="B4276" s="6" t="s">
        <v>3755</v>
      </c>
      <c r="C4276" s="6" t="s">
        <v>1488</v>
      </c>
      <c r="D4276" s="6" t="s">
        <v>9526</v>
      </c>
      <c r="E4276" s="6" t="s">
        <v>5256</v>
      </c>
      <c r="F4276" s="6" t="s">
        <v>112</v>
      </c>
      <c r="G4276" s="7">
        <v>3.99</v>
      </c>
      <c r="H4276" s="6" t="s">
        <v>4519</v>
      </c>
      <c r="I4276" s="6" t="s">
        <v>20</v>
      </c>
      <c r="J4276" s="6">
        <v>2009.0</v>
      </c>
      <c r="K4276" s="6" t="s">
        <v>527</v>
      </c>
      <c r="L4276" s="6">
        <v>1.0</v>
      </c>
      <c r="M4276" s="8">
        <f t="shared" si="4"/>
        <v>3.99</v>
      </c>
      <c r="N4276" s="6" t="s">
        <v>122</v>
      </c>
      <c r="P4276" s="9"/>
    </row>
    <row r="4277">
      <c r="A4277" s="6" t="s">
        <v>9527</v>
      </c>
      <c r="B4277" s="6" t="s">
        <v>9528</v>
      </c>
      <c r="C4277" s="6" t="s">
        <v>204</v>
      </c>
      <c r="D4277" s="6" t="s">
        <v>9529</v>
      </c>
      <c r="E4277" s="6" t="s">
        <v>4393</v>
      </c>
      <c r="F4277" s="6" t="s">
        <v>112</v>
      </c>
      <c r="G4277" s="7">
        <v>0.07</v>
      </c>
      <c r="H4277" s="6" t="s">
        <v>2291</v>
      </c>
      <c r="I4277" s="6" t="s">
        <v>20</v>
      </c>
      <c r="J4277" s="6">
        <v>2008.0</v>
      </c>
      <c r="K4277" s="10">
        <v>46210.0</v>
      </c>
      <c r="L4277" s="6">
        <v>1.0</v>
      </c>
      <c r="M4277" s="8">
        <f t="shared" si="4"/>
        <v>0.07</v>
      </c>
      <c r="P4277" s="9"/>
    </row>
    <row r="4278">
      <c r="A4278" s="6" t="s">
        <v>9530</v>
      </c>
      <c r="B4278" s="6" t="s">
        <v>74</v>
      </c>
      <c r="C4278" s="6" t="s">
        <v>37</v>
      </c>
      <c r="D4278" s="6" t="s">
        <v>9531</v>
      </c>
      <c r="E4278" s="6" t="s">
        <v>179</v>
      </c>
      <c r="F4278" s="6" t="s">
        <v>112</v>
      </c>
      <c r="G4278" s="7">
        <v>0.38</v>
      </c>
      <c r="H4278" s="6" t="s">
        <v>4265</v>
      </c>
      <c r="I4278" s="6" t="s">
        <v>20</v>
      </c>
      <c r="J4278" s="6">
        <v>2009.0</v>
      </c>
      <c r="L4278" s="6">
        <v>1.0</v>
      </c>
      <c r="M4278" s="8">
        <f t="shared" si="4"/>
        <v>0.38</v>
      </c>
      <c r="P4278" s="9"/>
    </row>
    <row r="4279">
      <c r="A4279" s="6" t="s">
        <v>9532</v>
      </c>
      <c r="B4279" s="6" t="s">
        <v>162</v>
      </c>
      <c r="C4279" s="6" t="s">
        <v>43</v>
      </c>
      <c r="D4279" s="6" t="s">
        <v>9533</v>
      </c>
      <c r="E4279" s="6" t="s">
        <v>579</v>
      </c>
      <c r="F4279" s="6" t="s">
        <v>112</v>
      </c>
      <c r="G4279" s="7">
        <v>0.05</v>
      </c>
      <c r="H4279" s="6" t="s">
        <v>373</v>
      </c>
      <c r="I4279" s="6" t="s">
        <v>20</v>
      </c>
      <c r="J4279" s="6">
        <v>2015.0</v>
      </c>
      <c r="L4279" s="6">
        <v>3.0</v>
      </c>
      <c r="M4279" s="8">
        <f t="shared" si="4"/>
        <v>0.15</v>
      </c>
      <c r="P4279" s="9"/>
    </row>
    <row r="4280">
      <c r="A4280" s="6" t="s">
        <v>3875</v>
      </c>
      <c r="B4280" s="6" t="s">
        <v>74</v>
      </c>
      <c r="C4280" s="6" t="s">
        <v>43</v>
      </c>
      <c r="D4280" s="6" t="s">
        <v>3876</v>
      </c>
      <c r="E4280" s="6" t="s">
        <v>1939</v>
      </c>
      <c r="F4280" s="6" t="s">
        <v>977</v>
      </c>
      <c r="G4280" s="7">
        <v>0.06</v>
      </c>
      <c r="H4280" s="6" t="s">
        <v>65</v>
      </c>
      <c r="I4280" s="6" t="s">
        <v>20</v>
      </c>
      <c r="J4280" s="6">
        <v>2013.0</v>
      </c>
      <c r="L4280" s="6">
        <v>1.0</v>
      </c>
      <c r="M4280" s="8">
        <f t="shared" si="4"/>
        <v>0.06</v>
      </c>
      <c r="P4280" s="9"/>
    </row>
    <row r="4281">
      <c r="A4281" s="6" t="s">
        <v>8950</v>
      </c>
      <c r="B4281" s="6" t="s">
        <v>1577</v>
      </c>
      <c r="C4281" s="6" t="s">
        <v>43</v>
      </c>
      <c r="D4281" s="6" t="s">
        <v>8951</v>
      </c>
      <c r="F4281" s="6" t="s">
        <v>112</v>
      </c>
      <c r="G4281" s="7">
        <v>0.1</v>
      </c>
      <c r="H4281" s="6" t="s">
        <v>460</v>
      </c>
      <c r="I4281" s="6" t="s">
        <v>20</v>
      </c>
      <c r="J4281" s="6">
        <v>2015.0</v>
      </c>
      <c r="L4281" s="6">
        <v>1.0</v>
      </c>
      <c r="M4281" s="8">
        <f t="shared" si="4"/>
        <v>0.1</v>
      </c>
      <c r="P4281" s="9"/>
    </row>
    <row r="4282">
      <c r="A4282" s="6" t="s">
        <v>8481</v>
      </c>
      <c r="B4282" s="6" t="s">
        <v>8482</v>
      </c>
      <c r="C4282" s="6" t="s">
        <v>43</v>
      </c>
      <c r="D4282" s="6" t="s">
        <v>8483</v>
      </c>
      <c r="E4282" s="6" t="s">
        <v>448</v>
      </c>
      <c r="F4282" s="6" t="s">
        <v>112</v>
      </c>
      <c r="G4282" s="7">
        <v>0.03</v>
      </c>
      <c r="H4282" s="6" t="s">
        <v>1856</v>
      </c>
      <c r="I4282" s="6" t="s">
        <v>20</v>
      </c>
      <c r="J4282" s="6">
        <v>2017.0</v>
      </c>
      <c r="K4282" s="10">
        <v>46116.0</v>
      </c>
      <c r="L4282" s="6">
        <v>1.0</v>
      </c>
      <c r="M4282" s="8">
        <f t="shared" si="4"/>
        <v>0.03</v>
      </c>
      <c r="P4282" s="9"/>
    </row>
    <row r="4283">
      <c r="A4283" s="6" t="s">
        <v>9534</v>
      </c>
      <c r="B4283" s="6" t="s">
        <v>2568</v>
      </c>
      <c r="C4283" s="6" t="s">
        <v>37</v>
      </c>
      <c r="D4283" s="6" t="s">
        <v>9535</v>
      </c>
      <c r="E4283" s="6" t="s">
        <v>329</v>
      </c>
      <c r="F4283" s="6" t="s">
        <v>112</v>
      </c>
      <c r="G4283" s="7">
        <v>0.25</v>
      </c>
      <c r="H4283" s="6" t="s">
        <v>1856</v>
      </c>
      <c r="I4283" s="6" t="s">
        <v>20</v>
      </c>
      <c r="J4283" s="6">
        <v>2017.0</v>
      </c>
      <c r="K4283" s="10">
        <v>46055.0</v>
      </c>
      <c r="L4283" s="6">
        <v>3.0</v>
      </c>
      <c r="M4283" s="8">
        <f t="shared" si="4"/>
        <v>0.75</v>
      </c>
      <c r="P4283" s="9"/>
    </row>
    <row r="4284">
      <c r="A4284" s="6" t="s">
        <v>9536</v>
      </c>
      <c r="B4284" s="6" t="s">
        <v>9537</v>
      </c>
      <c r="C4284" s="6" t="s">
        <v>37</v>
      </c>
      <c r="D4284" s="6" t="s">
        <v>9538</v>
      </c>
      <c r="E4284" s="6" t="s">
        <v>329</v>
      </c>
      <c r="F4284" s="6" t="s">
        <v>112</v>
      </c>
      <c r="G4284" s="7">
        <v>0.03</v>
      </c>
      <c r="H4284" s="6" t="s">
        <v>1856</v>
      </c>
      <c r="I4284" s="6" t="s">
        <v>20</v>
      </c>
      <c r="J4284" s="6">
        <v>2017.0</v>
      </c>
      <c r="K4284" s="10">
        <v>46056.0</v>
      </c>
      <c r="L4284" s="6">
        <v>1.0</v>
      </c>
      <c r="M4284" s="8">
        <f t="shared" si="4"/>
        <v>0.03</v>
      </c>
      <c r="P4284" s="9"/>
    </row>
    <row r="4285">
      <c r="A4285" s="6" t="s">
        <v>9539</v>
      </c>
      <c r="B4285" s="6" t="s">
        <v>5395</v>
      </c>
      <c r="C4285" s="6" t="s">
        <v>43</v>
      </c>
      <c r="D4285" s="6" t="s">
        <v>9540</v>
      </c>
      <c r="E4285" s="6" t="s">
        <v>93</v>
      </c>
      <c r="F4285" s="6" t="s">
        <v>77</v>
      </c>
      <c r="G4285" s="7">
        <v>0.05</v>
      </c>
      <c r="H4285" s="6" t="s">
        <v>764</v>
      </c>
      <c r="I4285" s="6" t="s">
        <v>20</v>
      </c>
      <c r="J4285" s="6">
        <v>1999.0</v>
      </c>
      <c r="K4285" s="10">
        <v>46055.0</v>
      </c>
      <c r="L4285" s="6">
        <v>1.0</v>
      </c>
      <c r="M4285" s="8">
        <f t="shared" si="4"/>
        <v>0.05</v>
      </c>
      <c r="P4285" s="9"/>
    </row>
    <row r="4286">
      <c r="A4286" s="6" t="s">
        <v>9541</v>
      </c>
      <c r="B4286" s="6" t="s">
        <v>9542</v>
      </c>
      <c r="C4286" s="6" t="s">
        <v>9543</v>
      </c>
      <c r="D4286" s="6" t="s">
        <v>5137</v>
      </c>
      <c r="E4286" s="6" t="s">
        <v>179</v>
      </c>
      <c r="F4286" s="6" t="s">
        <v>112</v>
      </c>
      <c r="G4286" s="7">
        <v>0.24</v>
      </c>
      <c r="H4286" s="6" t="s">
        <v>1856</v>
      </c>
      <c r="I4286" s="6" t="s">
        <v>20</v>
      </c>
      <c r="J4286" s="6">
        <v>2017.0</v>
      </c>
      <c r="K4286" s="10">
        <v>46117.0</v>
      </c>
      <c r="L4286" s="6">
        <v>1.0</v>
      </c>
      <c r="M4286" s="8">
        <f t="shared" si="4"/>
        <v>0.24</v>
      </c>
      <c r="P4286" s="9"/>
    </row>
    <row r="4287">
      <c r="A4287" s="6" t="s">
        <v>9544</v>
      </c>
      <c r="B4287" s="6" t="s">
        <v>9545</v>
      </c>
      <c r="C4287" s="6" t="s">
        <v>37</v>
      </c>
      <c r="D4287" s="6" t="s">
        <v>9546</v>
      </c>
      <c r="E4287" s="6" t="s">
        <v>86</v>
      </c>
      <c r="F4287" s="6" t="s">
        <v>87</v>
      </c>
      <c r="G4287" s="7">
        <v>0.03</v>
      </c>
      <c r="H4287" s="6" t="s">
        <v>1856</v>
      </c>
      <c r="I4287" s="6" t="s">
        <v>20</v>
      </c>
      <c r="J4287" s="6">
        <v>2017.0</v>
      </c>
      <c r="K4287" s="10">
        <v>46024.0</v>
      </c>
      <c r="L4287" s="6">
        <v>1.0</v>
      </c>
      <c r="M4287" s="8">
        <f t="shared" si="4"/>
        <v>0.03</v>
      </c>
      <c r="P4287" s="9"/>
    </row>
    <row r="4288">
      <c r="A4288" s="6" t="s">
        <v>9547</v>
      </c>
      <c r="B4288" s="6" t="s">
        <v>1375</v>
      </c>
      <c r="C4288" s="6" t="s">
        <v>37</v>
      </c>
      <c r="D4288" s="6" t="s">
        <v>9548</v>
      </c>
      <c r="E4288" s="6" t="s">
        <v>9549</v>
      </c>
      <c r="F4288" s="6" t="s">
        <v>519</v>
      </c>
      <c r="G4288" s="7">
        <v>0.06</v>
      </c>
      <c r="H4288" s="6" t="s">
        <v>1856</v>
      </c>
      <c r="I4288" s="6" t="s">
        <v>20</v>
      </c>
      <c r="J4288" s="6">
        <v>2017.0</v>
      </c>
      <c r="L4288" s="6">
        <v>1.0</v>
      </c>
      <c r="M4288" s="8">
        <f t="shared" si="4"/>
        <v>0.06</v>
      </c>
      <c r="P4288" s="9"/>
    </row>
    <row r="4289">
      <c r="A4289" s="6" t="s">
        <v>9550</v>
      </c>
      <c r="B4289" s="6" t="s">
        <v>1002</v>
      </c>
      <c r="C4289" s="6" t="s">
        <v>43</v>
      </c>
      <c r="D4289" s="6" t="s">
        <v>9551</v>
      </c>
      <c r="E4289" s="6" t="s">
        <v>2792</v>
      </c>
      <c r="F4289" s="6" t="s">
        <v>87</v>
      </c>
      <c r="G4289" s="7">
        <v>0.03</v>
      </c>
      <c r="H4289" s="6" t="s">
        <v>1856</v>
      </c>
      <c r="I4289" s="6" t="s">
        <v>20</v>
      </c>
      <c r="J4289" s="6">
        <v>2017.0</v>
      </c>
      <c r="K4289" s="10">
        <v>46117.0</v>
      </c>
      <c r="L4289" s="6">
        <v>2.0</v>
      </c>
      <c r="M4289" s="8">
        <f t="shared" si="4"/>
        <v>0.06</v>
      </c>
      <c r="P4289" s="9"/>
    </row>
    <row r="4290">
      <c r="A4290" s="6" t="s">
        <v>9552</v>
      </c>
      <c r="B4290" s="6" t="s">
        <v>9553</v>
      </c>
      <c r="C4290" s="6" t="s">
        <v>43</v>
      </c>
      <c r="D4290" s="6" t="s">
        <v>9554</v>
      </c>
      <c r="E4290" s="6" t="s">
        <v>76</v>
      </c>
      <c r="F4290" s="6" t="s">
        <v>77</v>
      </c>
      <c r="G4290" s="7">
        <v>0.03</v>
      </c>
      <c r="H4290" s="6" t="s">
        <v>1856</v>
      </c>
      <c r="I4290" s="6" t="s">
        <v>20</v>
      </c>
      <c r="J4290" s="6">
        <v>2017.0</v>
      </c>
      <c r="K4290" s="10">
        <v>46023.0</v>
      </c>
      <c r="L4290" s="6">
        <v>1.0</v>
      </c>
      <c r="M4290" s="8">
        <f t="shared" si="4"/>
        <v>0.03</v>
      </c>
      <c r="P4290" s="9"/>
    </row>
    <row r="4291">
      <c r="A4291" s="6" t="s">
        <v>9555</v>
      </c>
      <c r="B4291" s="6" t="s">
        <v>1517</v>
      </c>
      <c r="C4291" s="6" t="s">
        <v>43</v>
      </c>
      <c r="D4291" s="6" t="s">
        <v>9556</v>
      </c>
      <c r="E4291" s="6" t="s">
        <v>329</v>
      </c>
      <c r="F4291" s="6" t="s">
        <v>112</v>
      </c>
      <c r="G4291" s="7">
        <v>0.03</v>
      </c>
      <c r="H4291" s="6" t="s">
        <v>531</v>
      </c>
      <c r="I4291" s="6" t="s">
        <v>20</v>
      </c>
      <c r="J4291" s="6">
        <v>2017.0</v>
      </c>
      <c r="K4291" s="10">
        <v>46056.0</v>
      </c>
      <c r="L4291" s="6">
        <v>3.0</v>
      </c>
      <c r="M4291" s="8">
        <f t="shared" si="4"/>
        <v>0.09</v>
      </c>
      <c r="P4291" s="9"/>
    </row>
    <row r="4292">
      <c r="A4292" s="6" t="s">
        <v>8591</v>
      </c>
      <c r="B4292" s="6" t="s">
        <v>74</v>
      </c>
      <c r="C4292" s="6" t="s">
        <v>43</v>
      </c>
      <c r="D4292" s="6" t="s">
        <v>8592</v>
      </c>
      <c r="E4292" s="6" t="s">
        <v>329</v>
      </c>
      <c r="F4292" s="6" t="s">
        <v>112</v>
      </c>
      <c r="G4292" s="7">
        <v>0.03</v>
      </c>
      <c r="H4292" s="6" t="s">
        <v>1856</v>
      </c>
      <c r="I4292" s="6" t="s">
        <v>20</v>
      </c>
      <c r="J4292" s="6">
        <v>2017.0</v>
      </c>
      <c r="L4292" s="6">
        <v>1.0</v>
      </c>
      <c r="M4292" s="8">
        <f t="shared" si="4"/>
        <v>0.03</v>
      </c>
      <c r="P4292" s="9"/>
    </row>
    <row r="4293">
      <c r="A4293" s="6" t="s">
        <v>9557</v>
      </c>
      <c r="B4293" s="6" t="s">
        <v>8533</v>
      </c>
      <c r="C4293" s="6" t="s">
        <v>37</v>
      </c>
      <c r="D4293" s="6" t="s">
        <v>9558</v>
      </c>
      <c r="E4293" s="6" t="s">
        <v>98</v>
      </c>
      <c r="F4293" s="6" t="s">
        <v>18</v>
      </c>
      <c r="G4293" s="7">
        <v>0.03</v>
      </c>
      <c r="H4293" s="6" t="s">
        <v>1856</v>
      </c>
      <c r="I4293" s="6" t="s">
        <v>20</v>
      </c>
      <c r="J4293" s="6">
        <v>2017.0</v>
      </c>
      <c r="K4293" s="10">
        <v>46055.0</v>
      </c>
      <c r="L4293" s="6">
        <v>1.0</v>
      </c>
      <c r="M4293" s="8">
        <f t="shared" si="4"/>
        <v>0.03</v>
      </c>
      <c r="P4293" s="9"/>
    </row>
    <row r="4294">
      <c r="A4294" s="6" t="s">
        <v>9559</v>
      </c>
      <c r="B4294" s="6" t="s">
        <v>2356</v>
      </c>
      <c r="C4294" s="6" t="s">
        <v>43</v>
      </c>
      <c r="D4294" s="6" t="s">
        <v>9560</v>
      </c>
      <c r="E4294" s="6" t="s">
        <v>190</v>
      </c>
      <c r="F4294" s="6" t="s">
        <v>18</v>
      </c>
      <c r="G4294" s="7">
        <v>0.03</v>
      </c>
      <c r="H4294" s="6" t="s">
        <v>1856</v>
      </c>
      <c r="I4294" s="6" t="s">
        <v>20</v>
      </c>
      <c r="J4294" s="6">
        <v>2017.0</v>
      </c>
      <c r="K4294" s="10">
        <v>46023.0</v>
      </c>
      <c r="L4294" s="6">
        <v>1.0</v>
      </c>
      <c r="M4294" s="8">
        <f t="shared" si="4"/>
        <v>0.03</v>
      </c>
      <c r="P4294" s="9"/>
    </row>
    <row r="4295">
      <c r="A4295" s="6" t="s">
        <v>9561</v>
      </c>
      <c r="B4295" s="6" t="s">
        <v>9562</v>
      </c>
      <c r="C4295" s="6" t="s">
        <v>43</v>
      </c>
      <c r="D4295" s="6" t="s">
        <v>9563</v>
      </c>
      <c r="E4295" s="6" t="s">
        <v>176</v>
      </c>
      <c r="F4295" s="6" t="s">
        <v>77</v>
      </c>
      <c r="G4295" s="7">
        <v>0.03</v>
      </c>
      <c r="H4295" s="6" t="s">
        <v>1856</v>
      </c>
      <c r="I4295" s="6" t="s">
        <v>20</v>
      </c>
      <c r="J4295" s="6">
        <v>2017.0</v>
      </c>
      <c r="K4295" s="10">
        <v>46084.0</v>
      </c>
      <c r="L4295" s="6">
        <v>1.0</v>
      </c>
      <c r="M4295" s="8">
        <f t="shared" si="4"/>
        <v>0.03</v>
      </c>
      <c r="P4295" s="9"/>
    </row>
    <row r="4296">
      <c r="A4296" s="6" t="s">
        <v>9564</v>
      </c>
      <c r="B4296" s="6" t="s">
        <v>162</v>
      </c>
      <c r="C4296" s="6" t="s">
        <v>43</v>
      </c>
      <c r="D4296" s="6" t="s">
        <v>9565</v>
      </c>
      <c r="E4296" s="6" t="s">
        <v>757</v>
      </c>
      <c r="F4296" s="6" t="s">
        <v>87</v>
      </c>
      <c r="G4296" s="7">
        <v>0.03</v>
      </c>
      <c r="H4296" s="6" t="s">
        <v>1856</v>
      </c>
      <c r="I4296" s="6" t="s">
        <v>20</v>
      </c>
      <c r="J4296" s="6">
        <v>2017.0</v>
      </c>
      <c r="L4296" s="6">
        <v>1.0</v>
      </c>
      <c r="M4296" s="8">
        <f t="shared" si="4"/>
        <v>0.03</v>
      </c>
      <c r="P4296" s="9"/>
    </row>
    <row r="4297">
      <c r="A4297" s="6" t="s">
        <v>9069</v>
      </c>
      <c r="B4297" s="6" t="s">
        <v>74</v>
      </c>
      <c r="C4297" s="6" t="s">
        <v>43</v>
      </c>
      <c r="D4297" s="6" t="s">
        <v>9070</v>
      </c>
      <c r="E4297" s="6" t="s">
        <v>140</v>
      </c>
      <c r="F4297" s="6" t="s">
        <v>87</v>
      </c>
      <c r="G4297" s="7">
        <v>0.03</v>
      </c>
      <c r="H4297" s="6" t="s">
        <v>1856</v>
      </c>
      <c r="I4297" s="6" t="s">
        <v>20</v>
      </c>
      <c r="J4297" s="6">
        <v>2017.0</v>
      </c>
      <c r="L4297" s="6">
        <v>1.0</v>
      </c>
      <c r="M4297" s="8">
        <f t="shared" si="4"/>
        <v>0.03</v>
      </c>
      <c r="P4297" s="9"/>
    </row>
    <row r="4298">
      <c r="A4298" s="6" t="s">
        <v>9566</v>
      </c>
      <c r="B4298" s="6" t="s">
        <v>4949</v>
      </c>
      <c r="C4298" s="6" t="s">
        <v>37</v>
      </c>
      <c r="D4298" s="6" t="s">
        <v>9567</v>
      </c>
      <c r="E4298" s="6" t="s">
        <v>185</v>
      </c>
      <c r="F4298" s="6" t="s">
        <v>26</v>
      </c>
      <c r="G4298" s="7">
        <v>2.5</v>
      </c>
      <c r="H4298" s="6" t="s">
        <v>531</v>
      </c>
      <c r="I4298" s="6" t="s">
        <v>20</v>
      </c>
      <c r="J4298" s="6">
        <v>2017.0</v>
      </c>
      <c r="L4298" s="6">
        <v>2.0</v>
      </c>
      <c r="M4298" s="8">
        <f t="shared" si="4"/>
        <v>5</v>
      </c>
      <c r="N4298" s="6" t="s">
        <v>122</v>
      </c>
      <c r="P4298" s="9"/>
    </row>
    <row r="4299">
      <c r="A4299" s="6" t="s">
        <v>9568</v>
      </c>
      <c r="B4299" s="6" t="s">
        <v>208</v>
      </c>
      <c r="C4299" s="6" t="s">
        <v>30</v>
      </c>
      <c r="D4299" s="6" t="s">
        <v>9569</v>
      </c>
      <c r="E4299" s="6" t="s">
        <v>176</v>
      </c>
      <c r="F4299" s="6" t="s">
        <v>77</v>
      </c>
      <c r="G4299" s="7">
        <v>0.24</v>
      </c>
      <c r="H4299" s="6" t="s">
        <v>1856</v>
      </c>
      <c r="I4299" s="6" t="s">
        <v>20</v>
      </c>
      <c r="J4299" s="6">
        <v>2017.0</v>
      </c>
      <c r="K4299" s="10">
        <v>46054.0</v>
      </c>
      <c r="L4299" s="6">
        <v>1.0</v>
      </c>
      <c r="M4299" s="8">
        <f t="shared" si="4"/>
        <v>0.24</v>
      </c>
      <c r="P4299" s="9"/>
    </row>
    <row r="4300">
      <c r="A4300" s="6" t="s">
        <v>9570</v>
      </c>
      <c r="B4300" s="6" t="s">
        <v>74</v>
      </c>
      <c r="C4300" s="6" t="s">
        <v>43</v>
      </c>
      <c r="D4300" s="6" t="s">
        <v>9571</v>
      </c>
      <c r="E4300" s="6" t="s">
        <v>57</v>
      </c>
      <c r="F4300" s="6" t="s">
        <v>40</v>
      </c>
      <c r="G4300" s="7">
        <v>0.03</v>
      </c>
      <c r="H4300" s="6" t="s">
        <v>1856</v>
      </c>
      <c r="I4300" s="6" t="s">
        <v>20</v>
      </c>
      <c r="J4300" s="6">
        <v>2017.0</v>
      </c>
      <c r="L4300" s="6">
        <v>1.0</v>
      </c>
      <c r="M4300" s="8">
        <f t="shared" si="4"/>
        <v>0.03</v>
      </c>
      <c r="P4300" s="9"/>
    </row>
    <row r="4301">
      <c r="A4301" s="6" t="s">
        <v>9572</v>
      </c>
      <c r="B4301" s="6" t="s">
        <v>74</v>
      </c>
      <c r="C4301" s="6" t="s">
        <v>43</v>
      </c>
      <c r="D4301" s="6" t="s">
        <v>2237</v>
      </c>
      <c r="E4301" s="6" t="s">
        <v>107</v>
      </c>
      <c r="F4301" s="6" t="s">
        <v>18</v>
      </c>
      <c r="G4301" s="7">
        <v>0.2</v>
      </c>
      <c r="H4301" s="6" t="s">
        <v>701</v>
      </c>
      <c r="I4301" s="6" t="s">
        <v>20</v>
      </c>
      <c r="J4301" s="6">
        <v>2015.0</v>
      </c>
      <c r="L4301" s="6">
        <v>1.0</v>
      </c>
      <c r="M4301" s="8">
        <f t="shared" si="4"/>
        <v>0.2</v>
      </c>
      <c r="P4301" s="9"/>
    </row>
    <row r="4302">
      <c r="A4302" s="6" t="s">
        <v>9573</v>
      </c>
      <c r="B4302" s="6" t="s">
        <v>208</v>
      </c>
      <c r="C4302" s="6" t="s">
        <v>37</v>
      </c>
      <c r="D4302" s="6" t="s">
        <v>9574</v>
      </c>
      <c r="E4302" s="6" t="s">
        <v>256</v>
      </c>
      <c r="F4302" s="6" t="s">
        <v>87</v>
      </c>
      <c r="G4302" s="7">
        <v>0.03</v>
      </c>
      <c r="H4302" s="6" t="s">
        <v>1856</v>
      </c>
      <c r="I4302" s="6" t="s">
        <v>20</v>
      </c>
      <c r="J4302" s="6">
        <v>2017.0</v>
      </c>
      <c r="K4302" s="10">
        <v>46025.0</v>
      </c>
      <c r="L4302" s="6">
        <v>1.0</v>
      </c>
      <c r="M4302" s="8">
        <f t="shared" si="4"/>
        <v>0.03</v>
      </c>
      <c r="P4302" s="9"/>
    </row>
    <row r="4303">
      <c r="A4303" s="6" t="s">
        <v>9575</v>
      </c>
      <c r="B4303" s="6" t="s">
        <v>9576</v>
      </c>
      <c r="C4303" s="6" t="s">
        <v>37</v>
      </c>
      <c r="D4303" s="6" t="s">
        <v>9577</v>
      </c>
      <c r="E4303" s="6" t="s">
        <v>176</v>
      </c>
      <c r="F4303" s="6" t="s">
        <v>77</v>
      </c>
      <c r="G4303" s="7">
        <v>0.03</v>
      </c>
      <c r="H4303" s="6" t="s">
        <v>1856</v>
      </c>
      <c r="I4303" s="6" t="s">
        <v>20</v>
      </c>
      <c r="J4303" s="6">
        <v>2017.0</v>
      </c>
      <c r="K4303" s="10">
        <v>46055.0</v>
      </c>
      <c r="L4303" s="6">
        <v>1.0</v>
      </c>
      <c r="M4303" s="8">
        <f t="shared" si="4"/>
        <v>0.03</v>
      </c>
      <c r="P4303" s="9"/>
    </row>
    <row r="4304">
      <c r="A4304" s="6" t="s">
        <v>9578</v>
      </c>
      <c r="B4304" s="6" t="s">
        <v>9579</v>
      </c>
      <c r="C4304" s="6" t="s">
        <v>43</v>
      </c>
      <c r="D4304" s="6" t="s">
        <v>9580</v>
      </c>
      <c r="F4304" s="6" t="s">
        <v>40</v>
      </c>
      <c r="G4304" s="7">
        <v>0.06</v>
      </c>
      <c r="H4304" s="6" t="s">
        <v>1856</v>
      </c>
      <c r="I4304" s="6" t="s">
        <v>20</v>
      </c>
      <c r="J4304" s="6">
        <v>2017.0</v>
      </c>
      <c r="L4304" s="6">
        <v>1.0</v>
      </c>
      <c r="M4304" s="8">
        <f t="shared" si="4"/>
        <v>0.06</v>
      </c>
      <c r="P4304" s="9"/>
    </row>
    <row r="4305">
      <c r="A4305" s="6" t="s">
        <v>9581</v>
      </c>
      <c r="B4305" s="6" t="s">
        <v>74</v>
      </c>
      <c r="C4305" s="6" t="s">
        <v>43</v>
      </c>
      <c r="D4305" s="6" t="s">
        <v>9582</v>
      </c>
      <c r="E4305" s="6" t="s">
        <v>86</v>
      </c>
      <c r="F4305" s="6" t="s">
        <v>87</v>
      </c>
      <c r="G4305" s="7">
        <v>0.03</v>
      </c>
      <c r="H4305" s="6" t="s">
        <v>1856</v>
      </c>
      <c r="I4305" s="6" t="s">
        <v>20</v>
      </c>
      <c r="J4305" s="6">
        <v>2017.0</v>
      </c>
      <c r="L4305" s="6">
        <v>1.0</v>
      </c>
      <c r="M4305" s="8">
        <f t="shared" si="4"/>
        <v>0.03</v>
      </c>
      <c r="P4305" s="9"/>
    </row>
    <row r="4306">
      <c r="A4306" s="6" t="s">
        <v>9583</v>
      </c>
      <c r="B4306" s="6" t="s">
        <v>1721</v>
      </c>
      <c r="C4306" s="6" t="s">
        <v>43</v>
      </c>
      <c r="D4306" s="6" t="s">
        <v>9584</v>
      </c>
      <c r="E4306" s="6" t="s">
        <v>420</v>
      </c>
      <c r="F4306" s="6" t="s">
        <v>40</v>
      </c>
      <c r="G4306" s="7">
        <v>0.03</v>
      </c>
      <c r="H4306" s="6" t="s">
        <v>1856</v>
      </c>
      <c r="I4306" s="6" t="s">
        <v>20</v>
      </c>
      <c r="J4306" s="6">
        <v>2017.0</v>
      </c>
      <c r="K4306" s="10">
        <v>46084.0</v>
      </c>
      <c r="L4306" s="6">
        <v>1.0</v>
      </c>
      <c r="M4306" s="8">
        <f t="shared" si="4"/>
        <v>0.03</v>
      </c>
      <c r="P4306" s="9"/>
    </row>
    <row r="4307">
      <c r="A4307" s="6" t="s">
        <v>9585</v>
      </c>
      <c r="B4307" s="6" t="s">
        <v>9586</v>
      </c>
      <c r="C4307" s="6" t="s">
        <v>37</v>
      </c>
      <c r="D4307" s="6" t="s">
        <v>9587</v>
      </c>
      <c r="E4307" s="6" t="s">
        <v>9588</v>
      </c>
      <c r="F4307" s="6" t="s">
        <v>977</v>
      </c>
      <c r="G4307" s="7">
        <v>0.1</v>
      </c>
      <c r="H4307" s="6" t="s">
        <v>531</v>
      </c>
      <c r="I4307" s="6" t="s">
        <v>20</v>
      </c>
      <c r="J4307" s="6">
        <v>2017.0</v>
      </c>
      <c r="L4307" s="6">
        <v>3.0</v>
      </c>
      <c r="M4307" s="8">
        <f t="shared" si="4"/>
        <v>0.3</v>
      </c>
      <c r="P4307" s="9"/>
    </row>
    <row r="4308">
      <c r="A4308" s="6" t="s">
        <v>9589</v>
      </c>
      <c r="B4308" s="6" t="s">
        <v>1844</v>
      </c>
      <c r="C4308" s="6" t="s">
        <v>43</v>
      </c>
      <c r="D4308" s="6" t="s">
        <v>9590</v>
      </c>
      <c r="E4308" s="6" t="s">
        <v>98</v>
      </c>
      <c r="F4308" s="6" t="s">
        <v>18</v>
      </c>
      <c r="G4308" s="7">
        <v>0.03</v>
      </c>
      <c r="H4308" s="6" t="s">
        <v>1856</v>
      </c>
      <c r="I4308" s="6" t="s">
        <v>20</v>
      </c>
      <c r="J4308" s="6">
        <v>2017.0</v>
      </c>
      <c r="K4308" s="10">
        <v>46055.0</v>
      </c>
      <c r="L4308" s="6">
        <v>3.0</v>
      </c>
      <c r="M4308" s="8">
        <f t="shared" si="4"/>
        <v>0.09</v>
      </c>
      <c r="P4308" s="9"/>
    </row>
    <row r="4309">
      <c r="A4309" s="6" t="s">
        <v>9591</v>
      </c>
      <c r="B4309" s="6" t="s">
        <v>1577</v>
      </c>
      <c r="C4309" s="6" t="s">
        <v>37</v>
      </c>
      <c r="D4309" s="6" t="s">
        <v>9592</v>
      </c>
      <c r="F4309" s="6" t="s">
        <v>2983</v>
      </c>
      <c r="G4309" s="7">
        <v>0.39</v>
      </c>
      <c r="H4309" s="6" t="s">
        <v>922</v>
      </c>
      <c r="I4309" s="6" t="s">
        <v>20</v>
      </c>
      <c r="J4309" s="6">
        <v>2014.0</v>
      </c>
      <c r="L4309" s="6">
        <v>2.0</v>
      </c>
      <c r="M4309" s="8">
        <f t="shared" si="4"/>
        <v>0.78</v>
      </c>
      <c r="P4309" s="9"/>
    </row>
    <row r="4310">
      <c r="A4310" s="6" t="s">
        <v>8535</v>
      </c>
      <c r="B4310" s="6" t="s">
        <v>1517</v>
      </c>
      <c r="C4310" s="6" t="s">
        <v>43</v>
      </c>
      <c r="D4310" s="6" t="s">
        <v>8536</v>
      </c>
      <c r="E4310" s="6" t="s">
        <v>329</v>
      </c>
      <c r="F4310" s="6" t="s">
        <v>112</v>
      </c>
      <c r="G4310" s="7">
        <v>0.03</v>
      </c>
      <c r="H4310" s="6" t="s">
        <v>1776</v>
      </c>
      <c r="I4310" s="6" t="s">
        <v>20</v>
      </c>
      <c r="J4310" s="6">
        <v>2017.0</v>
      </c>
      <c r="K4310" s="10">
        <v>46083.0</v>
      </c>
      <c r="L4310" s="6">
        <v>1.0</v>
      </c>
      <c r="M4310" s="8">
        <f t="shared" si="4"/>
        <v>0.03</v>
      </c>
      <c r="P4310" s="9"/>
    </row>
    <row r="4311">
      <c r="A4311" s="6" t="s">
        <v>9593</v>
      </c>
      <c r="B4311" s="6" t="s">
        <v>162</v>
      </c>
      <c r="C4311" s="6" t="s">
        <v>37</v>
      </c>
      <c r="D4311" s="6" t="s">
        <v>9594</v>
      </c>
      <c r="E4311" s="6" t="s">
        <v>9595</v>
      </c>
      <c r="F4311" s="6" t="s">
        <v>112</v>
      </c>
      <c r="G4311" s="7">
        <v>0.41</v>
      </c>
      <c r="H4311" s="6" t="s">
        <v>1442</v>
      </c>
      <c r="I4311" s="6" t="s">
        <v>20</v>
      </c>
      <c r="J4311" s="6">
        <v>2001.0</v>
      </c>
      <c r="L4311" s="6">
        <v>1.0</v>
      </c>
      <c r="M4311" s="8">
        <f t="shared" si="4"/>
        <v>0.41</v>
      </c>
      <c r="P4311" s="9"/>
    </row>
    <row r="4312">
      <c r="A4312" s="6" t="s">
        <v>9530</v>
      </c>
      <c r="B4312" s="6" t="s">
        <v>74</v>
      </c>
      <c r="C4312" s="6" t="s">
        <v>37</v>
      </c>
      <c r="D4312" s="6" t="s">
        <v>9531</v>
      </c>
      <c r="E4312" s="6" t="s">
        <v>179</v>
      </c>
      <c r="F4312" s="6" t="s">
        <v>112</v>
      </c>
      <c r="G4312" s="7">
        <v>0.38</v>
      </c>
      <c r="H4312" s="6" t="s">
        <v>4265</v>
      </c>
      <c r="I4312" s="6" t="s">
        <v>20</v>
      </c>
      <c r="J4312" s="6">
        <v>2009.0</v>
      </c>
      <c r="L4312" s="6">
        <v>1.0</v>
      </c>
      <c r="M4312" s="8">
        <f t="shared" si="4"/>
        <v>0.38</v>
      </c>
      <c r="P4312" s="9"/>
    </row>
    <row r="4313">
      <c r="A4313" s="6" t="s">
        <v>9596</v>
      </c>
      <c r="B4313" s="6" t="s">
        <v>603</v>
      </c>
      <c r="C4313" s="6" t="s">
        <v>37</v>
      </c>
      <c r="D4313" s="6" t="s">
        <v>9597</v>
      </c>
      <c r="E4313" s="6" t="s">
        <v>1939</v>
      </c>
      <c r="F4313" s="6" t="s">
        <v>977</v>
      </c>
      <c r="G4313" s="7">
        <v>0.03</v>
      </c>
      <c r="H4313" s="6" t="s">
        <v>1856</v>
      </c>
      <c r="I4313" s="6" t="s">
        <v>20</v>
      </c>
      <c r="J4313" s="6">
        <v>2017.0</v>
      </c>
      <c r="K4313" s="10">
        <v>46082.0</v>
      </c>
      <c r="L4313" s="6">
        <v>2.0</v>
      </c>
      <c r="M4313" s="8">
        <f t="shared" si="4"/>
        <v>0.06</v>
      </c>
      <c r="P4313" s="9"/>
    </row>
    <row r="4314">
      <c r="A4314" s="6" t="s">
        <v>7642</v>
      </c>
      <c r="B4314" s="6" t="s">
        <v>74</v>
      </c>
      <c r="C4314" s="6" t="s">
        <v>43</v>
      </c>
      <c r="D4314" s="6" t="s">
        <v>7643</v>
      </c>
      <c r="E4314" s="6" t="s">
        <v>190</v>
      </c>
      <c r="F4314" s="6" t="s">
        <v>18</v>
      </c>
      <c r="G4314" s="7">
        <v>0.04</v>
      </c>
      <c r="H4314" s="6" t="s">
        <v>1856</v>
      </c>
      <c r="I4314" s="6" t="s">
        <v>20</v>
      </c>
      <c r="J4314" s="6">
        <v>2017.0</v>
      </c>
      <c r="L4314" s="6">
        <v>3.0</v>
      </c>
      <c r="M4314" s="8">
        <f t="shared" si="4"/>
        <v>0.12</v>
      </c>
      <c r="P4314" s="9"/>
    </row>
    <row r="4315">
      <c r="A4315" s="6" t="s">
        <v>9598</v>
      </c>
      <c r="B4315" s="6" t="s">
        <v>494</v>
      </c>
      <c r="C4315" s="6" t="s">
        <v>37</v>
      </c>
      <c r="D4315" s="6" t="s">
        <v>9599</v>
      </c>
      <c r="E4315" s="6" t="s">
        <v>107</v>
      </c>
      <c r="F4315" s="6" t="s">
        <v>18</v>
      </c>
      <c r="G4315" s="7">
        <v>0.05</v>
      </c>
      <c r="H4315" s="6" t="s">
        <v>65</v>
      </c>
      <c r="I4315" s="6" t="s">
        <v>20</v>
      </c>
      <c r="J4315" s="6">
        <v>2013.0</v>
      </c>
      <c r="L4315" s="6">
        <v>1.0</v>
      </c>
      <c r="M4315" s="8">
        <f t="shared" si="4"/>
        <v>0.05</v>
      </c>
      <c r="P4315" s="9"/>
    </row>
    <row r="4316">
      <c r="A4316" s="6" t="s">
        <v>8593</v>
      </c>
      <c r="B4316" s="6" t="s">
        <v>162</v>
      </c>
      <c r="C4316" s="6" t="s">
        <v>43</v>
      </c>
      <c r="D4316" s="6" t="s">
        <v>8594</v>
      </c>
      <c r="E4316" s="6" t="s">
        <v>329</v>
      </c>
      <c r="F4316" s="6" t="s">
        <v>112</v>
      </c>
      <c r="G4316" s="7">
        <v>0.03</v>
      </c>
      <c r="H4316" s="6" t="s">
        <v>1856</v>
      </c>
      <c r="I4316" s="6" t="s">
        <v>20</v>
      </c>
      <c r="J4316" s="6">
        <v>2017.0</v>
      </c>
      <c r="L4316" s="6">
        <v>1.0</v>
      </c>
      <c r="M4316" s="8">
        <f t="shared" si="4"/>
        <v>0.03</v>
      </c>
      <c r="P4316" s="9"/>
    </row>
    <row r="4317">
      <c r="A4317" s="6" t="s">
        <v>9593</v>
      </c>
      <c r="B4317" s="6" t="s">
        <v>162</v>
      </c>
      <c r="C4317" s="6" t="s">
        <v>37</v>
      </c>
      <c r="D4317" s="6" t="s">
        <v>9594</v>
      </c>
      <c r="E4317" s="6" t="s">
        <v>9595</v>
      </c>
      <c r="F4317" s="6" t="s">
        <v>112</v>
      </c>
      <c r="G4317" s="7">
        <v>0.17</v>
      </c>
      <c r="H4317" s="6" t="s">
        <v>1584</v>
      </c>
      <c r="I4317" s="6" t="s">
        <v>20</v>
      </c>
      <c r="J4317" s="6">
        <v>1997.0</v>
      </c>
      <c r="L4317" s="6">
        <v>1.0</v>
      </c>
      <c r="M4317" s="8">
        <f t="shared" si="4"/>
        <v>0.17</v>
      </c>
      <c r="P4317" s="9"/>
    </row>
    <row r="4318">
      <c r="A4318" s="6" t="s">
        <v>9600</v>
      </c>
      <c r="B4318" s="6" t="s">
        <v>9601</v>
      </c>
      <c r="C4318" s="6" t="s">
        <v>204</v>
      </c>
      <c r="D4318" s="6" t="s">
        <v>9602</v>
      </c>
      <c r="E4318" s="6" t="s">
        <v>983</v>
      </c>
      <c r="F4318" s="6" t="s">
        <v>3210</v>
      </c>
      <c r="G4318" s="7">
        <v>0.05</v>
      </c>
      <c r="H4318" s="6" t="s">
        <v>9603</v>
      </c>
      <c r="I4318" s="6" t="s">
        <v>20</v>
      </c>
      <c r="J4318" s="6">
        <v>2013.0</v>
      </c>
      <c r="K4318" s="10">
        <v>46055.0</v>
      </c>
      <c r="L4318" s="6">
        <v>1.0</v>
      </c>
      <c r="M4318" s="8">
        <f t="shared" si="4"/>
        <v>0.05</v>
      </c>
      <c r="P4318" s="9"/>
    </row>
    <row r="4319">
      <c r="A4319" s="6" t="s">
        <v>9527</v>
      </c>
      <c r="B4319" s="6" t="s">
        <v>9528</v>
      </c>
      <c r="C4319" s="6" t="s">
        <v>204</v>
      </c>
      <c r="D4319" s="6" t="s">
        <v>9529</v>
      </c>
      <c r="E4319" s="6" t="s">
        <v>4393</v>
      </c>
      <c r="F4319" s="6" t="s">
        <v>9604</v>
      </c>
      <c r="G4319" s="7">
        <v>0.07</v>
      </c>
      <c r="H4319" s="6" t="s">
        <v>2291</v>
      </c>
      <c r="I4319" s="6" t="s">
        <v>20</v>
      </c>
      <c r="J4319" s="6">
        <v>2008.0</v>
      </c>
      <c r="K4319" s="10">
        <v>46210.0</v>
      </c>
      <c r="L4319" s="6">
        <v>1.0</v>
      </c>
      <c r="M4319" s="8">
        <f t="shared" si="4"/>
        <v>0.07</v>
      </c>
      <c r="P4319" s="9"/>
    </row>
    <row r="4320">
      <c r="A4320" s="6" t="s">
        <v>9048</v>
      </c>
      <c r="B4320" s="6" t="s">
        <v>9049</v>
      </c>
      <c r="C4320" s="6" t="s">
        <v>43</v>
      </c>
      <c r="D4320" s="6" t="s">
        <v>9050</v>
      </c>
      <c r="F4320" s="6" t="s">
        <v>112</v>
      </c>
      <c r="G4320" s="7">
        <v>0.2</v>
      </c>
      <c r="H4320" s="6" t="s">
        <v>1856</v>
      </c>
      <c r="I4320" s="6" t="s">
        <v>20</v>
      </c>
      <c r="J4320" s="6">
        <v>2017.0</v>
      </c>
      <c r="L4320" s="6">
        <v>11.0</v>
      </c>
      <c r="M4320" s="8">
        <f t="shared" si="4"/>
        <v>2.2</v>
      </c>
      <c r="P4320" s="9"/>
    </row>
    <row r="4321">
      <c r="A4321" s="6" t="s">
        <v>9605</v>
      </c>
      <c r="B4321" s="6" t="s">
        <v>9606</v>
      </c>
      <c r="C4321" s="6" t="s">
        <v>1488</v>
      </c>
      <c r="D4321" s="13" t="str">
        <f>+2: Untap up to two target creatures and up to two target lands. −3: Target creature gets +5/+5 until end of turn. −10: Look at the top ten cards of your library. You may put any number of creature and/or land cards from among them onto the battlefield. Put the rest on the bottom of your library in a random order. / +2: Desvire até duas criaturas alvo e até dois terrenos alvo. −3: A criatura alvo recebe +5/+5 até o final do turno. −10: Olhe os primeiros dez cards do topo de seu grimório. Você pode colocar qualquer número de cards de criatura e/ou terreno dentre eles no campo de batalha. Coloque o restante no fundo de seu grimório em ordem aleatória.</f>
        <v>#ERROR!</v>
      </c>
      <c r="E4321" s="6" t="s">
        <v>4393</v>
      </c>
      <c r="F4321" s="6" t="s">
        <v>112</v>
      </c>
      <c r="G4321" s="7">
        <v>3.55</v>
      </c>
      <c r="H4321" s="6" t="s">
        <v>1856</v>
      </c>
      <c r="I4321" s="6" t="s">
        <v>45</v>
      </c>
      <c r="J4321" s="6">
        <v>2017.0</v>
      </c>
      <c r="L4321" s="6">
        <v>1.0</v>
      </c>
      <c r="M4321" s="8">
        <f t="shared" si="4"/>
        <v>3.55</v>
      </c>
      <c r="N4321" s="6" t="s">
        <v>122</v>
      </c>
      <c r="P4321" s="9"/>
    </row>
    <row r="4322">
      <c r="A4322" s="6" t="s">
        <v>9607</v>
      </c>
      <c r="B4322" s="6" t="s">
        <v>219</v>
      </c>
      <c r="C4322" s="6" t="s">
        <v>37</v>
      </c>
      <c r="D4322" s="6" t="s">
        <v>9608</v>
      </c>
      <c r="E4322" s="6" t="s">
        <v>9609</v>
      </c>
      <c r="F4322" s="6" t="s">
        <v>26</v>
      </c>
      <c r="G4322" s="7">
        <v>0.09</v>
      </c>
      <c r="H4322" s="6" t="s">
        <v>922</v>
      </c>
      <c r="I4322" s="6" t="s">
        <v>20</v>
      </c>
      <c r="J4322" s="6">
        <v>2014.0</v>
      </c>
      <c r="L4322" s="6">
        <v>1.0</v>
      </c>
      <c r="M4322" s="8">
        <f t="shared" si="4"/>
        <v>0.09</v>
      </c>
      <c r="P4322" s="9"/>
    </row>
    <row r="4323">
      <c r="A4323" s="6" t="s">
        <v>9610</v>
      </c>
      <c r="B4323" s="6" t="s">
        <v>74</v>
      </c>
      <c r="C4323" s="6" t="s">
        <v>43</v>
      </c>
      <c r="D4323" s="6" t="s">
        <v>9611</v>
      </c>
      <c r="E4323" s="6" t="s">
        <v>179</v>
      </c>
      <c r="F4323" s="6" t="s">
        <v>112</v>
      </c>
      <c r="G4323" s="7">
        <v>0.13</v>
      </c>
      <c r="H4323" s="6" t="s">
        <v>1856</v>
      </c>
      <c r="I4323" s="6" t="s">
        <v>20</v>
      </c>
      <c r="J4323" s="6">
        <v>2017.0</v>
      </c>
      <c r="L4323" s="6">
        <v>2.0</v>
      </c>
      <c r="M4323" s="8">
        <f t="shared" si="4"/>
        <v>0.26</v>
      </c>
      <c r="P4323" s="9"/>
    </row>
    <row r="4324">
      <c r="A4324" s="6" t="s">
        <v>9612</v>
      </c>
      <c r="B4324" s="6" t="s">
        <v>9613</v>
      </c>
      <c r="C4324" s="6" t="s">
        <v>204</v>
      </c>
      <c r="D4324" s="6" t="s">
        <v>9614</v>
      </c>
      <c r="E4324" s="6" t="s">
        <v>5137</v>
      </c>
      <c r="F4324" s="6" t="s">
        <v>3210</v>
      </c>
      <c r="G4324" s="7">
        <v>0.2</v>
      </c>
      <c r="H4324" s="6" t="s">
        <v>1856</v>
      </c>
      <c r="I4324" s="6" t="s">
        <v>20</v>
      </c>
      <c r="J4324" s="6">
        <v>2017.0</v>
      </c>
      <c r="L4324" s="6">
        <v>3.0</v>
      </c>
      <c r="M4324" s="8">
        <f t="shared" si="4"/>
        <v>0.6</v>
      </c>
      <c r="P4324" s="9"/>
    </row>
    <row r="4325">
      <c r="A4325" s="6" t="s">
        <v>9615</v>
      </c>
      <c r="B4325" s="6" t="s">
        <v>8918</v>
      </c>
      <c r="C4325" s="6" t="s">
        <v>43</v>
      </c>
      <c r="D4325" s="6" t="s">
        <v>6915</v>
      </c>
      <c r="E4325" s="6" t="s">
        <v>224</v>
      </c>
      <c r="F4325" s="6" t="s">
        <v>18</v>
      </c>
      <c r="G4325" s="7">
        <v>0.06</v>
      </c>
      <c r="H4325" s="6" t="s">
        <v>1856</v>
      </c>
      <c r="I4325" s="6" t="s">
        <v>20</v>
      </c>
      <c r="J4325" s="6">
        <v>2017.0</v>
      </c>
      <c r="K4325" s="10">
        <v>46083.0</v>
      </c>
      <c r="L4325" s="6">
        <v>3.0</v>
      </c>
      <c r="M4325" s="8">
        <f t="shared" si="4"/>
        <v>0.18</v>
      </c>
      <c r="P4325" s="9"/>
    </row>
    <row r="4326">
      <c r="A4326" s="6" t="s">
        <v>9616</v>
      </c>
      <c r="B4326" s="6" t="s">
        <v>162</v>
      </c>
      <c r="C4326" s="6" t="s">
        <v>30</v>
      </c>
      <c r="D4326" s="6" t="s">
        <v>9617</v>
      </c>
      <c r="E4326" s="6" t="s">
        <v>448</v>
      </c>
      <c r="F4326" s="6" t="s">
        <v>112</v>
      </c>
      <c r="G4326" s="7">
        <v>0.31</v>
      </c>
      <c r="H4326" s="6" t="s">
        <v>1856</v>
      </c>
      <c r="I4326" s="6" t="s">
        <v>20</v>
      </c>
      <c r="J4326" s="6">
        <v>2017.0</v>
      </c>
      <c r="L4326" s="6">
        <v>2.0</v>
      </c>
      <c r="M4326" s="8">
        <f t="shared" si="4"/>
        <v>0.62</v>
      </c>
      <c r="P4326" s="9"/>
    </row>
    <row r="4327">
      <c r="A4327" s="6" t="s">
        <v>9618</v>
      </c>
      <c r="B4327" s="6" t="s">
        <v>1095</v>
      </c>
      <c r="C4327" s="6" t="s">
        <v>43</v>
      </c>
      <c r="D4327" s="6" t="s">
        <v>9619</v>
      </c>
      <c r="E4327" s="6" t="s">
        <v>179</v>
      </c>
      <c r="F4327" s="6" t="s">
        <v>112</v>
      </c>
      <c r="G4327" s="7">
        <v>1.0</v>
      </c>
      <c r="H4327" s="6" t="s">
        <v>144</v>
      </c>
      <c r="I4327" s="6" t="s">
        <v>20</v>
      </c>
      <c r="J4327" s="6">
        <v>2018.0</v>
      </c>
      <c r="K4327" s="10">
        <v>46023.0</v>
      </c>
      <c r="L4327" s="6">
        <v>4.0</v>
      </c>
      <c r="M4327" s="8">
        <f t="shared" si="4"/>
        <v>4</v>
      </c>
      <c r="N4327" s="6" t="s">
        <v>122</v>
      </c>
      <c r="P4327" s="9"/>
    </row>
    <row r="4328">
      <c r="A4328" s="6" t="s">
        <v>9620</v>
      </c>
      <c r="B4328" s="6" t="s">
        <v>1002</v>
      </c>
      <c r="C4328" s="6" t="s">
        <v>43</v>
      </c>
      <c r="D4328" s="6" t="s">
        <v>9621</v>
      </c>
      <c r="E4328" s="6" t="s">
        <v>1702</v>
      </c>
      <c r="F4328" s="6" t="s">
        <v>112</v>
      </c>
      <c r="G4328" s="7">
        <v>0.1</v>
      </c>
      <c r="H4328" s="6" t="s">
        <v>1856</v>
      </c>
      <c r="I4328" s="6" t="s">
        <v>20</v>
      </c>
      <c r="J4328" s="6">
        <v>2017.0</v>
      </c>
      <c r="K4328" s="10">
        <v>46179.0</v>
      </c>
      <c r="L4328" s="6">
        <v>4.0</v>
      </c>
      <c r="M4328" s="8">
        <f t="shared" si="4"/>
        <v>0.4</v>
      </c>
      <c r="P4328" s="9"/>
    </row>
    <row r="4329">
      <c r="A4329" s="6" t="s">
        <v>9622</v>
      </c>
      <c r="B4329" s="6" t="s">
        <v>8485</v>
      </c>
      <c r="C4329" s="6" t="s">
        <v>37</v>
      </c>
      <c r="D4329" s="6" t="s">
        <v>9623</v>
      </c>
      <c r="E4329" s="6" t="s">
        <v>983</v>
      </c>
      <c r="F4329" s="6" t="s">
        <v>977</v>
      </c>
      <c r="G4329" s="7">
        <v>0.06</v>
      </c>
      <c r="H4329" s="6" t="s">
        <v>531</v>
      </c>
      <c r="I4329" s="6" t="s">
        <v>20</v>
      </c>
      <c r="J4329" s="6">
        <v>2017.0</v>
      </c>
      <c r="K4329" s="10">
        <v>46055.0</v>
      </c>
      <c r="L4329" s="6">
        <v>4.0</v>
      </c>
      <c r="M4329" s="8">
        <f t="shared" si="4"/>
        <v>0.24</v>
      </c>
      <c r="P4329" s="9"/>
    </row>
    <row r="4330">
      <c r="A4330" s="6" t="s">
        <v>9624</v>
      </c>
      <c r="B4330" s="6" t="s">
        <v>1517</v>
      </c>
      <c r="C4330" s="6" t="s">
        <v>43</v>
      </c>
      <c r="D4330" s="6" t="s">
        <v>9625</v>
      </c>
      <c r="E4330" s="6" t="s">
        <v>164</v>
      </c>
      <c r="F4330" s="6" t="s">
        <v>112</v>
      </c>
      <c r="G4330" s="7">
        <v>0.03</v>
      </c>
      <c r="H4330" s="6" t="s">
        <v>1856</v>
      </c>
      <c r="I4330" s="6" t="s">
        <v>20</v>
      </c>
      <c r="J4330" s="6">
        <v>2017.0</v>
      </c>
      <c r="K4330" s="10">
        <v>46082.0</v>
      </c>
      <c r="L4330" s="6">
        <v>2.0</v>
      </c>
      <c r="M4330" s="8">
        <f t="shared" si="4"/>
        <v>0.06</v>
      </c>
      <c r="P4330" s="9"/>
    </row>
    <row r="4331">
      <c r="A4331" s="6" t="s">
        <v>9626</v>
      </c>
      <c r="B4331" s="6" t="s">
        <v>1844</v>
      </c>
      <c r="C4331" s="6" t="s">
        <v>37</v>
      </c>
      <c r="D4331" s="6" t="s">
        <v>9627</v>
      </c>
      <c r="E4331" s="6" t="s">
        <v>237</v>
      </c>
      <c r="F4331" s="6" t="s">
        <v>18</v>
      </c>
      <c r="G4331" s="7">
        <v>0.06</v>
      </c>
      <c r="H4331" s="6" t="s">
        <v>531</v>
      </c>
      <c r="I4331" s="6" t="s">
        <v>20</v>
      </c>
      <c r="J4331" s="6">
        <v>2017.0</v>
      </c>
      <c r="K4331" s="10">
        <v>46116.0</v>
      </c>
      <c r="L4331" s="6">
        <v>2.0</v>
      </c>
      <c r="M4331" s="8">
        <f t="shared" si="4"/>
        <v>0.12</v>
      </c>
      <c r="P4331" s="9"/>
    </row>
    <row r="4332">
      <c r="A4332" s="6" t="s">
        <v>9628</v>
      </c>
      <c r="B4332" s="6" t="s">
        <v>396</v>
      </c>
      <c r="C4332" s="6" t="s">
        <v>37</v>
      </c>
      <c r="D4332" s="6" t="s">
        <v>9629</v>
      </c>
      <c r="E4332" s="6" t="s">
        <v>25</v>
      </c>
      <c r="F4332" s="6" t="s">
        <v>26</v>
      </c>
      <c r="G4332" s="7">
        <v>0.41</v>
      </c>
      <c r="H4332" s="6" t="s">
        <v>1856</v>
      </c>
      <c r="I4332" s="6" t="s">
        <v>45</v>
      </c>
      <c r="J4332" s="6">
        <v>2017.0</v>
      </c>
      <c r="L4332" s="6">
        <v>1.0</v>
      </c>
      <c r="M4332" s="8">
        <f t="shared" si="4"/>
        <v>0.41</v>
      </c>
      <c r="P4332" s="9"/>
    </row>
    <row r="4333">
      <c r="A4333" s="6" t="s">
        <v>9630</v>
      </c>
      <c r="B4333" s="6" t="s">
        <v>219</v>
      </c>
      <c r="C4333" s="6" t="s">
        <v>37</v>
      </c>
      <c r="D4333" s="6" t="s">
        <v>9631</v>
      </c>
      <c r="E4333" s="6" t="s">
        <v>185</v>
      </c>
      <c r="F4333" s="6" t="s">
        <v>26</v>
      </c>
      <c r="G4333" s="7">
        <v>0.06</v>
      </c>
      <c r="H4333" s="6" t="s">
        <v>531</v>
      </c>
      <c r="I4333" s="6" t="s">
        <v>20</v>
      </c>
      <c r="J4333" s="6">
        <v>2017.0</v>
      </c>
      <c r="L4333" s="6">
        <v>1.0</v>
      </c>
      <c r="M4333" s="8">
        <f t="shared" si="4"/>
        <v>0.06</v>
      </c>
      <c r="P4333" s="9"/>
    </row>
    <row r="4334">
      <c r="A4334" s="6" t="s">
        <v>9048</v>
      </c>
      <c r="B4334" s="6" t="s">
        <v>9049</v>
      </c>
      <c r="C4334" s="6" t="s">
        <v>43</v>
      </c>
      <c r="D4334" s="6" t="s">
        <v>9050</v>
      </c>
      <c r="F4334" s="6" t="s">
        <v>112</v>
      </c>
      <c r="G4334" s="7">
        <v>0.2</v>
      </c>
      <c r="H4334" s="6" t="s">
        <v>9632</v>
      </c>
      <c r="I4334" s="6" t="s">
        <v>20</v>
      </c>
      <c r="J4334" s="6">
        <v>2008.0</v>
      </c>
      <c r="L4334" s="6">
        <v>1.0</v>
      </c>
      <c r="M4334" s="8">
        <f t="shared" si="4"/>
        <v>0.2</v>
      </c>
      <c r="P4334" s="9"/>
    </row>
    <row r="4335">
      <c r="A4335" s="6" t="s">
        <v>8686</v>
      </c>
      <c r="B4335" s="6" t="s">
        <v>8687</v>
      </c>
      <c r="C4335" s="6" t="s">
        <v>43</v>
      </c>
      <c r="D4335" s="6" t="s">
        <v>8688</v>
      </c>
      <c r="F4335" s="6" t="s">
        <v>18</v>
      </c>
      <c r="G4335" s="7">
        <v>0.3</v>
      </c>
      <c r="H4335" s="6" t="s">
        <v>1856</v>
      </c>
      <c r="I4335" s="6" t="s">
        <v>20</v>
      </c>
      <c r="J4335" s="6">
        <v>2017.0</v>
      </c>
      <c r="L4335" s="6">
        <v>4.0</v>
      </c>
      <c r="M4335" s="8">
        <f t="shared" si="4"/>
        <v>1.2</v>
      </c>
      <c r="P4335" s="9"/>
    </row>
    <row r="4336">
      <c r="A4336" s="6" t="s">
        <v>8686</v>
      </c>
      <c r="B4336" s="6" t="s">
        <v>8687</v>
      </c>
      <c r="C4336" s="6" t="s">
        <v>43</v>
      </c>
      <c r="D4336" s="6" t="s">
        <v>8688</v>
      </c>
      <c r="F4336" s="6" t="s">
        <v>18</v>
      </c>
      <c r="G4336" s="7">
        <v>0.27</v>
      </c>
      <c r="H4336" s="6" t="s">
        <v>1856</v>
      </c>
      <c r="I4336" s="6" t="s">
        <v>20</v>
      </c>
      <c r="J4336" s="6">
        <v>2017.0</v>
      </c>
      <c r="L4336" s="6">
        <v>4.0</v>
      </c>
      <c r="M4336" s="8">
        <f t="shared" si="4"/>
        <v>1.08</v>
      </c>
      <c r="P4336" s="9"/>
    </row>
    <row r="4337">
      <c r="A4337" s="6" t="s">
        <v>9048</v>
      </c>
      <c r="B4337" s="6" t="s">
        <v>9049</v>
      </c>
      <c r="C4337" s="6" t="s">
        <v>43</v>
      </c>
      <c r="D4337" s="6" t="s">
        <v>9050</v>
      </c>
      <c r="F4337" s="6" t="s">
        <v>112</v>
      </c>
      <c r="G4337" s="7">
        <v>0.2</v>
      </c>
      <c r="H4337" s="6" t="s">
        <v>373</v>
      </c>
      <c r="I4337" s="6" t="s">
        <v>20</v>
      </c>
      <c r="J4337" s="6">
        <v>2015.0</v>
      </c>
      <c r="L4337" s="6">
        <v>1.0</v>
      </c>
      <c r="M4337" s="8">
        <f t="shared" si="4"/>
        <v>0.2</v>
      </c>
      <c r="P4337" s="9"/>
    </row>
    <row r="4338">
      <c r="A4338" s="6" t="s">
        <v>9048</v>
      </c>
      <c r="B4338" s="6" t="s">
        <v>9049</v>
      </c>
      <c r="C4338" s="6" t="s">
        <v>43</v>
      </c>
      <c r="D4338" s="6" t="s">
        <v>9050</v>
      </c>
      <c r="F4338" s="6" t="s">
        <v>112</v>
      </c>
      <c r="G4338" s="7">
        <v>0.3</v>
      </c>
      <c r="H4338" s="6" t="s">
        <v>9633</v>
      </c>
      <c r="I4338" s="6" t="s">
        <v>20</v>
      </c>
      <c r="J4338" s="6">
        <v>2013.0</v>
      </c>
      <c r="L4338" s="6">
        <v>1.0</v>
      </c>
      <c r="M4338" s="8">
        <f t="shared" si="4"/>
        <v>0.3</v>
      </c>
      <c r="P4338" s="9"/>
    </row>
    <row r="4339">
      <c r="A4339" s="6" t="s">
        <v>9048</v>
      </c>
      <c r="B4339" s="6" t="s">
        <v>9049</v>
      </c>
      <c r="C4339" s="6" t="s">
        <v>43</v>
      </c>
      <c r="D4339" s="6" t="s">
        <v>9050</v>
      </c>
      <c r="F4339" s="6" t="s">
        <v>112</v>
      </c>
      <c r="G4339" s="7">
        <v>0.25</v>
      </c>
      <c r="H4339" s="6" t="s">
        <v>9634</v>
      </c>
      <c r="I4339" s="6" t="s">
        <v>20</v>
      </c>
      <c r="J4339" s="6">
        <v>2012.0</v>
      </c>
      <c r="L4339" s="6">
        <v>1.0</v>
      </c>
      <c r="M4339" s="8">
        <f t="shared" si="4"/>
        <v>0.25</v>
      </c>
      <c r="P4339" s="9"/>
    </row>
    <row r="4340">
      <c r="A4340" s="6" t="s">
        <v>9635</v>
      </c>
      <c r="B4340" s="6" t="s">
        <v>9636</v>
      </c>
      <c r="C4340" s="6" t="s">
        <v>30</v>
      </c>
      <c r="D4340" s="13" t="str">
        <f>+1: Untap two target lands. −1: Create a 3/3 green Beast creature token. −4: Creatures you control get +3/+3 and gain trample until end of turn. / +1: Desvire dois terrenos alvo. -1: Coloque no campo de batalha uma ficha de criatura verde 3/3 do tipo Besta. -4: As criaturas que você controla recebem +3/+3 e ganham atropelar até o final do turno.</f>
        <v>#ERROR!</v>
      </c>
      <c r="E4340" s="6" t="s">
        <v>708</v>
      </c>
      <c r="F4340" s="6" t="s">
        <v>112</v>
      </c>
      <c r="G4340" s="7">
        <v>6.83</v>
      </c>
      <c r="H4340" s="6" t="s">
        <v>3855</v>
      </c>
      <c r="I4340" s="6" t="s">
        <v>20</v>
      </c>
      <c r="J4340" s="6">
        <v>2007.0</v>
      </c>
      <c r="L4340" s="6">
        <v>1.0</v>
      </c>
      <c r="M4340" s="8">
        <f t="shared" si="4"/>
        <v>6.83</v>
      </c>
      <c r="N4340" s="6" t="s">
        <v>122</v>
      </c>
      <c r="P4340" s="9"/>
    </row>
    <row r="4341">
      <c r="A4341" s="6" t="s">
        <v>9637</v>
      </c>
      <c r="B4341" s="6" t="s">
        <v>9638</v>
      </c>
      <c r="C4341" s="6" t="s">
        <v>1488</v>
      </c>
      <c r="D4341" s="13" t="str">
        <f>+1: Draw a card, then discard a card at random. −4: Tibalt deals damage equal to the number of cards in target player's hand to that player. −6: Gain control of all creatures until end of turn. Untap them. They gain haste until end of turn. / +1: Compre um card. Depois, descarte um card aleatoriamente. -4: Tibalt, Sangue Demoníaco, causa ao jogador alvo dano igual ao número de cards na mão daquele jogador. -6: Ganhe o controle de todas as criaturas até o final do turno. Desvire-as. Todas ganham ímpeto até o final do turno.</f>
        <v>#ERROR!</v>
      </c>
      <c r="E4341" s="6" t="s">
        <v>2397</v>
      </c>
      <c r="F4341" s="6" t="s">
        <v>87</v>
      </c>
      <c r="G4341" s="7">
        <v>1.4</v>
      </c>
      <c r="H4341" s="6" t="s">
        <v>9639</v>
      </c>
      <c r="I4341" s="6" t="s">
        <v>45</v>
      </c>
      <c r="J4341" s="6">
        <v>2013.0</v>
      </c>
      <c r="L4341" s="6">
        <v>1.0</v>
      </c>
      <c r="M4341" s="8">
        <f t="shared" si="4"/>
        <v>1.4</v>
      </c>
      <c r="N4341" s="6" t="s">
        <v>122</v>
      </c>
      <c r="P4341" s="9"/>
    </row>
    <row r="4342">
      <c r="A4342" s="6" t="s">
        <v>9640</v>
      </c>
      <c r="B4342" s="6" t="s">
        <v>9606</v>
      </c>
      <c r="C4342" s="6" t="s">
        <v>1488</v>
      </c>
      <c r="D4342" s="13" t="str">
        <f>+1: Search your library for a card named Nissa's Chosen, put it onto the battlefield, then shuffle. +1: You gain 2 life for each Elf you control. −7: Search your library for any number of Elf creature cards, put them onto the battlefield, then shuffle. / +1: Procure um card com o nome Escolhido de Nissa em seu grimório e coloque-o no campo de batalha. Depois, embaralhe seu grimório. +1: Você ganha 2 pontos de vida para cada Elfo que controla. -7: Procure um número qualquer de cards de criatura do tipo Elfo em seu grimório e coloque-os no campo de batalha. Depois, embaralhe seu grimório.</f>
        <v>#ERROR!</v>
      </c>
      <c r="E4342" s="6" t="s">
        <v>708</v>
      </c>
      <c r="F4342" s="6" t="s">
        <v>112</v>
      </c>
      <c r="G4342" s="7">
        <v>7.19</v>
      </c>
      <c r="H4342" s="6" t="s">
        <v>9641</v>
      </c>
      <c r="I4342" s="6" t="s">
        <v>45</v>
      </c>
      <c r="J4342" s="6">
        <v>2010.0</v>
      </c>
      <c r="L4342" s="6">
        <v>1.0</v>
      </c>
      <c r="M4342" s="8">
        <f t="shared" si="4"/>
        <v>7.19</v>
      </c>
      <c r="N4342" s="6" t="s">
        <v>122</v>
      </c>
      <c r="P4342" s="9"/>
    </row>
    <row r="4343">
      <c r="A4343" s="6" t="s">
        <v>9642</v>
      </c>
      <c r="B4343" s="6" t="s">
        <v>9643</v>
      </c>
      <c r="C4343" s="6" t="s">
        <v>1488</v>
      </c>
      <c r="D4343" s="13" t="str">
        <f>+2: You gain 1 life for each creature you control. −2: Create three 1/1 white Soldier creature tokens. −5: Destroy all other permanents except for lands and tokens. / +2: Você ganha 1 ponto de vida para cada criatura que controla. -2: Coloque no campo de batalha três fichas de criatura brancas 1/1 do tipo Soldado. -5: Destrua todas as outras permanentes, exceto terrenos e fichas.</f>
        <v>#ERROR!</v>
      </c>
      <c r="E4343" s="6" t="s">
        <v>2030</v>
      </c>
      <c r="F4343" s="6" t="s">
        <v>40</v>
      </c>
      <c r="G4343" s="7">
        <v>4.95</v>
      </c>
      <c r="H4343" s="6" t="s">
        <v>3124</v>
      </c>
      <c r="I4343" s="6" t="s">
        <v>20</v>
      </c>
      <c r="J4343" s="6">
        <v>2010.0</v>
      </c>
      <c r="L4343" s="6">
        <v>1.0</v>
      </c>
      <c r="M4343" s="8">
        <f t="shared" si="4"/>
        <v>4.95</v>
      </c>
      <c r="N4343" s="6" t="s">
        <v>122</v>
      </c>
      <c r="P4343" s="9"/>
    </row>
    <row r="4344">
      <c r="A4344" s="6" t="s">
        <v>9644</v>
      </c>
      <c r="B4344" s="6" t="s">
        <v>9645</v>
      </c>
      <c r="C4344" s="6" t="s">
        <v>30</v>
      </c>
      <c r="D4344" s="13" t="str">
        <f>+1: You gain 2 life. −1: Put a +1/+1 counter on each creature you control. Those creatures gain vigilance until end of turn. −6: Create a white Avatar creature token. It has "This token's power and toughness are each equal to your life total." / +1: Você ganha 2 pontos de vida. -1: Coloque um marcador +1/+1 sobre cada criatura que você controla. Aquelas criaturas ganham vigilância até o final do turno. -6: Coloque no campo de batalha uma ficha de criatura branca do tipo Avatar. Ela tem "O poder e a resistência desta criatura são ambos iguais ao seu total de pontos de vida."</f>
        <v>#ERROR!</v>
      </c>
      <c r="E4344" s="6" t="s">
        <v>282</v>
      </c>
      <c r="F4344" s="6" t="s">
        <v>40</v>
      </c>
      <c r="G4344" s="7">
        <v>1.95</v>
      </c>
      <c r="H4344" s="6" t="s">
        <v>3855</v>
      </c>
      <c r="I4344" s="6" t="s">
        <v>20</v>
      </c>
      <c r="J4344" s="6">
        <v>2007.0</v>
      </c>
      <c r="L4344" s="6">
        <v>1.0</v>
      </c>
      <c r="M4344" s="8">
        <f t="shared" si="4"/>
        <v>1.95</v>
      </c>
      <c r="N4344" s="6" t="s">
        <v>122</v>
      </c>
      <c r="P4344" s="9"/>
    </row>
    <row r="4345">
      <c r="A4345" s="6" t="s">
        <v>9646</v>
      </c>
      <c r="B4345" s="6" t="s">
        <v>2333</v>
      </c>
      <c r="C4345" s="6" t="s">
        <v>43</v>
      </c>
      <c r="D4345" s="6" t="s">
        <v>9647</v>
      </c>
      <c r="E4345" s="6" t="s">
        <v>248</v>
      </c>
      <c r="F4345" s="6" t="s">
        <v>77</v>
      </c>
      <c r="G4345" s="7">
        <v>0.06</v>
      </c>
      <c r="H4345" s="6" t="s">
        <v>496</v>
      </c>
      <c r="I4345" s="6" t="s">
        <v>20</v>
      </c>
      <c r="J4345" s="6">
        <v>2013.0</v>
      </c>
      <c r="K4345" s="10">
        <v>46055.0</v>
      </c>
      <c r="L4345" s="6">
        <v>3.0</v>
      </c>
      <c r="M4345" s="8">
        <f t="shared" si="4"/>
        <v>0.18</v>
      </c>
      <c r="P4345" s="9"/>
    </row>
    <row r="4346">
      <c r="A4346" s="6" t="s">
        <v>9648</v>
      </c>
      <c r="B4346" s="6" t="s">
        <v>8138</v>
      </c>
      <c r="C4346" s="6" t="s">
        <v>43</v>
      </c>
      <c r="D4346" s="6" t="s">
        <v>9649</v>
      </c>
      <c r="E4346" s="6" t="s">
        <v>164</v>
      </c>
      <c r="F4346" s="6" t="s">
        <v>112</v>
      </c>
      <c r="G4346" s="7">
        <v>8.79</v>
      </c>
      <c r="H4346" s="6" t="s">
        <v>464</v>
      </c>
      <c r="I4346" s="6" t="s">
        <v>20</v>
      </c>
      <c r="J4346" s="6">
        <v>2002.0</v>
      </c>
      <c r="K4346" s="10">
        <v>46023.0</v>
      </c>
      <c r="L4346" s="6">
        <v>1.0</v>
      </c>
      <c r="M4346" s="8">
        <f t="shared" si="4"/>
        <v>8.79</v>
      </c>
      <c r="N4346" s="6" t="s">
        <v>122</v>
      </c>
      <c r="P4346" s="9"/>
    </row>
    <row r="4347">
      <c r="A4347" s="6" t="s">
        <v>9650</v>
      </c>
      <c r="B4347" s="6" t="s">
        <v>1577</v>
      </c>
      <c r="C4347" s="6" t="s">
        <v>37</v>
      </c>
      <c r="D4347" s="6" t="s">
        <v>9651</v>
      </c>
      <c r="F4347" s="6" t="s">
        <v>112</v>
      </c>
      <c r="G4347" s="7">
        <v>0.29</v>
      </c>
      <c r="H4347" s="6" t="s">
        <v>3855</v>
      </c>
      <c r="I4347" s="6" t="s">
        <v>20</v>
      </c>
      <c r="J4347" s="6">
        <v>2007.0</v>
      </c>
      <c r="L4347" s="6">
        <v>1.0</v>
      </c>
      <c r="M4347" s="8">
        <f t="shared" si="4"/>
        <v>0.29</v>
      </c>
      <c r="P4347" s="9"/>
    </row>
    <row r="4348">
      <c r="A4348" s="6" t="s">
        <v>9652</v>
      </c>
      <c r="B4348" s="6" t="s">
        <v>3452</v>
      </c>
      <c r="C4348" s="6" t="s">
        <v>37</v>
      </c>
      <c r="D4348" s="6" t="s">
        <v>9653</v>
      </c>
      <c r="E4348" s="6" t="s">
        <v>389</v>
      </c>
      <c r="F4348" s="6" t="s">
        <v>87</v>
      </c>
      <c r="G4348" s="7">
        <v>0.09</v>
      </c>
      <c r="H4348" s="6" t="s">
        <v>496</v>
      </c>
      <c r="I4348" s="6" t="s">
        <v>20</v>
      </c>
      <c r="J4348" s="6">
        <v>2013.0</v>
      </c>
      <c r="K4348" s="10">
        <v>46084.0</v>
      </c>
      <c r="L4348" s="6">
        <v>1.0</v>
      </c>
      <c r="M4348" s="8">
        <f t="shared" si="4"/>
        <v>0.09</v>
      </c>
      <c r="P4348" s="9"/>
    </row>
    <row r="4349">
      <c r="A4349" s="6" t="s">
        <v>9654</v>
      </c>
      <c r="B4349" s="6" t="s">
        <v>4013</v>
      </c>
      <c r="C4349" s="6" t="s">
        <v>37</v>
      </c>
      <c r="D4349" s="6" t="s">
        <v>9655</v>
      </c>
      <c r="E4349" s="6" t="s">
        <v>86</v>
      </c>
      <c r="F4349" s="6" t="s">
        <v>87</v>
      </c>
      <c r="G4349" s="7">
        <v>0.09</v>
      </c>
      <c r="H4349" s="6" t="s">
        <v>3124</v>
      </c>
      <c r="I4349" s="6" t="s">
        <v>20</v>
      </c>
      <c r="J4349" s="6">
        <v>2010.0</v>
      </c>
      <c r="K4349" s="10">
        <v>46024.0</v>
      </c>
      <c r="L4349" s="6">
        <v>1.0</v>
      </c>
      <c r="M4349" s="8">
        <f t="shared" si="4"/>
        <v>0.09</v>
      </c>
      <c r="P4349" s="9"/>
    </row>
    <row r="4350">
      <c r="A4350" s="6" t="s">
        <v>9656</v>
      </c>
      <c r="B4350" s="6" t="s">
        <v>162</v>
      </c>
      <c r="C4350" s="6" t="s">
        <v>43</v>
      </c>
      <c r="D4350" s="6" t="s">
        <v>9657</v>
      </c>
      <c r="E4350" s="6" t="s">
        <v>82</v>
      </c>
      <c r="F4350" s="6" t="s">
        <v>77</v>
      </c>
      <c r="G4350" s="7">
        <v>0.05</v>
      </c>
      <c r="H4350" s="6" t="s">
        <v>283</v>
      </c>
      <c r="I4350" s="6" t="s">
        <v>20</v>
      </c>
      <c r="J4350" s="6">
        <v>2013.0</v>
      </c>
      <c r="L4350" s="6">
        <v>2.0</v>
      </c>
      <c r="M4350" s="8">
        <f t="shared" si="4"/>
        <v>0.1</v>
      </c>
      <c r="P4350" s="9"/>
    </row>
    <row r="4351">
      <c r="A4351" s="6" t="s">
        <v>9658</v>
      </c>
      <c r="B4351" s="6" t="s">
        <v>9659</v>
      </c>
      <c r="C4351" s="6" t="s">
        <v>37</v>
      </c>
      <c r="D4351" s="6" t="s">
        <v>9660</v>
      </c>
      <c r="E4351" s="6" t="s">
        <v>82</v>
      </c>
      <c r="F4351" s="6" t="s">
        <v>77</v>
      </c>
      <c r="G4351" s="7">
        <v>0.06</v>
      </c>
      <c r="H4351" s="6" t="s">
        <v>496</v>
      </c>
      <c r="I4351" s="6" t="s">
        <v>20</v>
      </c>
      <c r="J4351" s="6">
        <v>2013.0</v>
      </c>
      <c r="K4351" s="10">
        <v>46144.0</v>
      </c>
      <c r="L4351" s="6">
        <v>3.0</v>
      </c>
      <c r="M4351" s="8">
        <f t="shared" si="4"/>
        <v>0.18</v>
      </c>
      <c r="P4351" s="9"/>
    </row>
    <row r="4352">
      <c r="A4352" s="6" t="s">
        <v>9661</v>
      </c>
      <c r="B4352" s="6" t="s">
        <v>494</v>
      </c>
      <c r="C4352" s="6" t="s">
        <v>43</v>
      </c>
      <c r="D4352" s="6" t="s">
        <v>9662</v>
      </c>
      <c r="E4352" s="6" t="s">
        <v>93</v>
      </c>
      <c r="F4352" s="6" t="s">
        <v>77</v>
      </c>
      <c r="G4352" s="7">
        <v>0.06</v>
      </c>
      <c r="H4352" s="6" t="s">
        <v>232</v>
      </c>
      <c r="I4352" s="6" t="s">
        <v>20</v>
      </c>
      <c r="J4352" s="6">
        <v>2010.0</v>
      </c>
      <c r="L4352" s="6">
        <v>2.0</v>
      </c>
      <c r="M4352" s="8">
        <f t="shared" si="4"/>
        <v>0.12</v>
      </c>
      <c r="P4352" s="9"/>
    </row>
    <row r="4353">
      <c r="A4353" s="6" t="s">
        <v>9661</v>
      </c>
      <c r="B4353" s="6" t="s">
        <v>494</v>
      </c>
      <c r="C4353" s="6" t="s">
        <v>43</v>
      </c>
      <c r="D4353" s="6" t="s">
        <v>9662</v>
      </c>
      <c r="E4353" s="6" t="s">
        <v>93</v>
      </c>
      <c r="F4353" s="6" t="s">
        <v>77</v>
      </c>
      <c r="G4353" s="7">
        <v>0.05</v>
      </c>
      <c r="H4353" s="6" t="s">
        <v>9663</v>
      </c>
      <c r="I4353" s="6" t="s">
        <v>20</v>
      </c>
      <c r="J4353" s="6">
        <v>2011.0</v>
      </c>
      <c r="L4353" s="6">
        <v>1.0</v>
      </c>
      <c r="M4353" s="8">
        <f t="shared" si="4"/>
        <v>0.05</v>
      </c>
      <c r="P4353" s="9"/>
    </row>
    <row r="4354">
      <c r="A4354" s="6" t="s">
        <v>9664</v>
      </c>
      <c r="B4354" s="6" t="s">
        <v>162</v>
      </c>
      <c r="C4354" s="6" t="s">
        <v>43</v>
      </c>
      <c r="D4354" s="6" t="s">
        <v>9665</v>
      </c>
      <c r="E4354" s="6" t="s">
        <v>1840</v>
      </c>
      <c r="F4354" s="6" t="s">
        <v>18</v>
      </c>
      <c r="G4354" s="7">
        <v>0.06</v>
      </c>
      <c r="H4354" s="6" t="s">
        <v>701</v>
      </c>
      <c r="I4354" s="6" t="s">
        <v>20</v>
      </c>
      <c r="J4354" s="6">
        <v>2015.0</v>
      </c>
      <c r="L4354" s="6">
        <v>1.0</v>
      </c>
      <c r="M4354" s="8">
        <f t="shared" si="4"/>
        <v>0.06</v>
      </c>
      <c r="N4354" s="6" t="s">
        <v>9666</v>
      </c>
      <c r="P4354" s="9"/>
    </row>
    <row r="4355">
      <c r="A4355" s="6" t="s">
        <v>9667</v>
      </c>
      <c r="B4355" s="6" t="s">
        <v>162</v>
      </c>
      <c r="C4355" s="6" t="s">
        <v>43</v>
      </c>
      <c r="D4355" s="6" t="s">
        <v>9668</v>
      </c>
      <c r="E4355" s="6" t="s">
        <v>1147</v>
      </c>
      <c r="F4355" s="6" t="s">
        <v>18</v>
      </c>
      <c r="G4355" s="7">
        <v>0.02</v>
      </c>
      <c r="H4355" s="6" t="s">
        <v>3038</v>
      </c>
      <c r="I4355" s="6" t="s">
        <v>20</v>
      </c>
      <c r="J4355" s="6">
        <v>2006.0</v>
      </c>
      <c r="L4355" s="6">
        <v>3.0</v>
      </c>
      <c r="M4355" s="8">
        <f t="shared" si="4"/>
        <v>0.06</v>
      </c>
      <c r="P4355" s="9"/>
    </row>
    <row r="4356">
      <c r="A4356" s="6" t="s">
        <v>9669</v>
      </c>
      <c r="B4356" s="6" t="s">
        <v>162</v>
      </c>
      <c r="C4356" s="6" t="s">
        <v>37</v>
      </c>
      <c r="D4356" s="6" t="s">
        <v>9670</v>
      </c>
      <c r="E4356" s="6" t="s">
        <v>1840</v>
      </c>
      <c r="F4356" s="6" t="s">
        <v>18</v>
      </c>
      <c r="G4356" s="7">
        <v>0.17</v>
      </c>
      <c r="H4356" s="6" t="s">
        <v>1776</v>
      </c>
      <c r="I4356" s="6" t="s">
        <v>20</v>
      </c>
      <c r="J4356" s="6">
        <v>2017.0</v>
      </c>
      <c r="L4356" s="6">
        <v>1.0</v>
      </c>
      <c r="M4356" s="8">
        <f t="shared" si="4"/>
        <v>0.17</v>
      </c>
      <c r="P4356" s="9"/>
    </row>
    <row r="4357">
      <c r="A4357" s="6" t="s">
        <v>2067</v>
      </c>
      <c r="B4357" s="6" t="s">
        <v>162</v>
      </c>
      <c r="C4357" s="6" t="s">
        <v>43</v>
      </c>
      <c r="D4357" s="6" t="s">
        <v>2068</v>
      </c>
      <c r="E4357" s="6" t="s">
        <v>224</v>
      </c>
      <c r="F4357" s="6" t="s">
        <v>18</v>
      </c>
      <c r="G4357" s="7">
        <v>1.79</v>
      </c>
      <c r="H4357" s="6" t="s">
        <v>488</v>
      </c>
      <c r="I4357" s="6" t="s">
        <v>45</v>
      </c>
      <c r="J4357" s="6">
        <v>2023.0</v>
      </c>
      <c r="L4357" s="6">
        <v>1.0</v>
      </c>
      <c r="M4357" s="8">
        <f t="shared" si="4"/>
        <v>1.79</v>
      </c>
      <c r="N4357" s="6" t="s">
        <v>122</v>
      </c>
      <c r="P4357" s="9"/>
    </row>
    <row r="4358">
      <c r="A4358" s="6" t="s">
        <v>9671</v>
      </c>
      <c r="B4358" s="6" t="s">
        <v>162</v>
      </c>
      <c r="C4358" s="6" t="s">
        <v>37</v>
      </c>
      <c r="D4358" s="6" t="s">
        <v>9672</v>
      </c>
      <c r="E4358" s="6" t="s">
        <v>224</v>
      </c>
      <c r="F4358" s="6" t="s">
        <v>18</v>
      </c>
      <c r="G4358" s="7">
        <v>0.06</v>
      </c>
      <c r="H4358" s="6" t="s">
        <v>460</v>
      </c>
      <c r="I4358" s="6" t="s">
        <v>20</v>
      </c>
      <c r="J4358" s="6">
        <v>2015.0</v>
      </c>
      <c r="L4358" s="6">
        <v>1.0</v>
      </c>
      <c r="M4358" s="8">
        <f t="shared" si="4"/>
        <v>0.06</v>
      </c>
      <c r="P4358" s="9"/>
    </row>
    <row r="4359">
      <c r="A4359" s="6" t="s">
        <v>9673</v>
      </c>
      <c r="B4359" s="6" t="s">
        <v>162</v>
      </c>
      <c r="C4359" s="6" t="s">
        <v>43</v>
      </c>
      <c r="D4359" s="6" t="s">
        <v>9674</v>
      </c>
      <c r="E4359" s="6" t="s">
        <v>210</v>
      </c>
      <c r="F4359" s="6" t="s">
        <v>18</v>
      </c>
      <c r="G4359" s="7">
        <v>0.03</v>
      </c>
      <c r="H4359" s="6" t="s">
        <v>1076</v>
      </c>
      <c r="I4359" s="6" t="s">
        <v>20</v>
      </c>
      <c r="J4359" s="6">
        <v>2018.0</v>
      </c>
      <c r="L4359" s="6">
        <v>1.0</v>
      </c>
      <c r="M4359" s="8">
        <f t="shared" si="4"/>
        <v>0.03</v>
      </c>
      <c r="P4359" s="9"/>
    </row>
    <row r="4360">
      <c r="A4360" s="6" t="s">
        <v>9675</v>
      </c>
      <c r="B4360" s="6" t="s">
        <v>162</v>
      </c>
      <c r="C4360" s="6" t="s">
        <v>43</v>
      </c>
      <c r="D4360" s="6" t="s">
        <v>9676</v>
      </c>
      <c r="E4360" s="6" t="s">
        <v>107</v>
      </c>
      <c r="F4360" s="6" t="s">
        <v>18</v>
      </c>
      <c r="G4360" s="7">
        <v>0.06</v>
      </c>
      <c r="H4360" s="6" t="s">
        <v>531</v>
      </c>
      <c r="I4360" s="6" t="s">
        <v>20</v>
      </c>
      <c r="J4360" s="6">
        <v>2017.0</v>
      </c>
      <c r="L4360" s="6">
        <v>1.0</v>
      </c>
      <c r="M4360" s="8">
        <f t="shared" si="4"/>
        <v>0.06</v>
      </c>
      <c r="P4360" s="9"/>
    </row>
    <row r="4361">
      <c r="A4361" s="6" t="s">
        <v>9677</v>
      </c>
      <c r="B4361" s="6" t="s">
        <v>162</v>
      </c>
      <c r="C4361" s="6" t="s">
        <v>43</v>
      </c>
      <c r="D4361" s="6" t="s">
        <v>9678</v>
      </c>
      <c r="E4361" s="6" t="s">
        <v>98</v>
      </c>
      <c r="F4361" s="6" t="s">
        <v>18</v>
      </c>
      <c r="G4361" s="7">
        <v>0.1</v>
      </c>
      <c r="H4361" s="6" t="s">
        <v>415</v>
      </c>
      <c r="I4361" s="6" t="s">
        <v>20</v>
      </c>
      <c r="J4361" s="6">
        <v>2016.0</v>
      </c>
      <c r="L4361" s="6">
        <v>1.0</v>
      </c>
      <c r="M4361" s="8">
        <f t="shared" si="4"/>
        <v>0.1</v>
      </c>
      <c r="P4361" s="9"/>
    </row>
    <row r="4362">
      <c r="A4362" s="6" t="s">
        <v>9679</v>
      </c>
      <c r="B4362" s="6" t="s">
        <v>162</v>
      </c>
      <c r="C4362" s="6" t="s">
        <v>43</v>
      </c>
      <c r="D4362" s="6" t="s">
        <v>9680</v>
      </c>
      <c r="E4362" s="6" t="s">
        <v>237</v>
      </c>
      <c r="F4362" s="6" t="s">
        <v>18</v>
      </c>
      <c r="G4362" s="7">
        <v>0.03</v>
      </c>
      <c r="H4362" s="6" t="s">
        <v>531</v>
      </c>
      <c r="I4362" s="6" t="s">
        <v>20</v>
      </c>
      <c r="J4362" s="6">
        <v>2017.0</v>
      </c>
      <c r="L4362" s="6">
        <v>2.0</v>
      </c>
      <c r="M4362" s="8">
        <f t="shared" si="4"/>
        <v>0.06</v>
      </c>
      <c r="P4362" s="9"/>
    </row>
    <row r="4363">
      <c r="A4363" s="6" t="s">
        <v>9681</v>
      </c>
      <c r="B4363" s="6" t="s">
        <v>162</v>
      </c>
      <c r="C4363" s="6" t="s">
        <v>43</v>
      </c>
      <c r="D4363" s="6" t="s">
        <v>9682</v>
      </c>
      <c r="E4363" s="6" t="s">
        <v>224</v>
      </c>
      <c r="F4363" s="6" t="s">
        <v>18</v>
      </c>
      <c r="G4363" s="7">
        <v>0.05</v>
      </c>
      <c r="H4363" s="6" t="s">
        <v>373</v>
      </c>
      <c r="I4363" s="6" t="s">
        <v>20</v>
      </c>
      <c r="J4363" s="6">
        <v>2015.0</v>
      </c>
      <c r="L4363" s="6">
        <v>2.0</v>
      </c>
      <c r="M4363" s="8">
        <f t="shared" si="4"/>
        <v>0.1</v>
      </c>
      <c r="P4363" s="9"/>
    </row>
    <row r="4364">
      <c r="A4364" s="6" t="s">
        <v>9683</v>
      </c>
      <c r="B4364" s="6" t="s">
        <v>162</v>
      </c>
      <c r="C4364" s="6" t="s">
        <v>37</v>
      </c>
      <c r="D4364" s="6" t="s">
        <v>9684</v>
      </c>
      <c r="E4364" s="6" t="s">
        <v>2220</v>
      </c>
      <c r="F4364" s="6" t="s">
        <v>18</v>
      </c>
      <c r="G4364" s="7">
        <v>0.13</v>
      </c>
      <c r="H4364" s="6" t="s">
        <v>531</v>
      </c>
      <c r="I4364" s="6" t="s">
        <v>20</v>
      </c>
      <c r="J4364" s="6">
        <v>2017.0</v>
      </c>
      <c r="L4364" s="6">
        <v>3.0</v>
      </c>
      <c r="M4364" s="8">
        <f t="shared" si="4"/>
        <v>0.39</v>
      </c>
      <c r="P4364" s="9"/>
    </row>
    <row r="4365">
      <c r="A4365" s="6" t="s">
        <v>9685</v>
      </c>
      <c r="B4365" s="6" t="s">
        <v>162</v>
      </c>
      <c r="C4365" s="6" t="s">
        <v>43</v>
      </c>
      <c r="D4365" s="6" t="s">
        <v>9686</v>
      </c>
      <c r="E4365" s="6" t="s">
        <v>190</v>
      </c>
      <c r="F4365" s="6" t="s">
        <v>18</v>
      </c>
      <c r="G4365" s="7">
        <v>0.16</v>
      </c>
      <c r="H4365" s="6" t="s">
        <v>407</v>
      </c>
      <c r="I4365" s="6" t="s">
        <v>20</v>
      </c>
      <c r="J4365" s="6">
        <v>2016.0</v>
      </c>
      <c r="L4365" s="6">
        <v>2.0</v>
      </c>
      <c r="M4365" s="8">
        <f t="shared" si="4"/>
        <v>0.32</v>
      </c>
      <c r="P4365" s="9"/>
    </row>
    <row r="4366">
      <c r="A4366" s="6" t="s">
        <v>9687</v>
      </c>
      <c r="B4366" s="6" t="s">
        <v>162</v>
      </c>
      <c r="C4366" s="6" t="s">
        <v>43</v>
      </c>
      <c r="D4366" s="6" t="s">
        <v>9688</v>
      </c>
      <c r="E4366" s="6" t="s">
        <v>224</v>
      </c>
      <c r="F4366" s="6" t="s">
        <v>18</v>
      </c>
      <c r="G4366" s="7">
        <v>0.06</v>
      </c>
      <c r="H4366" s="6" t="s">
        <v>701</v>
      </c>
      <c r="I4366" s="6" t="s">
        <v>20</v>
      </c>
      <c r="J4366" s="6">
        <v>2015.0</v>
      </c>
      <c r="L4366" s="6">
        <v>2.0</v>
      </c>
      <c r="M4366" s="8">
        <f t="shared" si="4"/>
        <v>0.12</v>
      </c>
      <c r="P4366" s="9"/>
    </row>
    <row r="4367">
      <c r="A4367" s="6" t="s">
        <v>9689</v>
      </c>
      <c r="B4367" s="6" t="s">
        <v>162</v>
      </c>
      <c r="C4367" s="6" t="s">
        <v>43</v>
      </c>
      <c r="D4367" s="6" t="s">
        <v>9690</v>
      </c>
      <c r="E4367" s="6" t="s">
        <v>224</v>
      </c>
      <c r="F4367" s="6" t="s">
        <v>18</v>
      </c>
      <c r="G4367" s="7">
        <v>0.06</v>
      </c>
      <c r="H4367" s="6" t="s">
        <v>701</v>
      </c>
      <c r="I4367" s="6" t="s">
        <v>20</v>
      </c>
      <c r="J4367" s="6">
        <v>2015.0</v>
      </c>
      <c r="L4367" s="6">
        <v>3.0</v>
      </c>
      <c r="M4367" s="8">
        <f t="shared" si="4"/>
        <v>0.18</v>
      </c>
      <c r="P4367" s="9"/>
    </row>
    <row r="4368">
      <c r="A4368" s="6" t="s">
        <v>9691</v>
      </c>
      <c r="B4368" s="6" t="s">
        <v>494</v>
      </c>
      <c r="C4368" s="6" t="s">
        <v>43</v>
      </c>
      <c r="D4368" s="6" t="s">
        <v>9692</v>
      </c>
      <c r="E4368" s="6" t="s">
        <v>224</v>
      </c>
      <c r="F4368" s="6" t="s">
        <v>18</v>
      </c>
      <c r="G4368" s="7">
        <v>0.03</v>
      </c>
      <c r="H4368" s="6" t="s">
        <v>506</v>
      </c>
      <c r="I4368" s="6" t="s">
        <v>20</v>
      </c>
      <c r="J4368" s="6">
        <v>2016.0</v>
      </c>
      <c r="L4368" s="6">
        <v>1.0</v>
      </c>
      <c r="M4368" s="8">
        <f t="shared" si="4"/>
        <v>0.03</v>
      </c>
      <c r="P4368" s="9"/>
    </row>
    <row r="4369">
      <c r="A4369" s="6" t="s">
        <v>9693</v>
      </c>
      <c r="B4369" s="6" t="s">
        <v>494</v>
      </c>
      <c r="C4369" s="6" t="s">
        <v>43</v>
      </c>
      <c r="D4369" s="6" t="s">
        <v>9694</v>
      </c>
      <c r="E4369" s="6" t="s">
        <v>98</v>
      </c>
      <c r="F4369" s="6" t="s">
        <v>18</v>
      </c>
      <c r="G4369" s="7">
        <v>0.04</v>
      </c>
      <c r="H4369" s="6" t="s">
        <v>407</v>
      </c>
      <c r="I4369" s="6" t="s">
        <v>20</v>
      </c>
      <c r="J4369" s="6">
        <v>2016.0</v>
      </c>
      <c r="L4369" s="6">
        <v>3.0</v>
      </c>
      <c r="M4369" s="8">
        <f t="shared" si="4"/>
        <v>0.12</v>
      </c>
      <c r="P4369" s="9"/>
    </row>
    <row r="4370">
      <c r="A4370" s="6" t="s">
        <v>9695</v>
      </c>
      <c r="B4370" s="6" t="s">
        <v>494</v>
      </c>
      <c r="C4370" s="6" t="s">
        <v>43</v>
      </c>
      <c r="D4370" s="6" t="s">
        <v>9696</v>
      </c>
      <c r="E4370" s="6" t="s">
        <v>98</v>
      </c>
      <c r="F4370" s="6" t="s">
        <v>18</v>
      </c>
      <c r="G4370" s="7">
        <v>0.03</v>
      </c>
      <c r="H4370" s="6" t="s">
        <v>531</v>
      </c>
      <c r="I4370" s="6" t="s">
        <v>20</v>
      </c>
      <c r="J4370" s="6">
        <v>2017.0</v>
      </c>
      <c r="L4370" s="6">
        <v>3.0</v>
      </c>
      <c r="M4370" s="8">
        <f t="shared" si="4"/>
        <v>0.09</v>
      </c>
      <c r="P4370" s="9"/>
    </row>
    <row r="4371">
      <c r="A4371" s="6" t="s">
        <v>9697</v>
      </c>
      <c r="B4371" s="6" t="s">
        <v>146</v>
      </c>
      <c r="C4371" s="6" t="s">
        <v>37</v>
      </c>
      <c r="D4371" s="6" t="s">
        <v>9698</v>
      </c>
      <c r="E4371" s="6" t="s">
        <v>107</v>
      </c>
      <c r="F4371" s="6" t="s">
        <v>18</v>
      </c>
      <c r="G4371" s="7">
        <v>0.05</v>
      </c>
      <c r="H4371" s="6" t="s">
        <v>1856</v>
      </c>
      <c r="I4371" s="6" t="s">
        <v>20</v>
      </c>
      <c r="J4371" s="6">
        <v>2017.0</v>
      </c>
      <c r="L4371" s="6">
        <v>4.0</v>
      </c>
      <c r="M4371" s="8">
        <f t="shared" si="4"/>
        <v>0.2</v>
      </c>
      <c r="P4371" s="9"/>
    </row>
    <row r="4372">
      <c r="A4372" s="6" t="s">
        <v>9699</v>
      </c>
      <c r="B4372" s="6" t="s">
        <v>494</v>
      </c>
      <c r="C4372" s="6" t="s">
        <v>43</v>
      </c>
      <c r="D4372" s="6" t="s">
        <v>9700</v>
      </c>
      <c r="E4372" s="6" t="s">
        <v>98</v>
      </c>
      <c r="F4372" s="6" t="s">
        <v>18</v>
      </c>
      <c r="G4372" s="7">
        <v>0.04</v>
      </c>
      <c r="H4372" s="6" t="s">
        <v>701</v>
      </c>
      <c r="I4372" s="6" t="s">
        <v>20</v>
      </c>
      <c r="J4372" s="6">
        <v>2015.0</v>
      </c>
      <c r="L4372" s="6">
        <v>2.0</v>
      </c>
      <c r="M4372" s="8">
        <f t="shared" si="4"/>
        <v>0.08</v>
      </c>
      <c r="P4372" s="9"/>
    </row>
    <row r="4373">
      <c r="A4373" s="6" t="s">
        <v>9701</v>
      </c>
      <c r="B4373" s="6" t="s">
        <v>494</v>
      </c>
      <c r="C4373" s="6" t="s">
        <v>43</v>
      </c>
      <c r="D4373" s="6" t="s">
        <v>9702</v>
      </c>
      <c r="E4373" s="6" t="s">
        <v>190</v>
      </c>
      <c r="F4373" s="6" t="s">
        <v>18</v>
      </c>
      <c r="G4373" s="7">
        <v>0.03</v>
      </c>
      <c r="H4373" s="6" t="s">
        <v>687</v>
      </c>
      <c r="I4373" s="6" t="s">
        <v>20</v>
      </c>
      <c r="J4373" s="6">
        <v>2011.0</v>
      </c>
      <c r="L4373" s="6">
        <v>1.0</v>
      </c>
      <c r="M4373" s="8">
        <f t="shared" si="4"/>
        <v>0.03</v>
      </c>
      <c r="P4373" s="9"/>
    </row>
    <row r="4374">
      <c r="A4374" s="6" t="s">
        <v>6924</v>
      </c>
      <c r="B4374" s="6" t="s">
        <v>494</v>
      </c>
      <c r="C4374" s="6" t="s">
        <v>43</v>
      </c>
      <c r="D4374" s="6" t="s">
        <v>6925</v>
      </c>
      <c r="E4374" s="6" t="s">
        <v>107</v>
      </c>
      <c r="F4374" s="6" t="s">
        <v>18</v>
      </c>
      <c r="G4374" s="7">
        <v>0.06</v>
      </c>
      <c r="H4374" s="6" t="s">
        <v>373</v>
      </c>
      <c r="I4374" s="6" t="s">
        <v>20</v>
      </c>
      <c r="J4374" s="6">
        <v>2015.0</v>
      </c>
      <c r="L4374" s="6">
        <v>1.0</v>
      </c>
      <c r="M4374" s="8">
        <f t="shared" si="4"/>
        <v>0.06</v>
      </c>
      <c r="P4374" s="9"/>
    </row>
    <row r="4375">
      <c r="A4375" s="6" t="s">
        <v>493</v>
      </c>
      <c r="B4375" s="6" t="s">
        <v>494</v>
      </c>
      <c r="C4375" s="6" t="s">
        <v>43</v>
      </c>
      <c r="D4375" s="6" t="s">
        <v>495</v>
      </c>
      <c r="E4375" s="6" t="s">
        <v>190</v>
      </c>
      <c r="F4375" s="6" t="s">
        <v>18</v>
      </c>
      <c r="G4375" s="7">
        <v>0.29</v>
      </c>
      <c r="H4375" s="6" t="s">
        <v>496</v>
      </c>
      <c r="I4375" s="6" t="s">
        <v>20</v>
      </c>
      <c r="J4375" s="6">
        <v>2013.0</v>
      </c>
      <c r="L4375" s="6">
        <v>2.0</v>
      </c>
      <c r="M4375" s="8">
        <f t="shared" si="4"/>
        <v>0.58</v>
      </c>
      <c r="P4375" s="9"/>
    </row>
    <row r="4376">
      <c r="A4376" s="6" t="s">
        <v>9703</v>
      </c>
      <c r="B4376" s="6" t="s">
        <v>494</v>
      </c>
      <c r="C4376" s="6" t="s">
        <v>43</v>
      </c>
      <c r="D4376" s="6" t="s">
        <v>9704</v>
      </c>
      <c r="E4376" s="6" t="s">
        <v>107</v>
      </c>
      <c r="F4376" s="6" t="s">
        <v>18</v>
      </c>
      <c r="G4376" s="7">
        <v>0.06</v>
      </c>
      <c r="H4376" s="6" t="s">
        <v>496</v>
      </c>
      <c r="I4376" s="6" t="s">
        <v>20</v>
      </c>
      <c r="J4376" s="6">
        <v>2013.0</v>
      </c>
      <c r="L4376" s="6">
        <v>1.0</v>
      </c>
      <c r="M4376" s="8">
        <f t="shared" si="4"/>
        <v>0.06</v>
      </c>
      <c r="P4376" s="9"/>
    </row>
    <row r="4377">
      <c r="A4377" s="6" t="s">
        <v>9705</v>
      </c>
      <c r="B4377" s="6" t="s">
        <v>494</v>
      </c>
      <c r="C4377" s="6" t="s">
        <v>43</v>
      </c>
      <c r="D4377" s="6" t="s">
        <v>9706</v>
      </c>
      <c r="E4377" s="6" t="s">
        <v>107</v>
      </c>
      <c r="F4377" s="6" t="s">
        <v>18</v>
      </c>
      <c r="G4377" s="7">
        <v>0.06</v>
      </c>
      <c r="H4377" s="6" t="s">
        <v>415</v>
      </c>
      <c r="I4377" s="6" t="s">
        <v>20</v>
      </c>
      <c r="J4377" s="6">
        <v>2016.0</v>
      </c>
      <c r="L4377" s="6">
        <v>1.0</v>
      </c>
      <c r="M4377" s="8">
        <f t="shared" si="4"/>
        <v>0.06</v>
      </c>
      <c r="P4377" s="9"/>
    </row>
    <row r="4378">
      <c r="A4378" s="6" t="s">
        <v>9707</v>
      </c>
      <c r="B4378" s="6" t="s">
        <v>494</v>
      </c>
      <c r="C4378" s="6" t="s">
        <v>43</v>
      </c>
      <c r="D4378" s="6" t="s">
        <v>9708</v>
      </c>
      <c r="E4378" s="6" t="s">
        <v>210</v>
      </c>
      <c r="F4378" s="6" t="s">
        <v>18</v>
      </c>
      <c r="G4378" s="7">
        <v>0.06</v>
      </c>
      <c r="H4378" s="6" t="s">
        <v>373</v>
      </c>
      <c r="I4378" s="6" t="s">
        <v>20</v>
      </c>
      <c r="J4378" s="6">
        <v>2015.0</v>
      </c>
      <c r="L4378" s="6">
        <v>1.0</v>
      </c>
      <c r="M4378" s="8">
        <f t="shared" si="4"/>
        <v>0.06</v>
      </c>
      <c r="P4378" s="9"/>
    </row>
    <row r="4379">
      <c r="A4379" s="6" t="s">
        <v>9709</v>
      </c>
      <c r="B4379" s="6" t="s">
        <v>146</v>
      </c>
      <c r="C4379" s="6" t="s">
        <v>37</v>
      </c>
      <c r="D4379" s="6" t="s">
        <v>9710</v>
      </c>
      <c r="E4379" s="6" t="s">
        <v>224</v>
      </c>
      <c r="F4379" s="6" t="s">
        <v>18</v>
      </c>
      <c r="G4379" s="7">
        <v>0.03</v>
      </c>
      <c r="H4379" s="6" t="s">
        <v>1776</v>
      </c>
      <c r="I4379" s="6" t="s">
        <v>20</v>
      </c>
      <c r="J4379" s="6">
        <v>2017.0</v>
      </c>
      <c r="L4379" s="6">
        <v>1.0</v>
      </c>
      <c r="M4379" s="8">
        <f t="shared" si="4"/>
        <v>0.03</v>
      </c>
      <c r="P4379" s="9"/>
    </row>
    <row r="4380">
      <c r="A4380" s="6" t="s">
        <v>9711</v>
      </c>
      <c r="B4380" s="6" t="s">
        <v>146</v>
      </c>
      <c r="C4380" s="6" t="s">
        <v>37</v>
      </c>
      <c r="D4380" s="6" t="s">
        <v>9712</v>
      </c>
      <c r="E4380" s="6" t="s">
        <v>107</v>
      </c>
      <c r="F4380" s="6" t="s">
        <v>18</v>
      </c>
      <c r="G4380" s="7">
        <v>0.05</v>
      </c>
      <c r="H4380" s="6" t="s">
        <v>415</v>
      </c>
      <c r="I4380" s="6" t="s">
        <v>20</v>
      </c>
      <c r="J4380" s="6">
        <v>2016.0</v>
      </c>
      <c r="L4380" s="6">
        <v>1.0</v>
      </c>
      <c r="M4380" s="8">
        <f t="shared" si="4"/>
        <v>0.05</v>
      </c>
      <c r="P4380" s="9"/>
    </row>
    <row r="4381">
      <c r="A4381" s="6" t="s">
        <v>9713</v>
      </c>
      <c r="B4381" s="6" t="s">
        <v>146</v>
      </c>
      <c r="C4381" s="6" t="s">
        <v>37</v>
      </c>
      <c r="D4381" s="6" t="s">
        <v>9714</v>
      </c>
      <c r="E4381" s="6" t="s">
        <v>98</v>
      </c>
      <c r="F4381" s="6" t="s">
        <v>18</v>
      </c>
      <c r="G4381" s="7">
        <v>0.07</v>
      </c>
      <c r="H4381" s="6" t="s">
        <v>415</v>
      </c>
      <c r="I4381" s="6" t="s">
        <v>20</v>
      </c>
      <c r="J4381" s="6">
        <v>2016.0</v>
      </c>
      <c r="L4381" s="6">
        <v>1.0</v>
      </c>
      <c r="M4381" s="8">
        <f t="shared" si="4"/>
        <v>0.07</v>
      </c>
      <c r="P4381" s="9"/>
    </row>
    <row r="4382">
      <c r="A4382" s="6" t="s">
        <v>9715</v>
      </c>
      <c r="B4382" s="6" t="s">
        <v>146</v>
      </c>
      <c r="C4382" s="6" t="s">
        <v>37</v>
      </c>
      <c r="D4382" s="6" t="s">
        <v>9716</v>
      </c>
      <c r="E4382" s="6" t="s">
        <v>98</v>
      </c>
      <c r="F4382" s="6" t="s">
        <v>18</v>
      </c>
      <c r="G4382" s="7">
        <v>0.09</v>
      </c>
      <c r="H4382" s="6" t="s">
        <v>903</v>
      </c>
      <c r="I4382" s="6" t="s">
        <v>20</v>
      </c>
      <c r="J4382" s="6">
        <v>2016.0</v>
      </c>
      <c r="L4382" s="6">
        <v>1.0</v>
      </c>
      <c r="M4382" s="8">
        <f t="shared" si="4"/>
        <v>0.09</v>
      </c>
      <c r="P4382" s="9"/>
    </row>
    <row r="4383">
      <c r="A4383" s="6" t="s">
        <v>9717</v>
      </c>
      <c r="B4383" s="6" t="s">
        <v>146</v>
      </c>
      <c r="C4383" s="6" t="s">
        <v>37</v>
      </c>
      <c r="D4383" s="6" t="s">
        <v>9718</v>
      </c>
      <c r="E4383" s="6" t="s">
        <v>107</v>
      </c>
      <c r="F4383" s="6" t="s">
        <v>18</v>
      </c>
      <c r="G4383" s="7">
        <v>0.06</v>
      </c>
      <c r="H4383" s="6" t="s">
        <v>506</v>
      </c>
      <c r="I4383" s="6" t="s">
        <v>20</v>
      </c>
      <c r="J4383" s="6">
        <v>2016.0</v>
      </c>
      <c r="L4383" s="6">
        <v>1.0</v>
      </c>
      <c r="M4383" s="8">
        <f t="shared" si="4"/>
        <v>0.06</v>
      </c>
      <c r="P4383" s="9"/>
    </row>
    <row r="4384">
      <c r="A4384" s="6" t="s">
        <v>9719</v>
      </c>
      <c r="B4384" s="6" t="s">
        <v>494</v>
      </c>
      <c r="C4384" s="6" t="s">
        <v>43</v>
      </c>
      <c r="D4384" s="6" t="s">
        <v>9720</v>
      </c>
      <c r="E4384" s="6" t="s">
        <v>224</v>
      </c>
      <c r="F4384" s="6" t="s">
        <v>18</v>
      </c>
      <c r="G4384" s="7">
        <v>0.03</v>
      </c>
      <c r="H4384" s="6" t="s">
        <v>1344</v>
      </c>
      <c r="I4384" s="6" t="s">
        <v>20</v>
      </c>
      <c r="J4384" s="6">
        <v>2018.0</v>
      </c>
      <c r="L4384" s="6">
        <v>1.0</v>
      </c>
      <c r="M4384" s="8">
        <f t="shared" si="4"/>
        <v>0.03</v>
      </c>
      <c r="P4384" s="9"/>
    </row>
    <row r="4385">
      <c r="A4385" s="6" t="s">
        <v>9721</v>
      </c>
      <c r="B4385" s="6" t="s">
        <v>494</v>
      </c>
      <c r="C4385" s="6" t="s">
        <v>43</v>
      </c>
      <c r="D4385" s="6" t="s">
        <v>9722</v>
      </c>
      <c r="E4385" s="6" t="s">
        <v>98</v>
      </c>
      <c r="F4385" s="6" t="s">
        <v>18</v>
      </c>
      <c r="G4385" s="7">
        <v>0.05</v>
      </c>
      <c r="H4385" s="6" t="s">
        <v>586</v>
      </c>
      <c r="I4385" s="6" t="s">
        <v>20</v>
      </c>
      <c r="J4385" s="6">
        <v>2012.0</v>
      </c>
      <c r="L4385" s="6">
        <v>1.0</v>
      </c>
      <c r="M4385" s="8">
        <f t="shared" si="4"/>
        <v>0.05</v>
      </c>
      <c r="P4385" s="9"/>
    </row>
    <row r="4386">
      <c r="A4386" s="6" t="s">
        <v>1564</v>
      </c>
      <c r="B4386" s="6" t="s">
        <v>494</v>
      </c>
      <c r="C4386" s="6" t="s">
        <v>43</v>
      </c>
      <c r="D4386" s="6" t="s">
        <v>1565</v>
      </c>
      <c r="E4386" s="6" t="s">
        <v>107</v>
      </c>
      <c r="F4386" s="6" t="s">
        <v>18</v>
      </c>
      <c r="G4386" s="7">
        <v>0.05</v>
      </c>
      <c r="H4386" s="6" t="s">
        <v>586</v>
      </c>
      <c r="I4386" s="6" t="s">
        <v>20</v>
      </c>
      <c r="J4386" s="6">
        <v>2012.0</v>
      </c>
      <c r="L4386" s="6">
        <v>1.0</v>
      </c>
      <c r="M4386" s="8">
        <f t="shared" si="4"/>
        <v>0.05</v>
      </c>
      <c r="P4386" s="9"/>
    </row>
    <row r="4387">
      <c r="A4387" s="6" t="s">
        <v>9723</v>
      </c>
      <c r="B4387" s="6" t="s">
        <v>8607</v>
      </c>
      <c r="C4387" s="6" t="s">
        <v>43</v>
      </c>
      <c r="D4387" s="6" t="s">
        <v>9724</v>
      </c>
      <c r="E4387" s="6" t="s">
        <v>107</v>
      </c>
      <c r="F4387" s="6" t="s">
        <v>18</v>
      </c>
      <c r="G4387" s="7">
        <v>0.05</v>
      </c>
      <c r="H4387" s="6" t="s">
        <v>531</v>
      </c>
      <c r="I4387" s="6" t="s">
        <v>20</v>
      </c>
      <c r="J4387" s="6">
        <v>2017.0</v>
      </c>
      <c r="L4387" s="6">
        <v>1.0</v>
      </c>
      <c r="M4387" s="8">
        <f t="shared" si="4"/>
        <v>0.05</v>
      </c>
      <c r="P4387" s="9"/>
    </row>
    <row r="4388">
      <c r="A4388" s="6" t="s">
        <v>9725</v>
      </c>
      <c r="B4388" s="6" t="s">
        <v>494</v>
      </c>
      <c r="C4388" s="6" t="s">
        <v>43</v>
      </c>
      <c r="D4388" s="6" t="s">
        <v>9726</v>
      </c>
      <c r="E4388" s="6" t="s">
        <v>210</v>
      </c>
      <c r="F4388" s="6" t="s">
        <v>18</v>
      </c>
      <c r="G4388" s="7">
        <v>0.03</v>
      </c>
      <c r="H4388" s="6" t="s">
        <v>1076</v>
      </c>
      <c r="I4388" s="6" t="s">
        <v>20</v>
      </c>
      <c r="J4388" s="6">
        <v>2018.0</v>
      </c>
      <c r="L4388" s="6">
        <v>1.0</v>
      </c>
      <c r="M4388" s="8">
        <f t="shared" si="4"/>
        <v>0.03</v>
      </c>
      <c r="P4388" s="9"/>
    </row>
    <row r="4389">
      <c r="A4389" s="6" t="s">
        <v>9727</v>
      </c>
      <c r="B4389" s="6" t="s">
        <v>74</v>
      </c>
      <c r="C4389" s="6" t="s">
        <v>43</v>
      </c>
      <c r="D4389" s="6" t="s">
        <v>9728</v>
      </c>
      <c r="E4389" s="6" t="s">
        <v>107</v>
      </c>
      <c r="F4389" s="6" t="s">
        <v>18</v>
      </c>
      <c r="G4389" s="7">
        <v>0.06</v>
      </c>
      <c r="H4389" s="6" t="s">
        <v>373</v>
      </c>
      <c r="I4389" s="6" t="s">
        <v>20</v>
      </c>
      <c r="J4389" s="6">
        <v>2015.0</v>
      </c>
      <c r="L4389" s="6">
        <v>2.0</v>
      </c>
      <c r="M4389" s="8">
        <f t="shared" si="4"/>
        <v>0.12</v>
      </c>
      <c r="P4389" s="9"/>
    </row>
    <row r="4390">
      <c r="A4390" s="6" t="s">
        <v>9729</v>
      </c>
      <c r="B4390" s="6" t="s">
        <v>74</v>
      </c>
      <c r="C4390" s="6" t="s">
        <v>43</v>
      </c>
      <c r="D4390" s="6" t="s">
        <v>9730</v>
      </c>
      <c r="E4390" s="6" t="s">
        <v>224</v>
      </c>
      <c r="F4390" s="6" t="s">
        <v>18</v>
      </c>
      <c r="G4390" s="7">
        <v>0.03</v>
      </c>
      <c r="H4390" s="6" t="s">
        <v>531</v>
      </c>
      <c r="I4390" s="6" t="s">
        <v>20</v>
      </c>
      <c r="J4390" s="6">
        <v>2017.0</v>
      </c>
      <c r="L4390" s="6">
        <v>2.0</v>
      </c>
      <c r="M4390" s="8">
        <f t="shared" si="4"/>
        <v>0.06</v>
      </c>
      <c r="P4390" s="9"/>
    </row>
    <row r="4391">
      <c r="A4391" s="6" t="s">
        <v>9731</v>
      </c>
      <c r="B4391" s="6" t="s">
        <v>74</v>
      </c>
      <c r="C4391" s="6" t="s">
        <v>37</v>
      </c>
      <c r="D4391" s="6" t="s">
        <v>9732</v>
      </c>
      <c r="E4391" s="6" t="s">
        <v>107</v>
      </c>
      <c r="F4391" s="6" t="s">
        <v>18</v>
      </c>
      <c r="G4391" s="7">
        <v>0.05</v>
      </c>
      <c r="H4391" s="6" t="s">
        <v>415</v>
      </c>
      <c r="I4391" s="6" t="s">
        <v>20</v>
      </c>
      <c r="J4391" s="6">
        <v>2016.0</v>
      </c>
      <c r="L4391" s="6">
        <v>3.0</v>
      </c>
      <c r="M4391" s="8">
        <f t="shared" si="4"/>
        <v>0.15</v>
      </c>
      <c r="P4391" s="9"/>
    </row>
    <row r="4392">
      <c r="A4392" s="6" t="s">
        <v>9572</v>
      </c>
      <c r="B4392" s="6" t="s">
        <v>74</v>
      </c>
      <c r="C4392" s="6" t="s">
        <v>43</v>
      </c>
      <c r="D4392" s="6" t="s">
        <v>2237</v>
      </c>
      <c r="E4392" s="6" t="s">
        <v>107</v>
      </c>
      <c r="F4392" s="6" t="s">
        <v>18</v>
      </c>
      <c r="G4392" s="7">
        <v>0.09</v>
      </c>
      <c r="H4392" s="6" t="s">
        <v>701</v>
      </c>
      <c r="I4392" s="6" t="s">
        <v>20</v>
      </c>
      <c r="J4392" s="6">
        <v>2015.0</v>
      </c>
      <c r="L4392" s="6">
        <v>1.0</v>
      </c>
      <c r="M4392" s="8">
        <f t="shared" si="4"/>
        <v>0.09</v>
      </c>
      <c r="P4392" s="9"/>
    </row>
    <row r="4393">
      <c r="A4393" s="6" t="s">
        <v>9733</v>
      </c>
      <c r="B4393" s="6" t="s">
        <v>74</v>
      </c>
      <c r="C4393" s="6" t="s">
        <v>43</v>
      </c>
      <c r="D4393" s="6" t="s">
        <v>9734</v>
      </c>
      <c r="E4393" s="6" t="s">
        <v>98</v>
      </c>
      <c r="F4393" s="6" t="s">
        <v>18</v>
      </c>
      <c r="G4393" s="7">
        <v>0.02</v>
      </c>
      <c r="H4393" s="6" t="s">
        <v>3038</v>
      </c>
      <c r="I4393" s="6" t="s">
        <v>20</v>
      </c>
      <c r="J4393" s="6">
        <v>2006.0</v>
      </c>
      <c r="L4393" s="6">
        <v>1.0</v>
      </c>
      <c r="M4393" s="8">
        <f t="shared" si="4"/>
        <v>0.02</v>
      </c>
      <c r="P4393" s="9"/>
    </row>
    <row r="4394">
      <c r="A4394" s="6" t="s">
        <v>9735</v>
      </c>
      <c r="B4394" s="6" t="s">
        <v>1375</v>
      </c>
      <c r="C4394" s="6" t="s">
        <v>37</v>
      </c>
      <c r="D4394" s="6" t="s">
        <v>9736</v>
      </c>
      <c r="E4394" s="6" t="s">
        <v>9737</v>
      </c>
      <c r="F4394" s="6" t="s">
        <v>50</v>
      </c>
      <c r="G4394" s="7">
        <v>0.06</v>
      </c>
      <c r="H4394" s="6" t="s">
        <v>531</v>
      </c>
      <c r="I4394" s="6" t="s">
        <v>20</v>
      </c>
      <c r="J4394" s="6">
        <v>2017.0</v>
      </c>
      <c r="L4394" s="6">
        <v>1.0</v>
      </c>
      <c r="M4394" s="8">
        <f t="shared" si="4"/>
        <v>0.06</v>
      </c>
      <c r="P4394" s="9"/>
    </row>
    <row r="4395">
      <c r="A4395" s="6" t="s">
        <v>9738</v>
      </c>
      <c r="B4395" s="6" t="s">
        <v>74</v>
      </c>
      <c r="C4395" s="6" t="s">
        <v>37</v>
      </c>
      <c r="D4395" s="6" t="s">
        <v>9739</v>
      </c>
      <c r="E4395" s="6" t="s">
        <v>98</v>
      </c>
      <c r="F4395" s="6" t="s">
        <v>18</v>
      </c>
      <c r="G4395" s="7">
        <v>0.08</v>
      </c>
      <c r="H4395" s="6" t="s">
        <v>531</v>
      </c>
      <c r="I4395" s="6" t="s">
        <v>20</v>
      </c>
      <c r="J4395" s="6">
        <v>2017.0</v>
      </c>
      <c r="L4395" s="6">
        <v>1.0</v>
      </c>
      <c r="M4395" s="8">
        <f t="shared" si="4"/>
        <v>0.08</v>
      </c>
      <c r="P4395" s="9"/>
    </row>
    <row r="4396">
      <c r="A4396" s="6" t="s">
        <v>9740</v>
      </c>
      <c r="B4396" s="6" t="s">
        <v>74</v>
      </c>
      <c r="C4396" s="6" t="s">
        <v>37</v>
      </c>
      <c r="D4396" s="6" t="s">
        <v>9741</v>
      </c>
      <c r="E4396" s="6" t="s">
        <v>210</v>
      </c>
      <c r="F4396" s="6" t="s">
        <v>18</v>
      </c>
      <c r="G4396" s="7">
        <v>0.06</v>
      </c>
      <c r="H4396" s="6" t="s">
        <v>506</v>
      </c>
      <c r="I4396" s="6" t="s">
        <v>20</v>
      </c>
      <c r="J4396" s="6">
        <v>2016.0</v>
      </c>
      <c r="L4396" s="6">
        <v>1.0</v>
      </c>
      <c r="M4396" s="8">
        <f t="shared" si="4"/>
        <v>0.06</v>
      </c>
      <c r="P4396" s="9"/>
    </row>
    <row r="4397">
      <c r="A4397" s="6" t="s">
        <v>9742</v>
      </c>
      <c r="B4397" s="6" t="s">
        <v>74</v>
      </c>
      <c r="C4397" s="6" t="s">
        <v>37</v>
      </c>
      <c r="D4397" s="6" t="s">
        <v>9743</v>
      </c>
      <c r="E4397" s="6" t="s">
        <v>237</v>
      </c>
      <c r="F4397" s="6" t="s">
        <v>18</v>
      </c>
      <c r="G4397" s="7">
        <v>0.05</v>
      </c>
      <c r="H4397" s="6" t="s">
        <v>903</v>
      </c>
      <c r="I4397" s="6" t="s">
        <v>20</v>
      </c>
      <c r="J4397" s="6">
        <v>2016.0</v>
      </c>
      <c r="L4397" s="6">
        <v>1.0</v>
      </c>
      <c r="M4397" s="8">
        <f t="shared" si="4"/>
        <v>0.05</v>
      </c>
      <c r="P4397" s="9"/>
    </row>
    <row r="4398">
      <c r="A4398" s="6" t="s">
        <v>9744</v>
      </c>
      <c r="B4398" s="6" t="s">
        <v>74</v>
      </c>
      <c r="C4398" s="6" t="s">
        <v>37</v>
      </c>
      <c r="D4398" s="6" t="s">
        <v>9745</v>
      </c>
      <c r="E4398" s="6" t="s">
        <v>224</v>
      </c>
      <c r="F4398" s="6" t="s">
        <v>18</v>
      </c>
      <c r="G4398" s="7">
        <v>0.06</v>
      </c>
      <c r="H4398" s="6" t="s">
        <v>407</v>
      </c>
      <c r="I4398" s="6" t="s">
        <v>20</v>
      </c>
      <c r="J4398" s="6">
        <v>2016.0</v>
      </c>
      <c r="L4398" s="6">
        <v>1.0</v>
      </c>
      <c r="M4398" s="8">
        <f t="shared" si="4"/>
        <v>0.06</v>
      </c>
      <c r="P4398" s="9"/>
    </row>
    <row r="4399">
      <c r="A4399" s="6" t="s">
        <v>9746</v>
      </c>
      <c r="B4399" s="6" t="s">
        <v>74</v>
      </c>
      <c r="C4399" s="6" t="s">
        <v>37</v>
      </c>
      <c r="D4399" s="6" t="s">
        <v>9747</v>
      </c>
      <c r="E4399" s="6" t="s">
        <v>98</v>
      </c>
      <c r="F4399" s="6" t="s">
        <v>18</v>
      </c>
      <c r="G4399" s="7">
        <v>0.08</v>
      </c>
      <c r="H4399" s="6" t="s">
        <v>903</v>
      </c>
      <c r="I4399" s="6" t="s">
        <v>20</v>
      </c>
      <c r="J4399" s="6">
        <v>2016.0</v>
      </c>
      <c r="L4399" s="6">
        <v>1.0</v>
      </c>
      <c r="M4399" s="8">
        <f t="shared" si="4"/>
        <v>0.08</v>
      </c>
      <c r="P4399" s="9"/>
    </row>
    <row r="4400">
      <c r="A4400" s="6" t="s">
        <v>9748</v>
      </c>
      <c r="B4400" s="6" t="s">
        <v>74</v>
      </c>
      <c r="C4400" s="6" t="s">
        <v>37</v>
      </c>
      <c r="D4400" s="6" t="s">
        <v>9749</v>
      </c>
      <c r="E4400" s="6" t="s">
        <v>107</v>
      </c>
      <c r="F4400" s="6" t="s">
        <v>18</v>
      </c>
      <c r="G4400" s="7">
        <v>0.23</v>
      </c>
      <c r="H4400" s="6" t="s">
        <v>903</v>
      </c>
      <c r="I4400" s="6" t="s">
        <v>20</v>
      </c>
      <c r="J4400" s="6">
        <v>2016.0</v>
      </c>
      <c r="L4400" s="6">
        <v>1.0</v>
      </c>
      <c r="M4400" s="8">
        <f t="shared" si="4"/>
        <v>0.23</v>
      </c>
      <c r="P4400" s="9"/>
    </row>
    <row r="4401">
      <c r="A4401" s="6" t="s">
        <v>9750</v>
      </c>
      <c r="B4401" s="6" t="s">
        <v>138</v>
      </c>
      <c r="C4401" s="6" t="s">
        <v>43</v>
      </c>
      <c r="D4401" s="6" t="s">
        <v>9751</v>
      </c>
      <c r="E4401" s="6" t="s">
        <v>224</v>
      </c>
      <c r="F4401" s="6" t="s">
        <v>18</v>
      </c>
      <c r="G4401" s="7">
        <v>0.1</v>
      </c>
      <c r="H4401" s="6" t="s">
        <v>1927</v>
      </c>
      <c r="I4401" s="6" t="s">
        <v>20</v>
      </c>
      <c r="J4401" s="6">
        <v>2025.0</v>
      </c>
      <c r="L4401" s="6">
        <v>1.0</v>
      </c>
      <c r="M4401" s="8">
        <f t="shared" si="4"/>
        <v>0.1</v>
      </c>
      <c r="P4401" s="9"/>
    </row>
    <row r="4402">
      <c r="A4402" s="6" t="s">
        <v>9752</v>
      </c>
      <c r="B4402" s="6" t="s">
        <v>74</v>
      </c>
      <c r="C4402" s="6" t="s">
        <v>43</v>
      </c>
      <c r="D4402" s="6" t="s">
        <v>9753</v>
      </c>
      <c r="E4402" s="6" t="s">
        <v>224</v>
      </c>
      <c r="F4402" s="6" t="s">
        <v>18</v>
      </c>
      <c r="G4402" s="7">
        <v>0.06</v>
      </c>
      <c r="H4402" s="6" t="s">
        <v>407</v>
      </c>
      <c r="I4402" s="6" t="s">
        <v>20</v>
      </c>
      <c r="J4402" s="6">
        <v>2016.0</v>
      </c>
      <c r="L4402" s="6">
        <v>1.0</v>
      </c>
      <c r="M4402" s="8">
        <f t="shared" si="4"/>
        <v>0.06</v>
      </c>
      <c r="P4402" s="9"/>
    </row>
    <row r="4403">
      <c r="A4403" s="6" t="s">
        <v>9754</v>
      </c>
      <c r="B4403" s="6" t="s">
        <v>74</v>
      </c>
      <c r="C4403" s="6" t="s">
        <v>37</v>
      </c>
      <c r="D4403" s="6" t="s">
        <v>9755</v>
      </c>
      <c r="E4403" s="6" t="s">
        <v>224</v>
      </c>
      <c r="F4403" s="6" t="s">
        <v>18</v>
      </c>
      <c r="G4403" s="7">
        <v>0.02</v>
      </c>
      <c r="H4403" s="6" t="s">
        <v>506</v>
      </c>
      <c r="I4403" s="6" t="s">
        <v>20</v>
      </c>
      <c r="J4403" s="6">
        <v>2016.0</v>
      </c>
      <c r="L4403" s="6">
        <v>1.0</v>
      </c>
      <c r="M4403" s="8">
        <f t="shared" si="4"/>
        <v>0.02</v>
      </c>
      <c r="P4403" s="9"/>
    </row>
    <row r="4404">
      <c r="A4404" s="6" t="s">
        <v>9756</v>
      </c>
      <c r="B4404" s="6" t="s">
        <v>74</v>
      </c>
      <c r="C4404" s="6" t="s">
        <v>37</v>
      </c>
      <c r="D4404" s="6" t="s">
        <v>9757</v>
      </c>
      <c r="E4404" s="6" t="s">
        <v>224</v>
      </c>
      <c r="F4404" s="6" t="s">
        <v>18</v>
      </c>
      <c r="G4404" s="7">
        <v>0.15</v>
      </c>
      <c r="H4404" s="6" t="s">
        <v>701</v>
      </c>
      <c r="I4404" s="6" t="s">
        <v>20</v>
      </c>
      <c r="J4404" s="6">
        <v>2015.0</v>
      </c>
      <c r="L4404" s="6">
        <v>1.0</v>
      </c>
      <c r="M4404" s="8">
        <f t="shared" si="4"/>
        <v>0.15</v>
      </c>
      <c r="P4404" s="9"/>
    </row>
    <row r="4405">
      <c r="A4405" s="6" t="s">
        <v>9758</v>
      </c>
      <c r="B4405" s="6" t="s">
        <v>74</v>
      </c>
      <c r="C4405" s="6" t="s">
        <v>43</v>
      </c>
      <c r="D4405" s="6" t="s">
        <v>9759</v>
      </c>
      <c r="E4405" s="6" t="s">
        <v>190</v>
      </c>
      <c r="F4405" s="6" t="s">
        <v>18</v>
      </c>
      <c r="G4405" s="7">
        <v>0.03</v>
      </c>
      <c r="H4405" s="6" t="s">
        <v>506</v>
      </c>
      <c r="I4405" s="6" t="s">
        <v>20</v>
      </c>
      <c r="J4405" s="6">
        <v>2016.0</v>
      </c>
      <c r="L4405" s="6">
        <v>1.0</v>
      </c>
      <c r="M4405" s="8">
        <f t="shared" si="4"/>
        <v>0.03</v>
      </c>
      <c r="P4405" s="9"/>
    </row>
    <row r="4406">
      <c r="A4406" s="6" t="s">
        <v>9760</v>
      </c>
      <c r="B4406" s="6" t="s">
        <v>74</v>
      </c>
      <c r="C4406" s="6" t="s">
        <v>43</v>
      </c>
      <c r="D4406" s="6" t="s">
        <v>9761</v>
      </c>
      <c r="E4406" s="6" t="s">
        <v>107</v>
      </c>
      <c r="F4406" s="6" t="s">
        <v>18</v>
      </c>
      <c r="G4406" s="7">
        <v>0.38</v>
      </c>
      <c r="H4406" s="6" t="s">
        <v>506</v>
      </c>
      <c r="I4406" s="6" t="s">
        <v>20</v>
      </c>
      <c r="J4406" s="6">
        <v>2016.0</v>
      </c>
      <c r="L4406" s="6">
        <v>1.0</v>
      </c>
      <c r="M4406" s="8">
        <f t="shared" si="4"/>
        <v>0.38</v>
      </c>
      <c r="P4406" s="9"/>
    </row>
    <row r="4407">
      <c r="A4407" s="6" t="s">
        <v>9762</v>
      </c>
      <c r="B4407" s="6" t="s">
        <v>74</v>
      </c>
      <c r="C4407" s="6" t="s">
        <v>43</v>
      </c>
      <c r="D4407" s="6" t="s">
        <v>9763</v>
      </c>
      <c r="E4407" s="6" t="s">
        <v>98</v>
      </c>
      <c r="F4407" s="6" t="s">
        <v>18</v>
      </c>
      <c r="G4407" s="7">
        <v>0.03</v>
      </c>
      <c r="H4407" s="6" t="s">
        <v>506</v>
      </c>
      <c r="I4407" s="6" t="s">
        <v>20</v>
      </c>
      <c r="J4407" s="6">
        <v>2016.0</v>
      </c>
      <c r="L4407" s="6">
        <v>1.0</v>
      </c>
      <c r="M4407" s="8">
        <f t="shared" si="4"/>
        <v>0.03</v>
      </c>
      <c r="P4407" s="9"/>
    </row>
    <row r="4408">
      <c r="A4408" s="6" t="s">
        <v>9764</v>
      </c>
      <c r="B4408" s="6" t="s">
        <v>74</v>
      </c>
      <c r="C4408" s="6" t="s">
        <v>43</v>
      </c>
      <c r="D4408" s="6" t="s">
        <v>9765</v>
      </c>
      <c r="E4408" s="6" t="s">
        <v>1147</v>
      </c>
      <c r="F4408" s="6" t="s">
        <v>18</v>
      </c>
      <c r="G4408" s="7">
        <v>0.05</v>
      </c>
      <c r="H4408" s="6" t="s">
        <v>1344</v>
      </c>
      <c r="I4408" s="6" t="s">
        <v>20</v>
      </c>
      <c r="J4408" s="6">
        <v>2018.0</v>
      </c>
      <c r="L4408" s="6">
        <v>1.0</v>
      </c>
      <c r="M4408" s="8">
        <f t="shared" si="4"/>
        <v>0.05</v>
      </c>
      <c r="P4408" s="9"/>
    </row>
    <row r="4409">
      <c r="A4409" s="6" t="s">
        <v>9766</v>
      </c>
      <c r="B4409" s="6" t="s">
        <v>74</v>
      </c>
      <c r="C4409" s="6" t="s">
        <v>43</v>
      </c>
      <c r="D4409" s="6" t="s">
        <v>9767</v>
      </c>
      <c r="E4409" s="6" t="s">
        <v>190</v>
      </c>
      <c r="F4409" s="6" t="s">
        <v>18</v>
      </c>
      <c r="G4409" s="7">
        <v>0.03</v>
      </c>
      <c r="H4409" s="6" t="s">
        <v>1344</v>
      </c>
      <c r="I4409" s="6" t="s">
        <v>20</v>
      </c>
      <c r="J4409" s="6">
        <v>2018.0</v>
      </c>
      <c r="L4409" s="6">
        <v>1.0</v>
      </c>
      <c r="M4409" s="8">
        <f t="shared" si="4"/>
        <v>0.03</v>
      </c>
      <c r="P4409" s="9"/>
    </row>
    <row r="4410">
      <c r="A4410" s="6" t="s">
        <v>9768</v>
      </c>
      <c r="B4410" s="6" t="s">
        <v>74</v>
      </c>
      <c r="C4410" s="6" t="s">
        <v>43</v>
      </c>
      <c r="D4410" s="6" t="s">
        <v>9769</v>
      </c>
      <c r="E4410" s="6" t="s">
        <v>224</v>
      </c>
      <c r="F4410" s="6" t="s">
        <v>18</v>
      </c>
      <c r="G4410" s="7">
        <v>0.06</v>
      </c>
      <c r="H4410" s="6" t="s">
        <v>586</v>
      </c>
      <c r="I4410" s="6" t="s">
        <v>20</v>
      </c>
      <c r="J4410" s="6">
        <v>2012.0</v>
      </c>
      <c r="L4410" s="6">
        <v>1.0</v>
      </c>
      <c r="M4410" s="8">
        <f t="shared" si="4"/>
        <v>0.06</v>
      </c>
      <c r="P4410" s="9"/>
    </row>
    <row r="4411">
      <c r="A4411" s="6" t="s">
        <v>9770</v>
      </c>
      <c r="B4411" s="6" t="s">
        <v>74</v>
      </c>
      <c r="C4411" s="6" t="s">
        <v>43</v>
      </c>
      <c r="D4411" s="6" t="s">
        <v>9771</v>
      </c>
      <c r="E4411" s="6" t="s">
        <v>190</v>
      </c>
      <c r="F4411" s="6" t="s">
        <v>18</v>
      </c>
      <c r="G4411" s="7">
        <v>0.06</v>
      </c>
      <c r="H4411" s="6" t="s">
        <v>586</v>
      </c>
      <c r="I4411" s="6" t="s">
        <v>20</v>
      </c>
      <c r="J4411" s="6">
        <v>2012.0</v>
      </c>
      <c r="L4411" s="6">
        <v>1.0</v>
      </c>
      <c r="M4411" s="8">
        <f t="shared" si="4"/>
        <v>0.06</v>
      </c>
      <c r="P4411" s="9"/>
    </row>
    <row r="4412">
      <c r="A4412" s="6" t="s">
        <v>9772</v>
      </c>
      <c r="B4412" s="6" t="s">
        <v>74</v>
      </c>
      <c r="C4412" s="6" t="s">
        <v>43</v>
      </c>
      <c r="D4412" s="6" t="s">
        <v>9773</v>
      </c>
      <c r="E4412" s="6" t="s">
        <v>107</v>
      </c>
      <c r="F4412" s="6" t="s">
        <v>18</v>
      </c>
      <c r="G4412" s="7">
        <v>0.05</v>
      </c>
      <c r="H4412" s="6" t="s">
        <v>496</v>
      </c>
      <c r="I4412" s="6" t="s">
        <v>20</v>
      </c>
      <c r="J4412" s="6">
        <v>2013.0</v>
      </c>
      <c r="L4412" s="6">
        <v>1.0</v>
      </c>
      <c r="M4412" s="8">
        <f t="shared" si="4"/>
        <v>0.05</v>
      </c>
      <c r="P4412" s="9"/>
    </row>
    <row r="4413">
      <c r="A4413" s="6" t="s">
        <v>9774</v>
      </c>
      <c r="B4413" s="6" t="s">
        <v>74</v>
      </c>
      <c r="C4413" s="6" t="s">
        <v>43</v>
      </c>
      <c r="D4413" s="6" t="s">
        <v>9775</v>
      </c>
      <c r="E4413" s="6" t="s">
        <v>107</v>
      </c>
      <c r="F4413" s="6" t="s">
        <v>18</v>
      </c>
      <c r="G4413" s="7">
        <v>0.03</v>
      </c>
      <c r="H4413" s="6" t="s">
        <v>531</v>
      </c>
      <c r="I4413" s="6" t="s">
        <v>20</v>
      </c>
      <c r="J4413" s="6">
        <v>2017.0</v>
      </c>
      <c r="L4413" s="6">
        <v>1.0</v>
      </c>
      <c r="M4413" s="8">
        <f t="shared" si="4"/>
        <v>0.03</v>
      </c>
      <c r="P4413" s="9"/>
    </row>
    <row r="4414">
      <c r="A4414" s="6" t="s">
        <v>9776</v>
      </c>
      <c r="B4414" s="6" t="s">
        <v>74</v>
      </c>
      <c r="C4414" s="6" t="s">
        <v>43</v>
      </c>
      <c r="D4414" s="6" t="s">
        <v>9777</v>
      </c>
      <c r="E4414" s="6" t="s">
        <v>210</v>
      </c>
      <c r="F4414" s="6" t="s">
        <v>18</v>
      </c>
      <c r="G4414" s="7">
        <v>0.03</v>
      </c>
      <c r="H4414" s="6" t="s">
        <v>4519</v>
      </c>
      <c r="I4414" s="6" t="s">
        <v>20</v>
      </c>
      <c r="J4414" s="6">
        <v>2009.0</v>
      </c>
      <c r="L4414" s="6">
        <v>1.0</v>
      </c>
      <c r="M4414" s="8">
        <f t="shared" si="4"/>
        <v>0.03</v>
      </c>
      <c r="P4414" s="9"/>
    </row>
    <row r="4415">
      <c r="A4415" s="6" t="s">
        <v>9778</v>
      </c>
      <c r="B4415" s="6" t="s">
        <v>74</v>
      </c>
      <c r="C4415" s="6" t="s">
        <v>43</v>
      </c>
      <c r="D4415" s="6" t="s">
        <v>9779</v>
      </c>
      <c r="E4415" s="6" t="s">
        <v>98</v>
      </c>
      <c r="F4415" s="6" t="s">
        <v>18</v>
      </c>
      <c r="G4415" s="7">
        <v>0.09</v>
      </c>
      <c r="H4415" s="6" t="s">
        <v>415</v>
      </c>
      <c r="I4415" s="6" t="s">
        <v>20</v>
      </c>
      <c r="J4415" s="6">
        <v>2016.0</v>
      </c>
      <c r="L4415" s="6">
        <v>1.0</v>
      </c>
      <c r="M4415" s="8">
        <f t="shared" si="4"/>
        <v>0.09</v>
      </c>
      <c r="P4415" s="9"/>
    </row>
    <row r="4416">
      <c r="A4416" s="6" t="s">
        <v>9780</v>
      </c>
      <c r="B4416" s="6" t="s">
        <v>74</v>
      </c>
      <c r="C4416" s="6" t="s">
        <v>43</v>
      </c>
      <c r="D4416" s="6" t="s">
        <v>9781</v>
      </c>
      <c r="E4416" s="6" t="s">
        <v>1147</v>
      </c>
      <c r="F4416" s="6" t="s">
        <v>18</v>
      </c>
      <c r="G4416" s="7">
        <v>0.03</v>
      </c>
      <c r="H4416" s="6" t="s">
        <v>506</v>
      </c>
      <c r="I4416" s="6" t="s">
        <v>20</v>
      </c>
      <c r="J4416" s="6">
        <v>2016.0</v>
      </c>
      <c r="L4416" s="6">
        <v>1.0</v>
      </c>
      <c r="M4416" s="8">
        <f t="shared" si="4"/>
        <v>0.03</v>
      </c>
      <c r="P4416" s="9"/>
    </row>
    <row r="4417">
      <c r="A4417" s="6" t="s">
        <v>9782</v>
      </c>
      <c r="B4417" s="6" t="s">
        <v>74</v>
      </c>
      <c r="C4417" s="6" t="s">
        <v>37</v>
      </c>
      <c r="D4417" s="6" t="s">
        <v>9783</v>
      </c>
      <c r="E4417" s="6" t="s">
        <v>210</v>
      </c>
      <c r="F4417" s="6" t="s">
        <v>18</v>
      </c>
      <c r="G4417" s="7">
        <v>0.06</v>
      </c>
      <c r="H4417" s="6" t="s">
        <v>415</v>
      </c>
      <c r="I4417" s="6" t="s">
        <v>20</v>
      </c>
      <c r="J4417" s="6">
        <v>2016.0</v>
      </c>
      <c r="L4417" s="6">
        <v>2.0</v>
      </c>
      <c r="M4417" s="8">
        <f t="shared" si="4"/>
        <v>0.12</v>
      </c>
      <c r="P4417" s="9"/>
    </row>
    <row r="4418">
      <c r="A4418" s="6" t="s">
        <v>9784</v>
      </c>
      <c r="B4418" s="6" t="s">
        <v>74</v>
      </c>
      <c r="C4418" s="6" t="s">
        <v>43</v>
      </c>
      <c r="D4418" s="6" t="s">
        <v>9785</v>
      </c>
      <c r="E4418" s="6" t="s">
        <v>98</v>
      </c>
      <c r="F4418" s="6" t="s">
        <v>18</v>
      </c>
      <c r="G4418" s="7">
        <v>0.06</v>
      </c>
      <c r="H4418" s="6" t="s">
        <v>415</v>
      </c>
      <c r="I4418" s="6" t="s">
        <v>20</v>
      </c>
      <c r="J4418" s="6">
        <v>2016.0</v>
      </c>
      <c r="L4418" s="6">
        <v>2.0</v>
      </c>
      <c r="M4418" s="8">
        <f t="shared" si="4"/>
        <v>0.12</v>
      </c>
      <c r="P4418" s="9"/>
    </row>
    <row r="4419">
      <c r="A4419" s="6" t="s">
        <v>3571</v>
      </c>
      <c r="B4419" s="6" t="s">
        <v>74</v>
      </c>
      <c r="C4419" s="6" t="s">
        <v>43</v>
      </c>
      <c r="D4419" s="6" t="s">
        <v>3572</v>
      </c>
      <c r="E4419" s="6" t="s">
        <v>224</v>
      </c>
      <c r="F4419" s="6" t="s">
        <v>18</v>
      </c>
      <c r="G4419" s="7">
        <v>0.05</v>
      </c>
      <c r="H4419" s="6" t="s">
        <v>1148</v>
      </c>
      <c r="I4419" s="6" t="s">
        <v>20</v>
      </c>
      <c r="J4419" s="6">
        <v>2012.0</v>
      </c>
      <c r="L4419" s="6">
        <v>1.0</v>
      </c>
      <c r="M4419" s="8">
        <f t="shared" si="4"/>
        <v>0.05</v>
      </c>
      <c r="P4419" s="9"/>
    </row>
    <row r="4420">
      <c r="A4420" s="6" t="s">
        <v>9786</v>
      </c>
      <c r="B4420" s="6" t="s">
        <v>74</v>
      </c>
      <c r="C4420" s="6" t="s">
        <v>43</v>
      </c>
      <c r="D4420" s="6" t="s">
        <v>9787</v>
      </c>
      <c r="E4420" s="6" t="s">
        <v>98</v>
      </c>
      <c r="F4420" s="6" t="s">
        <v>18</v>
      </c>
      <c r="G4420" s="7">
        <v>0.06</v>
      </c>
      <c r="H4420" s="6" t="s">
        <v>407</v>
      </c>
      <c r="I4420" s="6" t="s">
        <v>20</v>
      </c>
      <c r="J4420" s="6">
        <v>2016.0</v>
      </c>
      <c r="L4420" s="6">
        <v>2.0</v>
      </c>
      <c r="M4420" s="8">
        <f t="shared" si="4"/>
        <v>0.12</v>
      </c>
      <c r="P4420" s="9"/>
    </row>
    <row r="4421">
      <c r="A4421" s="6" t="s">
        <v>5153</v>
      </c>
      <c r="B4421" s="6" t="s">
        <v>74</v>
      </c>
      <c r="C4421" s="6" t="s">
        <v>43</v>
      </c>
      <c r="D4421" s="6" t="s">
        <v>5154</v>
      </c>
      <c r="E4421" s="6" t="s">
        <v>107</v>
      </c>
      <c r="F4421" s="6" t="s">
        <v>18</v>
      </c>
      <c r="G4421" s="7">
        <v>0.1</v>
      </c>
      <c r="H4421" s="6" t="s">
        <v>373</v>
      </c>
      <c r="I4421" s="6" t="s">
        <v>20</v>
      </c>
      <c r="J4421" s="6">
        <v>2015.0</v>
      </c>
      <c r="L4421" s="6">
        <v>6.0</v>
      </c>
      <c r="M4421" s="8">
        <f t="shared" si="4"/>
        <v>0.6</v>
      </c>
      <c r="P4421" s="9"/>
    </row>
    <row r="4422">
      <c r="A4422" s="6" t="s">
        <v>9788</v>
      </c>
      <c r="B4422" s="6" t="s">
        <v>74</v>
      </c>
      <c r="C4422" s="6" t="s">
        <v>43</v>
      </c>
      <c r="D4422" s="6" t="s">
        <v>9789</v>
      </c>
      <c r="E4422" s="6" t="s">
        <v>107</v>
      </c>
      <c r="F4422" s="6" t="s">
        <v>18</v>
      </c>
      <c r="G4422" s="7">
        <v>0.03</v>
      </c>
      <c r="H4422" s="6" t="s">
        <v>506</v>
      </c>
      <c r="I4422" s="6" t="s">
        <v>20</v>
      </c>
      <c r="J4422" s="6">
        <v>2016.0</v>
      </c>
      <c r="L4422" s="6">
        <v>4.0</v>
      </c>
      <c r="M4422" s="8">
        <f t="shared" si="4"/>
        <v>0.12</v>
      </c>
      <c r="P4422" s="9"/>
    </row>
    <row r="4423">
      <c r="A4423" s="6" t="s">
        <v>9790</v>
      </c>
      <c r="B4423" s="6" t="s">
        <v>74</v>
      </c>
      <c r="C4423" s="6" t="s">
        <v>43</v>
      </c>
      <c r="D4423" s="6" t="s">
        <v>9791</v>
      </c>
      <c r="E4423" s="6" t="s">
        <v>224</v>
      </c>
      <c r="F4423" s="6" t="s">
        <v>18</v>
      </c>
      <c r="G4423" s="7">
        <v>0.03</v>
      </c>
      <c r="H4423" s="6" t="s">
        <v>1776</v>
      </c>
      <c r="I4423" s="6" t="s">
        <v>20</v>
      </c>
      <c r="J4423" s="6">
        <v>2017.0</v>
      </c>
      <c r="L4423" s="6">
        <v>2.0</v>
      </c>
      <c r="M4423" s="8">
        <f t="shared" si="4"/>
        <v>0.06</v>
      </c>
      <c r="P4423" s="9"/>
    </row>
    <row r="4424">
      <c r="A4424" s="6" t="s">
        <v>9792</v>
      </c>
      <c r="B4424" s="6" t="s">
        <v>74</v>
      </c>
      <c r="C4424" s="6" t="s">
        <v>43</v>
      </c>
      <c r="D4424" s="6" t="s">
        <v>9793</v>
      </c>
      <c r="E4424" s="6" t="s">
        <v>98</v>
      </c>
      <c r="F4424" s="6" t="s">
        <v>18</v>
      </c>
      <c r="G4424" s="7">
        <v>0.03</v>
      </c>
      <c r="H4424" s="6" t="s">
        <v>701</v>
      </c>
      <c r="I4424" s="6" t="s">
        <v>20</v>
      </c>
      <c r="J4424" s="6">
        <v>2015.0</v>
      </c>
      <c r="L4424" s="6">
        <v>2.0</v>
      </c>
      <c r="M4424" s="8">
        <f t="shared" si="4"/>
        <v>0.06</v>
      </c>
      <c r="P4424" s="9"/>
    </row>
    <row r="4425">
      <c r="A4425" s="6" t="s">
        <v>1145</v>
      </c>
      <c r="B4425" s="6" t="s">
        <v>74</v>
      </c>
      <c r="C4425" s="6" t="s">
        <v>43</v>
      </c>
      <c r="D4425" s="6" t="s">
        <v>1146</v>
      </c>
      <c r="E4425" s="6" t="s">
        <v>1147</v>
      </c>
      <c r="F4425" s="6" t="s">
        <v>18</v>
      </c>
      <c r="G4425" s="7">
        <v>0.06</v>
      </c>
      <c r="H4425" s="6" t="s">
        <v>373</v>
      </c>
      <c r="I4425" s="6" t="s">
        <v>20</v>
      </c>
      <c r="J4425" s="6">
        <v>2015.0</v>
      </c>
      <c r="L4425" s="6">
        <v>4.0</v>
      </c>
      <c r="M4425" s="8">
        <f t="shared" si="4"/>
        <v>0.24</v>
      </c>
      <c r="P4425" s="9"/>
    </row>
    <row r="4426">
      <c r="A4426" s="6" t="s">
        <v>9794</v>
      </c>
      <c r="B4426" s="6" t="s">
        <v>74</v>
      </c>
      <c r="C4426" s="6" t="s">
        <v>43</v>
      </c>
      <c r="D4426" s="6" t="s">
        <v>9795</v>
      </c>
      <c r="E4426" s="6" t="s">
        <v>107</v>
      </c>
      <c r="F4426" s="6" t="s">
        <v>18</v>
      </c>
      <c r="G4426" s="7">
        <v>0.09</v>
      </c>
      <c r="H4426" s="6" t="s">
        <v>373</v>
      </c>
      <c r="I4426" s="6" t="s">
        <v>20</v>
      </c>
      <c r="J4426" s="6">
        <v>2015.0</v>
      </c>
      <c r="L4426" s="6">
        <v>3.0</v>
      </c>
      <c r="M4426" s="8">
        <f t="shared" si="4"/>
        <v>0.27</v>
      </c>
      <c r="P4426" s="9"/>
    </row>
    <row r="4427">
      <c r="A4427" s="6" t="s">
        <v>9796</v>
      </c>
      <c r="B4427" s="6" t="s">
        <v>74</v>
      </c>
      <c r="C4427" s="6" t="s">
        <v>43</v>
      </c>
      <c r="D4427" s="6" t="s">
        <v>9797</v>
      </c>
      <c r="E4427" s="6" t="s">
        <v>98</v>
      </c>
      <c r="F4427" s="6" t="s">
        <v>18</v>
      </c>
      <c r="G4427" s="7">
        <v>0.04</v>
      </c>
      <c r="H4427" s="6" t="s">
        <v>373</v>
      </c>
      <c r="I4427" s="6" t="s">
        <v>20</v>
      </c>
      <c r="J4427" s="6">
        <v>2015.0</v>
      </c>
      <c r="L4427" s="6">
        <v>3.0</v>
      </c>
      <c r="M4427" s="8">
        <f t="shared" si="4"/>
        <v>0.12</v>
      </c>
      <c r="P4427" s="9"/>
    </row>
    <row r="4428">
      <c r="A4428" s="6" t="s">
        <v>9798</v>
      </c>
      <c r="B4428" s="6" t="s">
        <v>4013</v>
      </c>
      <c r="C4428" s="6" t="s">
        <v>43</v>
      </c>
      <c r="D4428" s="6" t="s">
        <v>9799</v>
      </c>
      <c r="E4428" s="6" t="s">
        <v>224</v>
      </c>
      <c r="F4428" s="6" t="s">
        <v>18</v>
      </c>
      <c r="G4428" s="7">
        <v>0.06</v>
      </c>
      <c r="H4428" s="6" t="s">
        <v>373</v>
      </c>
      <c r="I4428" s="6" t="s">
        <v>20</v>
      </c>
      <c r="J4428" s="6">
        <v>2015.0</v>
      </c>
      <c r="K4428" s="10">
        <v>46054.0</v>
      </c>
      <c r="L4428" s="6">
        <v>3.0</v>
      </c>
      <c r="M4428" s="8">
        <f t="shared" si="4"/>
        <v>0.18</v>
      </c>
      <c r="P4428" s="9"/>
    </row>
    <row r="4429">
      <c r="A4429" s="6" t="s">
        <v>8057</v>
      </c>
      <c r="B4429" s="6" t="s">
        <v>1844</v>
      </c>
      <c r="C4429" s="6" t="s">
        <v>43</v>
      </c>
      <c r="D4429" s="6" t="s">
        <v>1500</v>
      </c>
      <c r="E4429" s="6" t="s">
        <v>98</v>
      </c>
      <c r="F4429" s="6" t="s">
        <v>18</v>
      </c>
      <c r="G4429" s="7">
        <v>0.03</v>
      </c>
      <c r="H4429" s="6" t="s">
        <v>506</v>
      </c>
      <c r="I4429" s="6" t="s">
        <v>20</v>
      </c>
      <c r="J4429" s="6">
        <v>2016.0</v>
      </c>
      <c r="K4429" s="10">
        <v>46055.0</v>
      </c>
      <c r="L4429" s="6">
        <v>2.0</v>
      </c>
      <c r="M4429" s="8">
        <f t="shared" si="4"/>
        <v>0.06</v>
      </c>
      <c r="P4429" s="9"/>
    </row>
    <row r="4430">
      <c r="A4430" s="6" t="s">
        <v>9800</v>
      </c>
      <c r="B4430" s="6" t="s">
        <v>1844</v>
      </c>
      <c r="C4430" s="6" t="s">
        <v>43</v>
      </c>
      <c r="D4430" s="6" t="s">
        <v>9801</v>
      </c>
      <c r="E4430" s="6" t="s">
        <v>224</v>
      </c>
      <c r="F4430" s="6" t="s">
        <v>18</v>
      </c>
      <c r="G4430" s="7">
        <v>0.05</v>
      </c>
      <c r="H4430" s="6" t="s">
        <v>4519</v>
      </c>
      <c r="I4430" s="6" t="s">
        <v>20</v>
      </c>
      <c r="J4430" s="6">
        <v>2009.0</v>
      </c>
      <c r="K4430" s="10">
        <v>46056.0</v>
      </c>
      <c r="L4430" s="6">
        <v>4.0</v>
      </c>
      <c r="M4430" s="8">
        <f t="shared" si="4"/>
        <v>0.2</v>
      </c>
      <c r="P4430" s="9"/>
    </row>
    <row r="4431">
      <c r="A4431" s="6" t="s">
        <v>9802</v>
      </c>
      <c r="B4431" s="6" t="s">
        <v>1875</v>
      </c>
      <c r="C4431" s="6" t="s">
        <v>37</v>
      </c>
      <c r="D4431" s="6" t="s">
        <v>9803</v>
      </c>
      <c r="E4431" s="6" t="s">
        <v>107</v>
      </c>
      <c r="F4431" s="6" t="s">
        <v>18</v>
      </c>
      <c r="G4431" s="7">
        <v>0.06</v>
      </c>
      <c r="H4431" s="6" t="s">
        <v>415</v>
      </c>
      <c r="I4431" s="6" t="s">
        <v>20</v>
      </c>
      <c r="J4431" s="6">
        <v>2016.0</v>
      </c>
      <c r="K4431" s="10">
        <v>46024.0</v>
      </c>
      <c r="L4431" s="6">
        <v>3.0</v>
      </c>
      <c r="M4431" s="8">
        <f t="shared" si="4"/>
        <v>0.18</v>
      </c>
      <c r="P4431" s="9"/>
    </row>
    <row r="4432">
      <c r="A4432" s="6" t="s">
        <v>9804</v>
      </c>
      <c r="B4432" s="6" t="s">
        <v>7591</v>
      </c>
      <c r="C4432" s="6" t="s">
        <v>37</v>
      </c>
      <c r="D4432" s="6" t="s">
        <v>9805</v>
      </c>
      <c r="E4432" s="6" t="s">
        <v>98</v>
      </c>
      <c r="F4432" s="6" t="s">
        <v>18</v>
      </c>
      <c r="G4432" s="7">
        <v>0.09</v>
      </c>
      <c r="H4432" s="6" t="s">
        <v>903</v>
      </c>
      <c r="I4432" s="6" t="s">
        <v>20</v>
      </c>
      <c r="J4432" s="6">
        <v>2016.0</v>
      </c>
      <c r="K4432" s="10">
        <v>46083.0</v>
      </c>
      <c r="L4432" s="6">
        <v>2.0</v>
      </c>
      <c r="M4432" s="8">
        <f t="shared" si="4"/>
        <v>0.18</v>
      </c>
      <c r="P4432" s="9"/>
    </row>
    <row r="4433">
      <c r="A4433" s="6" t="s">
        <v>9806</v>
      </c>
      <c r="B4433" s="6" t="s">
        <v>9807</v>
      </c>
      <c r="C4433" s="6" t="s">
        <v>37</v>
      </c>
      <c r="D4433" s="6" t="s">
        <v>9808</v>
      </c>
      <c r="E4433" s="6" t="s">
        <v>224</v>
      </c>
      <c r="F4433" s="6" t="s">
        <v>18</v>
      </c>
      <c r="G4433" s="7">
        <v>0.05</v>
      </c>
      <c r="H4433" s="6" t="s">
        <v>415</v>
      </c>
      <c r="I4433" s="6" t="s">
        <v>20</v>
      </c>
      <c r="J4433" s="6">
        <v>2016.0</v>
      </c>
      <c r="K4433" s="10">
        <v>46056.0</v>
      </c>
      <c r="L4433" s="6">
        <v>2.0</v>
      </c>
      <c r="M4433" s="8">
        <f t="shared" si="4"/>
        <v>0.1</v>
      </c>
      <c r="P4433" s="9"/>
    </row>
    <row r="4434">
      <c r="A4434" s="6" t="s">
        <v>9809</v>
      </c>
      <c r="B4434" s="6" t="s">
        <v>9576</v>
      </c>
      <c r="C4434" s="6" t="s">
        <v>37</v>
      </c>
      <c r="D4434" s="6" t="s">
        <v>9810</v>
      </c>
      <c r="E4434" s="6" t="s">
        <v>98</v>
      </c>
      <c r="F4434" s="6" t="s">
        <v>18</v>
      </c>
      <c r="G4434" s="7">
        <v>0.03</v>
      </c>
      <c r="H4434" s="6" t="s">
        <v>1856</v>
      </c>
      <c r="I4434" s="6" t="s">
        <v>20</v>
      </c>
      <c r="J4434" s="6">
        <v>2017.0</v>
      </c>
      <c r="K4434" s="10">
        <v>46082.0</v>
      </c>
      <c r="L4434" s="6">
        <v>3.0</v>
      </c>
      <c r="M4434" s="8">
        <f t="shared" si="4"/>
        <v>0.09</v>
      </c>
      <c r="P4434" s="9"/>
    </row>
    <row r="4435">
      <c r="A4435" s="6" t="s">
        <v>9811</v>
      </c>
      <c r="B4435" s="6" t="s">
        <v>1002</v>
      </c>
      <c r="C4435" s="6" t="s">
        <v>43</v>
      </c>
      <c r="D4435" s="6" t="s">
        <v>9812</v>
      </c>
      <c r="E4435" s="6" t="s">
        <v>98</v>
      </c>
      <c r="F4435" s="6" t="s">
        <v>18</v>
      </c>
      <c r="G4435" s="7">
        <v>0.03</v>
      </c>
      <c r="H4435" s="6" t="s">
        <v>373</v>
      </c>
      <c r="I4435" s="6" t="s">
        <v>20</v>
      </c>
      <c r="J4435" s="6">
        <v>2015.0</v>
      </c>
      <c r="K4435" s="10">
        <v>46083.0</v>
      </c>
      <c r="L4435" s="6">
        <v>4.0</v>
      </c>
      <c r="M4435" s="8">
        <f t="shared" si="4"/>
        <v>0.12</v>
      </c>
      <c r="P4435" s="9"/>
    </row>
    <row r="4436">
      <c r="A4436" s="6" t="s">
        <v>9813</v>
      </c>
      <c r="B4436" s="6" t="s">
        <v>4150</v>
      </c>
      <c r="C4436" s="6" t="s">
        <v>43</v>
      </c>
      <c r="D4436" s="6" t="s">
        <v>9814</v>
      </c>
      <c r="E4436" s="6" t="s">
        <v>107</v>
      </c>
      <c r="F4436" s="6" t="s">
        <v>18</v>
      </c>
      <c r="G4436" s="7">
        <v>0.05</v>
      </c>
      <c r="H4436" s="6" t="s">
        <v>701</v>
      </c>
      <c r="I4436" s="6" t="s">
        <v>20</v>
      </c>
      <c r="J4436" s="6">
        <v>2015.0</v>
      </c>
      <c r="K4436" s="10">
        <v>46082.0</v>
      </c>
      <c r="L4436" s="6">
        <v>2.0</v>
      </c>
      <c r="M4436" s="8">
        <f t="shared" si="4"/>
        <v>0.1</v>
      </c>
      <c r="P4436" s="9"/>
    </row>
    <row r="4437">
      <c r="A4437" s="6" t="s">
        <v>9815</v>
      </c>
      <c r="B4437" s="6" t="s">
        <v>9816</v>
      </c>
      <c r="C4437" s="6" t="s">
        <v>43</v>
      </c>
      <c r="D4437" s="6" t="s">
        <v>9817</v>
      </c>
      <c r="E4437" s="6" t="s">
        <v>224</v>
      </c>
      <c r="F4437" s="6" t="s">
        <v>18</v>
      </c>
      <c r="G4437" s="7">
        <v>0.06</v>
      </c>
      <c r="H4437" s="6" t="s">
        <v>701</v>
      </c>
      <c r="I4437" s="6" t="s">
        <v>20</v>
      </c>
      <c r="J4437" s="6">
        <v>2015.0</v>
      </c>
      <c r="K4437" s="10">
        <v>46056.0</v>
      </c>
      <c r="L4437" s="6">
        <v>2.0</v>
      </c>
      <c r="M4437" s="8">
        <f t="shared" si="4"/>
        <v>0.12</v>
      </c>
      <c r="P4437" s="9"/>
    </row>
    <row r="4438">
      <c r="A4438" s="6" t="s">
        <v>9818</v>
      </c>
      <c r="B4438" s="6" t="s">
        <v>9819</v>
      </c>
      <c r="C4438" s="6" t="s">
        <v>43</v>
      </c>
      <c r="D4438" s="6" t="s">
        <v>9820</v>
      </c>
      <c r="E4438" s="6" t="s">
        <v>98</v>
      </c>
      <c r="F4438" s="6" t="s">
        <v>18</v>
      </c>
      <c r="G4438" s="7">
        <v>0.05</v>
      </c>
      <c r="H4438" s="6" t="s">
        <v>373</v>
      </c>
      <c r="I4438" s="6" t="s">
        <v>20</v>
      </c>
      <c r="J4438" s="6">
        <v>2015.0</v>
      </c>
      <c r="K4438" s="10">
        <v>46083.0</v>
      </c>
      <c r="L4438" s="6">
        <v>4.0</v>
      </c>
      <c r="M4438" s="8">
        <f t="shared" si="4"/>
        <v>0.2</v>
      </c>
      <c r="P4438" s="9"/>
    </row>
    <row r="4439">
      <c r="A4439" s="6" t="s">
        <v>9821</v>
      </c>
      <c r="B4439" s="6" t="s">
        <v>3516</v>
      </c>
      <c r="C4439" s="6" t="s">
        <v>43</v>
      </c>
      <c r="E4439" s="6" t="s">
        <v>107</v>
      </c>
      <c r="F4439" s="6" t="s">
        <v>18</v>
      </c>
      <c r="G4439" s="7">
        <v>0.05</v>
      </c>
      <c r="H4439" s="6" t="s">
        <v>373</v>
      </c>
      <c r="I4439" s="6" t="s">
        <v>20</v>
      </c>
      <c r="J4439" s="6">
        <v>2015.0</v>
      </c>
      <c r="K4439" s="10">
        <v>46082.0</v>
      </c>
      <c r="L4439" s="6">
        <v>5.0</v>
      </c>
      <c r="M4439" s="8">
        <f t="shared" si="4"/>
        <v>0.25</v>
      </c>
      <c r="P4439" s="9"/>
    </row>
    <row r="4440">
      <c r="A4440" s="6" t="s">
        <v>9822</v>
      </c>
      <c r="B4440" s="6" t="s">
        <v>8918</v>
      </c>
      <c r="C4440" s="6" t="s">
        <v>43</v>
      </c>
      <c r="D4440" s="6" t="s">
        <v>9823</v>
      </c>
      <c r="E4440" s="6" t="s">
        <v>224</v>
      </c>
      <c r="F4440" s="6" t="s">
        <v>18</v>
      </c>
      <c r="G4440" s="7">
        <v>0.03</v>
      </c>
      <c r="H4440" s="6" t="s">
        <v>531</v>
      </c>
      <c r="I4440" s="6" t="s">
        <v>20</v>
      </c>
      <c r="J4440" s="6">
        <v>2017.0</v>
      </c>
      <c r="K4440" s="10">
        <v>46056.0</v>
      </c>
      <c r="L4440" s="6">
        <v>2.0</v>
      </c>
      <c r="M4440" s="8">
        <f t="shared" si="4"/>
        <v>0.06</v>
      </c>
      <c r="P4440" s="9"/>
    </row>
    <row r="4441">
      <c r="A4441" s="6" t="s">
        <v>9824</v>
      </c>
      <c r="B4441" s="6" t="s">
        <v>4013</v>
      </c>
      <c r="C4441" s="6" t="s">
        <v>43</v>
      </c>
      <c r="D4441" s="6" t="s">
        <v>9825</v>
      </c>
      <c r="E4441" s="6" t="s">
        <v>224</v>
      </c>
      <c r="F4441" s="6" t="s">
        <v>18</v>
      </c>
      <c r="G4441" s="7">
        <v>0.03</v>
      </c>
      <c r="H4441" s="6" t="s">
        <v>506</v>
      </c>
      <c r="I4441" s="6" t="s">
        <v>20</v>
      </c>
      <c r="J4441" s="6">
        <v>2016.0</v>
      </c>
      <c r="K4441" s="10">
        <v>46084.0</v>
      </c>
      <c r="L4441" s="6">
        <v>2.0</v>
      </c>
      <c r="M4441" s="8">
        <f t="shared" si="4"/>
        <v>0.06</v>
      </c>
      <c r="P4441" s="9"/>
    </row>
    <row r="4442">
      <c r="A4442" s="6" t="s">
        <v>9826</v>
      </c>
      <c r="B4442" s="6" t="s">
        <v>8327</v>
      </c>
      <c r="C4442" s="6" t="s">
        <v>43</v>
      </c>
      <c r="D4442" s="6" t="s">
        <v>9827</v>
      </c>
      <c r="E4442" s="6" t="s">
        <v>107</v>
      </c>
      <c r="F4442" s="6" t="s">
        <v>18</v>
      </c>
      <c r="G4442" s="7">
        <v>0.06</v>
      </c>
      <c r="H4442" s="6" t="s">
        <v>415</v>
      </c>
      <c r="I4442" s="6" t="s">
        <v>20</v>
      </c>
      <c r="J4442" s="6">
        <v>2016.0</v>
      </c>
      <c r="K4442" s="10">
        <v>46024.0</v>
      </c>
      <c r="L4442" s="6">
        <v>2.0</v>
      </c>
      <c r="M4442" s="8">
        <f t="shared" si="4"/>
        <v>0.12</v>
      </c>
      <c r="P4442" s="9"/>
    </row>
    <row r="4443">
      <c r="A4443" s="6" t="s">
        <v>9828</v>
      </c>
      <c r="B4443" s="6" t="s">
        <v>8074</v>
      </c>
      <c r="C4443" s="6" t="s">
        <v>43</v>
      </c>
      <c r="D4443" s="6" t="s">
        <v>9829</v>
      </c>
      <c r="E4443" s="6" t="s">
        <v>98</v>
      </c>
      <c r="F4443" s="6" t="s">
        <v>18</v>
      </c>
      <c r="G4443" s="7">
        <v>0.03</v>
      </c>
      <c r="H4443" s="6" t="s">
        <v>1344</v>
      </c>
      <c r="I4443" s="6" t="s">
        <v>20</v>
      </c>
      <c r="J4443" s="6">
        <v>2018.0</v>
      </c>
      <c r="K4443" s="10">
        <v>46025.0</v>
      </c>
      <c r="L4443" s="6">
        <v>2.0</v>
      </c>
      <c r="M4443" s="8">
        <f t="shared" si="4"/>
        <v>0.06</v>
      </c>
      <c r="P4443" s="9"/>
    </row>
    <row r="4444">
      <c r="A4444" s="6" t="s">
        <v>9830</v>
      </c>
      <c r="B4444" s="6" t="s">
        <v>603</v>
      </c>
      <c r="C4444" s="6" t="s">
        <v>43</v>
      </c>
      <c r="D4444" s="6" t="s">
        <v>9831</v>
      </c>
      <c r="E4444" s="6" t="s">
        <v>224</v>
      </c>
      <c r="F4444" s="6" t="s">
        <v>18</v>
      </c>
      <c r="G4444" s="7">
        <v>0.06</v>
      </c>
      <c r="H4444" s="6" t="s">
        <v>586</v>
      </c>
      <c r="I4444" s="6" t="s">
        <v>20</v>
      </c>
      <c r="J4444" s="6">
        <v>2012.0</v>
      </c>
      <c r="K4444" s="10">
        <v>46055.0</v>
      </c>
      <c r="L4444" s="6">
        <v>3.0</v>
      </c>
      <c r="M4444" s="8">
        <f t="shared" si="4"/>
        <v>0.18</v>
      </c>
      <c r="P4444" s="9"/>
    </row>
    <row r="4445">
      <c r="A4445" s="6" t="s">
        <v>9832</v>
      </c>
      <c r="B4445" s="6" t="s">
        <v>8533</v>
      </c>
      <c r="C4445" s="6" t="s">
        <v>43</v>
      </c>
      <c r="D4445" s="6" t="s">
        <v>9833</v>
      </c>
      <c r="E4445" s="6" t="s">
        <v>107</v>
      </c>
      <c r="F4445" s="6" t="s">
        <v>18</v>
      </c>
      <c r="G4445" s="7">
        <v>0.03</v>
      </c>
      <c r="H4445" s="6" t="s">
        <v>531</v>
      </c>
      <c r="I4445" s="6" t="s">
        <v>20</v>
      </c>
      <c r="J4445" s="6">
        <v>2017.0</v>
      </c>
      <c r="K4445" s="10">
        <v>46024.0</v>
      </c>
      <c r="L4445" s="6">
        <v>2.0</v>
      </c>
      <c r="M4445" s="8">
        <f t="shared" si="4"/>
        <v>0.06</v>
      </c>
      <c r="P4445" s="9"/>
    </row>
    <row r="4446">
      <c r="A4446" s="6" t="s">
        <v>9834</v>
      </c>
      <c r="B4446" s="6" t="s">
        <v>2070</v>
      </c>
      <c r="C4446" s="6" t="s">
        <v>37</v>
      </c>
      <c r="D4446" s="6" t="s">
        <v>9835</v>
      </c>
      <c r="E4446" s="6" t="s">
        <v>3201</v>
      </c>
      <c r="F4446" s="6" t="s">
        <v>18</v>
      </c>
      <c r="G4446" s="7">
        <v>4.2</v>
      </c>
      <c r="H4446" s="6" t="s">
        <v>531</v>
      </c>
      <c r="I4446" s="6" t="s">
        <v>20</v>
      </c>
      <c r="J4446" s="6">
        <v>2017.0</v>
      </c>
      <c r="K4446" s="10">
        <v>46148.0</v>
      </c>
      <c r="L4446" s="6">
        <v>2.0</v>
      </c>
      <c r="M4446" s="8">
        <f t="shared" si="4"/>
        <v>8.4</v>
      </c>
      <c r="N4446" s="6" t="s">
        <v>122</v>
      </c>
      <c r="P4446" s="9"/>
    </row>
    <row r="4447">
      <c r="A4447" s="6" t="s">
        <v>9836</v>
      </c>
      <c r="B4447" s="6" t="s">
        <v>1844</v>
      </c>
      <c r="C4447" s="6" t="s">
        <v>43</v>
      </c>
      <c r="D4447" s="6" t="s">
        <v>9837</v>
      </c>
      <c r="E4447" s="6" t="s">
        <v>654</v>
      </c>
      <c r="F4447" s="6" t="s">
        <v>18</v>
      </c>
      <c r="G4447" s="7">
        <v>0.03</v>
      </c>
      <c r="H4447" s="6" t="s">
        <v>531</v>
      </c>
      <c r="I4447" s="6" t="s">
        <v>20</v>
      </c>
      <c r="J4447" s="6">
        <v>2017.0</v>
      </c>
      <c r="K4447" s="10">
        <v>46115.0</v>
      </c>
      <c r="L4447" s="6">
        <v>4.0</v>
      </c>
      <c r="M4447" s="8">
        <f t="shared" si="4"/>
        <v>0.12</v>
      </c>
      <c r="P4447" s="9"/>
    </row>
    <row r="4448">
      <c r="A4448" s="6" t="s">
        <v>9838</v>
      </c>
      <c r="B4448" s="6" t="s">
        <v>1844</v>
      </c>
      <c r="C4448" s="6" t="s">
        <v>43</v>
      </c>
      <c r="D4448" s="6" t="s">
        <v>9839</v>
      </c>
      <c r="E4448" s="6" t="s">
        <v>224</v>
      </c>
      <c r="F4448" s="6" t="s">
        <v>18</v>
      </c>
      <c r="G4448" s="7">
        <v>0.03</v>
      </c>
      <c r="H4448" s="6" t="s">
        <v>1344</v>
      </c>
      <c r="I4448" s="6" t="s">
        <v>20</v>
      </c>
      <c r="J4448" s="6">
        <v>2018.0</v>
      </c>
      <c r="K4448" s="10">
        <v>46082.0</v>
      </c>
      <c r="L4448" s="6">
        <v>2.0</v>
      </c>
      <c r="M4448" s="8">
        <f t="shared" si="4"/>
        <v>0.06</v>
      </c>
      <c r="P4448" s="9"/>
    </row>
    <row r="4449">
      <c r="A4449" s="6" t="s">
        <v>9626</v>
      </c>
      <c r="B4449" s="6" t="s">
        <v>1844</v>
      </c>
      <c r="C4449" s="6" t="s">
        <v>37</v>
      </c>
      <c r="D4449" s="6" t="s">
        <v>9627</v>
      </c>
      <c r="E4449" s="6" t="s">
        <v>237</v>
      </c>
      <c r="F4449" s="6" t="s">
        <v>18</v>
      </c>
      <c r="G4449" s="7">
        <v>0.06</v>
      </c>
      <c r="H4449" s="6" t="s">
        <v>531</v>
      </c>
      <c r="I4449" s="6" t="s">
        <v>20</v>
      </c>
      <c r="J4449" s="6">
        <v>2017.0</v>
      </c>
      <c r="K4449" s="10">
        <v>46116.0</v>
      </c>
      <c r="L4449" s="6">
        <v>2.0</v>
      </c>
      <c r="M4449" s="8">
        <f t="shared" si="4"/>
        <v>0.12</v>
      </c>
      <c r="P4449" s="9"/>
    </row>
    <row r="4450">
      <c r="A4450" s="6" t="s">
        <v>9840</v>
      </c>
      <c r="B4450" s="6" t="s">
        <v>1844</v>
      </c>
      <c r="C4450" s="6" t="s">
        <v>43</v>
      </c>
      <c r="D4450" s="6" t="s">
        <v>9841</v>
      </c>
      <c r="E4450" s="6" t="s">
        <v>98</v>
      </c>
      <c r="F4450" s="6" t="s">
        <v>18</v>
      </c>
      <c r="G4450" s="7">
        <v>0.04</v>
      </c>
      <c r="H4450" s="6" t="s">
        <v>586</v>
      </c>
      <c r="I4450" s="6" t="s">
        <v>20</v>
      </c>
      <c r="J4450" s="6">
        <v>2012.0</v>
      </c>
      <c r="K4450" s="10">
        <v>46024.0</v>
      </c>
      <c r="L4450" s="6">
        <v>1.0</v>
      </c>
      <c r="M4450" s="8">
        <f t="shared" si="4"/>
        <v>0.04</v>
      </c>
      <c r="P4450" s="9"/>
    </row>
    <row r="4451">
      <c r="A4451" s="6" t="s">
        <v>9842</v>
      </c>
      <c r="B4451" s="6" t="s">
        <v>208</v>
      </c>
      <c r="C4451" s="6" t="s">
        <v>43</v>
      </c>
      <c r="D4451" s="6" t="s">
        <v>9843</v>
      </c>
      <c r="E4451" s="6" t="s">
        <v>107</v>
      </c>
      <c r="F4451" s="6" t="s">
        <v>18</v>
      </c>
      <c r="G4451" s="7">
        <v>0.03</v>
      </c>
      <c r="H4451" s="6" t="s">
        <v>531</v>
      </c>
      <c r="I4451" s="6" t="s">
        <v>20</v>
      </c>
      <c r="J4451" s="6">
        <v>2017.0</v>
      </c>
      <c r="K4451" s="10">
        <v>46082.0</v>
      </c>
      <c r="L4451" s="6">
        <v>4.0</v>
      </c>
      <c r="M4451" s="8">
        <f t="shared" si="4"/>
        <v>0.12</v>
      </c>
      <c r="P4451" s="9"/>
    </row>
    <row r="4452">
      <c r="A4452" s="6" t="s">
        <v>9844</v>
      </c>
      <c r="B4452" s="6" t="s">
        <v>685</v>
      </c>
      <c r="C4452" s="6" t="s">
        <v>43</v>
      </c>
      <c r="D4452" s="6" t="s">
        <v>9845</v>
      </c>
      <c r="E4452" s="6" t="s">
        <v>98</v>
      </c>
      <c r="F4452" s="6" t="s">
        <v>18</v>
      </c>
      <c r="G4452" s="7">
        <v>0.03</v>
      </c>
      <c r="H4452" s="6" t="s">
        <v>531</v>
      </c>
      <c r="I4452" s="6" t="s">
        <v>20</v>
      </c>
      <c r="J4452" s="6">
        <v>2017.0</v>
      </c>
      <c r="K4452" s="10">
        <v>46055.0</v>
      </c>
      <c r="L4452" s="6">
        <v>2.0</v>
      </c>
      <c r="M4452" s="8">
        <f t="shared" si="4"/>
        <v>0.06</v>
      </c>
      <c r="P4452" s="9"/>
    </row>
    <row r="4453">
      <c r="A4453" s="6" t="s">
        <v>9846</v>
      </c>
      <c r="B4453" s="6" t="s">
        <v>854</v>
      </c>
      <c r="C4453" s="6" t="s">
        <v>37</v>
      </c>
      <c r="D4453" s="6" t="s">
        <v>9847</v>
      </c>
      <c r="E4453" s="6" t="s">
        <v>107</v>
      </c>
      <c r="F4453" s="6" t="s">
        <v>18</v>
      </c>
      <c r="G4453" s="7">
        <v>0.05</v>
      </c>
      <c r="H4453" s="6" t="s">
        <v>415</v>
      </c>
      <c r="I4453" s="6" t="s">
        <v>20</v>
      </c>
      <c r="J4453" s="6">
        <v>2016.0</v>
      </c>
      <c r="K4453" s="10">
        <v>46082.0</v>
      </c>
      <c r="L4453" s="6">
        <v>1.0</v>
      </c>
      <c r="M4453" s="8">
        <f t="shared" si="4"/>
        <v>0.05</v>
      </c>
      <c r="P4453" s="9"/>
    </row>
    <row r="4454">
      <c r="A4454" s="6" t="s">
        <v>9848</v>
      </c>
      <c r="B4454" s="6" t="s">
        <v>854</v>
      </c>
      <c r="C4454" s="6" t="s">
        <v>37</v>
      </c>
      <c r="D4454" s="6" t="s">
        <v>9849</v>
      </c>
      <c r="E4454" s="6" t="s">
        <v>98</v>
      </c>
      <c r="F4454" s="6" t="s">
        <v>18</v>
      </c>
      <c r="G4454" s="7">
        <v>0.05</v>
      </c>
      <c r="H4454" s="6" t="s">
        <v>415</v>
      </c>
      <c r="I4454" s="6" t="s">
        <v>20</v>
      </c>
      <c r="J4454" s="6">
        <v>2016.0</v>
      </c>
      <c r="K4454" s="10">
        <v>46055.0</v>
      </c>
      <c r="L4454" s="6">
        <v>2.0</v>
      </c>
      <c r="M4454" s="8">
        <f t="shared" si="4"/>
        <v>0.1</v>
      </c>
      <c r="P4454" s="9"/>
    </row>
    <row r="4455">
      <c r="A4455" s="6" t="s">
        <v>405</v>
      </c>
      <c r="B4455" s="6" t="s">
        <v>406</v>
      </c>
      <c r="C4455" s="6" t="s">
        <v>43</v>
      </c>
      <c r="E4455" s="6" t="s">
        <v>210</v>
      </c>
      <c r="F4455" s="6" t="s">
        <v>18</v>
      </c>
      <c r="G4455" s="7">
        <v>0.03</v>
      </c>
      <c r="H4455" s="6" t="s">
        <v>531</v>
      </c>
      <c r="I4455" s="6" t="s">
        <v>20</v>
      </c>
      <c r="J4455" s="6">
        <v>2017.0</v>
      </c>
      <c r="K4455" s="10">
        <v>46143.0</v>
      </c>
      <c r="L4455" s="6">
        <v>2.0</v>
      </c>
      <c r="M4455" s="8">
        <f t="shared" si="4"/>
        <v>0.06</v>
      </c>
      <c r="P4455" s="9"/>
    </row>
    <row r="4456">
      <c r="A4456" s="6" t="s">
        <v>7735</v>
      </c>
      <c r="B4456" s="6" t="s">
        <v>3638</v>
      </c>
      <c r="C4456" s="6" t="s">
        <v>43</v>
      </c>
      <c r="D4456" s="6" t="s">
        <v>7736</v>
      </c>
      <c r="E4456" s="6" t="s">
        <v>107</v>
      </c>
      <c r="F4456" s="6" t="s">
        <v>18</v>
      </c>
      <c r="G4456" s="7">
        <v>0.03</v>
      </c>
      <c r="H4456" s="6" t="s">
        <v>1344</v>
      </c>
      <c r="I4456" s="6" t="s">
        <v>20</v>
      </c>
      <c r="J4456" s="6">
        <v>2018.0</v>
      </c>
      <c r="K4456" s="10">
        <v>46024.0</v>
      </c>
      <c r="L4456" s="6">
        <v>2.0</v>
      </c>
      <c r="M4456" s="8">
        <f t="shared" si="4"/>
        <v>0.06</v>
      </c>
      <c r="P4456" s="9"/>
    </row>
    <row r="4457">
      <c r="A4457" s="6" t="s">
        <v>9850</v>
      </c>
      <c r="B4457" s="6" t="s">
        <v>5330</v>
      </c>
      <c r="C4457" s="6" t="s">
        <v>37</v>
      </c>
      <c r="D4457" s="6" t="s">
        <v>9851</v>
      </c>
      <c r="E4457" s="6" t="s">
        <v>98</v>
      </c>
      <c r="F4457" s="6" t="s">
        <v>18</v>
      </c>
      <c r="G4457" s="7">
        <v>0.06</v>
      </c>
      <c r="H4457" s="6" t="s">
        <v>506</v>
      </c>
      <c r="I4457" s="6" t="s">
        <v>20</v>
      </c>
      <c r="J4457" s="6">
        <v>2016.0</v>
      </c>
      <c r="K4457" s="10">
        <v>46083.0</v>
      </c>
      <c r="L4457" s="6">
        <v>1.0</v>
      </c>
      <c r="M4457" s="8">
        <f t="shared" si="4"/>
        <v>0.06</v>
      </c>
      <c r="P4457" s="9"/>
    </row>
    <row r="4458">
      <c r="A4458" s="6" t="s">
        <v>9852</v>
      </c>
      <c r="B4458" s="6" t="s">
        <v>1002</v>
      </c>
      <c r="C4458" s="6" t="s">
        <v>43</v>
      </c>
      <c r="D4458" s="6" t="s">
        <v>1500</v>
      </c>
      <c r="E4458" s="6" t="s">
        <v>98</v>
      </c>
      <c r="F4458" s="6" t="s">
        <v>18</v>
      </c>
      <c r="G4458" s="7">
        <v>0.05</v>
      </c>
      <c r="H4458" s="6" t="s">
        <v>701</v>
      </c>
      <c r="I4458" s="6" t="s">
        <v>20</v>
      </c>
      <c r="J4458" s="6">
        <v>2015.0</v>
      </c>
      <c r="K4458" s="10">
        <v>46113.0</v>
      </c>
      <c r="L4458" s="6">
        <v>2.0</v>
      </c>
      <c r="M4458" s="8">
        <f t="shared" si="4"/>
        <v>0.1</v>
      </c>
      <c r="P4458" s="9"/>
    </row>
    <row r="4459">
      <c r="A4459" s="6" t="s">
        <v>1944</v>
      </c>
      <c r="B4459" s="6" t="s">
        <v>988</v>
      </c>
      <c r="C4459" s="6" t="s">
        <v>43</v>
      </c>
      <c r="D4459" s="6" t="s">
        <v>1945</v>
      </c>
      <c r="E4459" s="6" t="s">
        <v>98</v>
      </c>
      <c r="F4459" s="6" t="s">
        <v>18</v>
      </c>
      <c r="G4459" s="7">
        <v>0.05</v>
      </c>
      <c r="H4459" s="6" t="s">
        <v>407</v>
      </c>
      <c r="I4459" s="6" t="s">
        <v>20</v>
      </c>
      <c r="J4459" s="6">
        <v>2016.0</v>
      </c>
      <c r="K4459" s="10">
        <v>46083.0</v>
      </c>
      <c r="L4459" s="6">
        <v>2.0</v>
      </c>
      <c r="M4459" s="8">
        <f t="shared" si="4"/>
        <v>0.1</v>
      </c>
      <c r="P4459" s="9"/>
    </row>
    <row r="4460">
      <c r="A4460" s="6" t="s">
        <v>9853</v>
      </c>
      <c r="B4460" s="6" t="s">
        <v>9854</v>
      </c>
      <c r="C4460" s="6" t="s">
        <v>43</v>
      </c>
      <c r="D4460" s="6" t="s">
        <v>9855</v>
      </c>
      <c r="E4460" s="6" t="s">
        <v>107</v>
      </c>
      <c r="F4460" s="6" t="s">
        <v>18</v>
      </c>
      <c r="G4460" s="7">
        <v>0.03</v>
      </c>
      <c r="H4460" s="6" t="s">
        <v>506</v>
      </c>
      <c r="I4460" s="6" t="s">
        <v>20</v>
      </c>
      <c r="J4460" s="6">
        <v>2016.0</v>
      </c>
      <c r="K4460" s="10">
        <v>46082.0</v>
      </c>
      <c r="L4460" s="6">
        <v>2.0</v>
      </c>
      <c r="M4460" s="8">
        <f t="shared" si="4"/>
        <v>0.06</v>
      </c>
      <c r="P4460" s="9"/>
    </row>
    <row r="4461">
      <c r="A4461" s="6" t="s">
        <v>9856</v>
      </c>
      <c r="B4461" s="6" t="s">
        <v>8438</v>
      </c>
      <c r="C4461" s="6" t="s">
        <v>43</v>
      </c>
      <c r="D4461" s="6" t="s">
        <v>9857</v>
      </c>
      <c r="E4461" s="6" t="s">
        <v>107</v>
      </c>
      <c r="F4461" s="6" t="s">
        <v>18</v>
      </c>
      <c r="G4461" s="7">
        <v>0.06</v>
      </c>
      <c r="H4461" s="6" t="s">
        <v>1776</v>
      </c>
      <c r="I4461" s="6" t="s">
        <v>20</v>
      </c>
      <c r="J4461" s="6">
        <v>2017.0</v>
      </c>
      <c r="K4461" s="10">
        <v>46054.0</v>
      </c>
      <c r="L4461" s="6">
        <v>2.0</v>
      </c>
      <c r="M4461" s="8">
        <f t="shared" si="4"/>
        <v>0.12</v>
      </c>
      <c r="P4461" s="9"/>
    </row>
    <row r="4462">
      <c r="A4462" s="6" t="s">
        <v>9858</v>
      </c>
      <c r="B4462" s="6" t="s">
        <v>9859</v>
      </c>
      <c r="C4462" s="6" t="s">
        <v>43</v>
      </c>
      <c r="D4462" s="6" t="s">
        <v>1083</v>
      </c>
      <c r="E4462" s="6" t="s">
        <v>107</v>
      </c>
      <c r="F4462" s="6" t="s">
        <v>18</v>
      </c>
      <c r="G4462" s="7">
        <v>0.03</v>
      </c>
      <c r="H4462" s="6" t="s">
        <v>407</v>
      </c>
      <c r="I4462" s="6" t="s">
        <v>20</v>
      </c>
      <c r="J4462" s="6">
        <v>2016.0</v>
      </c>
      <c r="K4462" s="10">
        <v>46024.0</v>
      </c>
      <c r="L4462" s="6">
        <v>2.0</v>
      </c>
      <c r="M4462" s="8">
        <f t="shared" si="4"/>
        <v>0.06</v>
      </c>
      <c r="P4462" s="9"/>
    </row>
    <row r="4463">
      <c r="A4463" s="6" t="s">
        <v>8458</v>
      </c>
      <c r="B4463" s="6" t="s">
        <v>8459</v>
      </c>
      <c r="C4463" s="6" t="s">
        <v>43</v>
      </c>
      <c r="D4463" s="6" t="s">
        <v>8460</v>
      </c>
      <c r="E4463" s="6" t="s">
        <v>190</v>
      </c>
      <c r="F4463" s="6" t="s">
        <v>18</v>
      </c>
      <c r="G4463" s="7">
        <v>0.13</v>
      </c>
      <c r="H4463" s="6" t="s">
        <v>531</v>
      </c>
      <c r="I4463" s="6" t="s">
        <v>20</v>
      </c>
      <c r="J4463" s="6">
        <v>2017.0</v>
      </c>
      <c r="K4463" s="10">
        <v>46054.0</v>
      </c>
      <c r="L4463" s="6">
        <v>3.0</v>
      </c>
      <c r="M4463" s="8">
        <f t="shared" si="4"/>
        <v>0.39</v>
      </c>
      <c r="P4463" s="9"/>
    </row>
    <row r="4464">
      <c r="A4464" s="6" t="s">
        <v>9822</v>
      </c>
      <c r="B4464" s="6" t="s">
        <v>8918</v>
      </c>
      <c r="C4464" s="6" t="s">
        <v>43</v>
      </c>
      <c r="D4464" s="6" t="s">
        <v>9823</v>
      </c>
      <c r="E4464" s="6" t="s">
        <v>224</v>
      </c>
      <c r="F4464" s="6" t="s">
        <v>18</v>
      </c>
      <c r="G4464" s="7">
        <v>0.03</v>
      </c>
      <c r="H4464" s="6" t="s">
        <v>531</v>
      </c>
      <c r="I4464" s="6" t="s">
        <v>20</v>
      </c>
      <c r="J4464" s="6">
        <v>2017.0</v>
      </c>
      <c r="K4464" s="10">
        <v>46056.0</v>
      </c>
      <c r="L4464" s="6">
        <v>1.0</v>
      </c>
      <c r="M4464" s="8">
        <f t="shared" si="4"/>
        <v>0.03</v>
      </c>
      <c r="P4464" s="9"/>
    </row>
    <row r="4465">
      <c r="A4465" s="6" t="s">
        <v>9860</v>
      </c>
      <c r="B4465" s="6" t="s">
        <v>1803</v>
      </c>
      <c r="C4465" s="6" t="s">
        <v>43</v>
      </c>
      <c r="D4465" s="6" t="s">
        <v>9861</v>
      </c>
      <c r="E4465" s="6" t="s">
        <v>107</v>
      </c>
      <c r="F4465" s="6" t="s">
        <v>18</v>
      </c>
      <c r="G4465" s="7">
        <v>0.06</v>
      </c>
      <c r="H4465" s="6" t="s">
        <v>6398</v>
      </c>
      <c r="I4465" s="6" t="s">
        <v>20</v>
      </c>
      <c r="J4465" s="6">
        <v>2010.0</v>
      </c>
      <c r="K4465" s="10">
        <v>46024.0</v>
      </c>
      <c r="L4465" s="6">
        <v>1.0</v>
      </c>
      <c r="M4465" s="8">
        <f t="shared" si="4"/>
        <v>0.06</v>
      </c>
      <c r="P4465" s="9"/>
    </row>
    <row r="4466">
      <c r="A4466" s="6" t="s">
        <v>8326</v>
      </c>
      <c r="B4466" s="6" t="s">
        <v>8327</v>
      </c>
      <c r="C4466" s="6" t="s">
        <v>37</v>
      </c>
      <c r="D4466" s="6" t="s">
        <v>8328</v>
      </c>
      <c r="E4466" s="6" t="s">
        <v>107</v>
      </c>
      <c r="F4466" s="6" t="s">
        <v>18</v>
      </c>
      <c r="G4466" s="7">
        <v>0.29</v>
      </c>
      <c r="H4466" s="6" t="s">
        <v>903</v>
      </c>
      <c r="I4466" s="6" t="s">
        <v>20</v>
      </c>
      <c r="J4466" s="6">
        <v>2016.0</v>
      </c>
      <c r="K4466" s="10">
        <v>46023.0</v>
      </c>
      <c r="L4466" s="6">
        <v>1.0</v>
      </c>
      <c r="M4466" s="8">
        <f t="shared" si="4"/>
        <v>0.29</v>
      </c>
      <c r="P4466" s="9"/>
    </row>
    <row r="4467">
      <c r="A4467" s="6" t="s">
        <v>6264</v>
      </c>
      <c r="B4467" s="6" t="s">
        <v>2192</v>
      </c>
      <c r="C4467" s="6" t="s">
        <v>43</v>
      </c>
      <c r="D4467" s="6" t="s">
        <v>6265</v>
      </c>
      <c r="E4467" s="6" t="s">
        <v>107</v>
      </c>
      <c r="F4467" s="6" t="s">
        <v>18</v>
      </c>
      <c r="G4467" s="7">
        <v>0.06</v>
      </c>
      <c r="H4467" s="6" t="s">
        <v>373</v>
      </c>
      <c r="I4467" s="6" t="s">
        <v>20</v>
      </c>
      <c r="J4467" s="6">
        <v>2015.0</v>
      </c>
      <c r="K4467" s="10">
        <v>46024.0</v>
      </c>
      <c r="L4467" s="6">
        <v>3.0</v>
      </c>
      <c r="M4467" s="8">
        <f t="shared" si="4"/>
        <v>0.18</v>
      </c>
      <c r="P4467" s="9"/>
    </row>
    <row r="4468">
      <c r="A4468" s="6" t="s">
        <v>9862</v>
      </c>
      <c r="B4468" s="6" t="s">
        <v>9863</v>
      </c>
      <c r="C4468" s="6" t="s">
        <v>204</v>
      </c>
      <c r="D4468" s="6" t="s">
        <v>9864</v>
      </c>
      <c r="E4468" s="6" t="s">
        <v>224</v>
      </c>
      <c r="F4468" s="6" t="s">
        <v>18</v>
      </c>
      <c r="G4468" s="7">
        <v>0.03</v>
      </c>
      <c r="H4468" s="6" t="s">
        <v>531</v>
      </c>
      <c r="I4468" s="6" t="s">
        <v>20</v>
      </c>
      <c r="J4468" s="6">
        <v>2017.0</v>
      </c>
      <c r="K4468" s="10">
        <v>46114.0</v>
      </c>
      <c r="L4468" s="6">
        <v>1.0</v>
      </c>
      <c r="M4468" s="8">
        <f t="shared" si="4"/>
        <v>0.03</v>
      </c>
      <c r="P4468" s="9"/>
    </row>
    <row r="4469">
      <c r="A4469" s="6" t="s">
        <v>9865</v>
      </c>
      <c r="B4469" s="6" t="s">
        <v>8438</v>
      </c>
      <c r="C4469" s="6" t="s">
        <v>43</v>
      </c>
      <c r="D4469" s="6" t="s">
        <v>9866</v>
      </c>
      <c r="E4469" s="6" t="s">
        <v>654</v>
      </c>
      <c r="F4469" s="6" t="s">
        <v>18</v>
      </c>
      <c r="G4469" s="7">
        <v>0.03</v>
      </c>
      <c r="H4469" s="6" t="s">
        <v>1776</v>
      </c>
      <c r="I4469" s="6" t="s">
        <v>20</v>
      </c>
      <c r="J4469" s="6">
        <v>2017.0</v>
      </c>
      <c r="K4469" s="10">
        <v>46056.0</v>
      </c>
      <c r="L4469" s="6">
        <v>1.0</v>
      </c>
      <c r="M4469" s="8">
        <f t="shared" si="4"/>
        <v>0.03</v>
      </c>
      <c r="P4469" s="9"/>
    </row>
    <row r="4470">
      <c r="A4470" s="6" t="s">
        <v>9867</v>
      </c>
      <c r="B4470" s="6" t="s">
        <v>9868</v>
      </c>
      <c r="C4470" s="6" t="s">
        <v>37</v>
      </c>
      <c r="D4470" s="6" t="s">
        <v>9869</v>
      </c>
      <c r="E4470" s="6" t="s">
        <v>98</v>
      </c>
      <c r="F4470" s="6" t="s">
        <v>18</v>
      </c>
      <c r="G4470" s="7">
        <v>0.06</v>
      </c>
      <c r="H4470" s="6" t="s">
        <v>460</v>
      </c>
      <c r="I4470" s="6" t="s">
        <v>20</v>
      </c>
      <c r="J4470" s="6">
        <v>2015.0</v>
      </c>
      <c r="K4470" s="10">
        <v>46083.0</v>
      </c>
      <c r="L4470" s="6">
        <v>1.0</v>
      </c>
      <c r="M4470" s="8">
        <f t="shared" si="4"/>
        <v>0.06</v>
      </c>
      <c r="P4470" s="9"/>
    </row>
    <row r="4471">
      <c r="A4471" s="6" t="s">
        <v>9870</v>
      </c>
      <c r="B4471" s="6" t="s">
        <v>1002</v>
      </c>
      <c r="C4471" s="6" t="s">
        <v>43</v>
      </c>
      <c r="D4471" s="6" t="s">
        <v>9871</v>
      </c>
      <c r="E4471" s="6" t="s">
        <v>654</v>
      </c>
      <c r="F4471" s="6" t="s">
        <v>18</v>
      </c>
      <c r="G4471" s="7">
        <v>0.03</v>
      </c>
      <c r="H4471" s="6" t="s">
        <v>431</v>
      </c>
      <c r="I4471" s="6" t="s">
        <v>20</v>
      </c>
      <c r="J4471" s="6">
        <v>2019.0</v>
      </c>
      <c r="K4471" s="10">
        <v>46084.0</v>
      </c>
      <c r="L4471" s="6">
        <v>1.0</v>
      </c>
      <c r="M4471" s="8">
        <f t="shared" si="4"/>
        <v>0.03</v>
      </c>
      <c r="P4471" s="9"/>
    </row>
    <row r="4472">
      <c r="A4472" s="6" t="s">
        <v>9872</v>
      </c>
      <c r="B4472" s="6" t="s">
        <v>8112</v>
      </c>
      <c r="C4472" s="6" t="s">
        <v>43</v>
      </c>
      <c r="D4472" s="6" t="s">
        <v>9873</v>
      </c>
      <c r="E4472" s="6" t="s">
        <v>98</v>
      </c>
      <c r="F4472" s="6" t="s">
        <v>18</v>
      </c>
      <c r="G4472" s="7">
        <v>0.06</v>
      </c>
      <c r="H4472" s="6" t="s">
        <v>415</v>
      </c>
      <c r="I4472" s="6" t="s">
        <v>20</v>
      </c>
      <c r="J4472" s="6">
        <v>2016.0</v>
      </c>
      <c r="K4472" s="10">
        <v>46083.0</v>
      </c>
      <c r="L4472" s="6">
        <v>1.0</v>
      </c>
      <c r="M4472" s="8">
        <f t="shared" si="4"/>
        <v>0.06</v>
      </c>
      <c r="P4472" s="9"/>
    </row>
    <row r="4473">
      <c r="A4473" s="6" t="s">
        <v>9874</v>
      </c>
      <c r="B4473" s="6" t="s">
        <v>2192</v>
      </c>
      <c r="C4473" s="6" t="s">
        <v>43</v>
      </c>
      <c r="E4473" s="6" t="s">
        <v>107</v>
      </c>
      <c r="F4473" s="6" t="s">
        <v>18</v>
      </c>
      <c r="G4473" s="7">
        <v>0.04</v>
      </c>
      <c r="H4473" s="6" t="s">
        <v>415</v>
      </c>
      <c r="I4473" s="6" t="s">
        <v>20</v>
      </c>
      <c r="J4473" s="6">
        <v>2016.0</v>
      </c>
      <c r="K4473" s="10">
        <v>46082.0</v>
      </c>
      <c r="L4473" s="6">
        <v>1.0</v>
      </c>
      <c r="M4473" s="8">
        <f t="shared" si="4"/>
        <v>0.04</v>
      </c>
      <c r="P4473" s="9"/>
    </row>
    <row r="4474">
      <c r="A4474" s="6" t="s">
        <v>9875</v>
      </c>
      <c r="B4474" s="6" t="s">
        <v>603</v>
      </c>
      <c r="C4474" s="6" t="s">
        <v>43</v>
      </c>
      <c r="D4474" s="6" t="s">
        <v>9876</v>
      </c>
      <c r="E4474" s="6" t="s">
        <v>107</v>
      </c>
      <c r="F4474" s="6" t="s">
        <v>18</v>
      </c>
      <c r="G4474" s="7">
        <v>0.06</v>
      </c>
      <c r="H4474" s="6" t="s">
        <v>701</v>
      </c>
      <c r="I4474" s="6" t="s">
        <v>20</v>
      </c>
      <c r="J4474" s="6">
        <v>2015.0</v>
      </c>
      <c r="K4474" s="10">
        <v>46023.0</v>
      </c>
      <c r="L4474" s="6">
        <v>1.0</v>
      </c>
      <c r="M4474" s="8">
        <f t="shared" si="4"/>
        <v>0.06</v>
      </c>
      <c r="P4474" s="9"/>
    </row>
    <row r="4475">
      <c r="A4475" s="6" t="s">
        <v>9877</v>
      </c>
      <c r="B4475" s="6" t="s">
        <v>9878</v>
      </c>
      <c r="C4475" s="6" t="s">
        <v>43</v>
      </c>
      <c r="E4475" s="6" t="s">
        <v>654</v>
      </c>
      <c r="F4475" s="6" t="s">
        <v>18</v>
      </c>
      <c r="G4475" s="7">
        <v>0.05</v>
      </c>
      <c r="H4475" s="6" t="s">
        <v>701</v>
      </c>
      <c r="I4475" s="6" t="s">
        <v>20</v>
      </c>
      <c r="J4475" s="6">
        <v>2015.0</v>
      </c>
      <c r="K4475" s="10">
        <v>46144.0</v>
      </c>
      <c r="L4475" s="6">
        <v>1.0</v>
      </c>
      <c r="M4475" s="8">
        <f t="shared" si="4"/>
        <v>0.05</v>
      </c>
      <c r="P4475" s="9"/>
    </row>
    <row r="4476">
      <c r="A4476" s="6" t="s">
        <v>9879</v>
      </c>
      <c r="B4476" s="6" t="s">
        <v>9537</v>
      </c>
      <c r="C4476" s="6" t="s">
        <v>43</v>
      </c>
      <c r="D4476" s="6" t="s">
        <v>9880</v>
      </c>
      <c r="E4476" s="6" t="s">
        <v>224</v>
      </c>
      <c r="F4476" s="6" t="s">
        <v>18</v>
      </c>
      <c r="G4476" s="7">
        <v>0.03</v>
      </c>
      <c r="H4476" s="6" t="s">
        <v>701</v>
      </c>
      <c r="I4476" s="6" t="s">
        <v>20</v>
      </c>
      <c r="J4476" s="6">
        <v>2015.0</v>
      </c>
      <c r="K4476" s="10">
        <v>46114.0</v>
      </c>
      <c r="L4476" s="6">
        <v>1.0</v>
      </c>
      <c r="M4476" s="8">
        <f t="shared" si="4"/>
        <v>0.03</v>
      </c>
      <c r="P4476" s="9"/>
    </row>
    <row r="4477">
      <c r="A4477" s="6" t="s">
        <v>9881</v>
      </c>
      <c r="B4477" s="6" t="s">
        <v>5111</v>
      </c>
      <c r="C4477" s="6" t="s">
        <v>43</v>
      </c>
      <c r="D4477" s="6" t="s">
        <v>1500</v>
      </c>
      <c r="E4477" s="6" t="s">
        <v>190</v>
      </c>
      <c r="F4477" s="6" t="s">
        <v>18</v>
      </c>
      <c r="G4477" s="7">
        <v>0.13</v>
      </c>
      <c r="H4477" s="6" t="s">
        <v>4519</v>
      </c>
      <c r="I4477" s="6" t="s">
        <v>20</v>
      </c>
      <c r="J4477" s="6">
        <v>2009.0</v>
      </c>
      <c r="K4477" s="10">
        <v>46023.0</v>
      </c>
      <c r="L4477" s="6">
        <v>1.0</v>
      </c>
      <c r="M4477" s="8">
        <f t="shared" si="4"/>
        <v>0.13</v>
      </c>
      <c r="P4477" s="9"/>
    </row>
    <row r="4478">
      <c r="A4478" s="6" t="s">
        <v>9882</v>
      </c>
      <c r="B4478" s="6" t="s">
        <v>9883</v>
      </c>
      <c r="C4478" s="6" t="s">
        <v>43</v>
      </c>
      <c r="D4478" s="6" t="s">
        <v>9884</v>
      </c>
      <c r="E4478" s="6" t="s">
        <v>98</v>
      </c>
      <c r="F4478" s="6" t="s">
        <v>18</v>
      </c>
      <c r="G4478" s="7">
        <v>0.08</v>
      </c>
      <c r="H4478" s="6" t="s">
        <v>9885</v>
      </c>
      <c r="I4478" s="6" t="s">
        <v>20</v>
      </c>
      <c r="J4478" s="6">
        <v>2014.0</v>
      </c>
      <c r="K4478" s="10">
        <v>46082.0</v>
      </c>
      <c r="L4478" s="6">
        <v>1.0</v>
      </c>
      <c r="M4478" s="8">
        <f t="shared" si="4"/>
        <v>0.08</v>
      </c>
      <c r="P4478" s="9"/>
    </row>
    <row r="4479">
      <c r="A4479" s="6" t="s">
        <v>9886</v>
      </c>
      <c r="B4479" s="6" t="s">
        <v>9887</v>
      </c>
      <c r="C4479" s="6" t="s">
        <v>43</v>
      </c>
      <c r="D4479" s="6" t="s">
        <v>9888</v>
      </c>
      <c r="E4479" s="6" t="s">
        <v>190</v>
      </c>
      <c r="F4479" s="6" t="s">
        <v>18</v>
      </c>
      <c r="G4479" s="7">
        <v>0.15</v>
      </c>
      <c r="H4479" s="6" t="s">
        <v>9885</v>
      </c>
      <c r="I4479" s="6" t="s">
        <v>20</v>
      </c>
      <c r="J4479" s="6">
        <v>2014.0</v>
      </c>
      <c r="K4479" s="10">
        <v>46023.0</v>
      </c>
      <c r="L4479" s="6">
        <v>1.0</v>
      </c>
      <c r="M4479" s="8">
        <f t="shared" si="4"/>
        <v>0.15</v>
      </c>
      <c r="P4479" s="9"/>
    </row>
    <row r="4480">
      <c r="A4480" s="6" t="s">
        <v>9557</v>
      </c>
      <c r="B4480" s="6" t="s">
        <v>8533</v>
      </c>
      <c r="C4480" s="6" t="s">
        <v>37</v>
      </c>
      <c r="D4480" s="6" t="s">
        <v>9558</v>
      </c>
      <c r="E4480" s="6" t="s">
        <v>98</v>
      </c>
      <c r="F4480" s="6" t="s">
        <v>18</v>
      </c>
      <c r="G4480" s="7">
        <v>0.03</v>
      </c>
      <c r="H4480" s="6" t="s">
        <v>1856</v>
      </c>
      <c r="I4480" s="6" t="s">
        <v>20</v>
      </c>
      <c r="J4480" s="6">
        <v>2017.0</v>
      </c>
      <c r="K4480" s="10">
        <v>46055.0</v>
      </c>
      <c r="L4480" s="6">
        <v>2.0</v>
      </c>
      <c r="M4480" s="8">
        <f t="shared" si="4"/>
        <v>0.06</v>
      </c>
      <c r="P4480" s="9"/>
    </row>
    <row r="4481">
      <c r="A4481" s="6" t="s">
        <v>9889</v>
      </c>
      <c r="B4481" s="6" t="s">
        <v>9890</v>
      </c>
      <c r="C4481" s="6" t="s">
        <v>37</v>
      </c>
      <c r="D4481" s="6" t="s">
        <v>9891</v>
      </c>
      <c r="E4481" s="6" t="s">
        <v>1840</v>
      </c>
      <c r="F4481" s="6" t="s">
        <v>18</v>
      </c>
      <c r="G4481" s="7">
        <v>0.03</v>
      </c>
      <c r="H4481" s="6" t="s">
        <v>1856</v>
      </c>
      <c r="I4481" s="6" t="s">
        <v>20</v>
      </c>
      <c r="J4481" s="6">
        <v>2017.0</v>
      </c>
      <c r="K4481" s="10">
        <v>46116.0</v>
      </c>
      <c r="L4481" s="6">
        <v>1.0</v>
      </c>
      <c r="M4481" s="8">
        <f t="shared" si="4"/>
        <v>0.03</v>
      </c>
      <c r="P4481" s="9"/>
    </row>
    <row r="4482">
      <c r="A4482" s="6" t="s">
        <v>7828</v>
      </c>
      <c r="B4482" s="6" t="s">
        <v>685</v>
      </c>
      <c r="C4482" s="6" t="s">
        <v>37</v>
      </c>
      <c r="D4482" s="6" t="s">
        <v>7829</v>
      </c>
      <c r="E4482" s="6" t="s">
        <v>98</v>
      </c>
      <c r="F4482" s="6" t="s">
        <v>18</v>
      </c>
      <c r="G4482" s="7">
        <v>0.13</v>
      </c>
      <c r="H4482" s="6" t="s">
        <v>531</v>
      </c>
      <c r="I4482" s="6" t="s">
        <v>20</v>
      </c>
      <c r="J4482" s="6">
        <v>2017.0</v>
      </c>
      <c r="K4482" s="10">
        <v>46082.0</v>
      </c>
      <c r="L4482" s="6">
        <v>1.0</v>
      </c>
      <c r="M4482" s="8">
        <f t="shared" si="4"/>
        <v>0.13</v>
      </c>
      <c r="P4482" s="9"/>
    </row>
    <row r="4483">
      <c r="A4483" s="6" t="s">
        <v>9892</v>
      </c>
      <c r="B4483" s="6" t="s">
        <v>3638</v>
      </c>
      <c r="C4483" s="6" t="s">
        <v>30</v>
      </c>
      <c r="D4483" s="6" t="s">
        <v>9893</v>
      </c>
      <c r="E4483" s="6" t="s">
        <v>190</v>
      </c>
      <c r="F4483" s="6" t="s">
        <v>18</v>
      </c>
      <c r="G4483" s="7">
        <v>1.5</v>
      </c>
      <c r="H4483" s="6" t="s">
        <v>65</v>
      </c>
      <c r="I4483" s="6" t="s">
        <v>45</v>
      </c>
      <c r="J4483" s="6">
        <v>2013.0</v>
      </c>
      <c r="K4483" s="10">
        <v>46023.0</v>
      </c>
      <c r="L4483" s="6">
        <v>1.0</v>
      </c>
      <c r="M4483" s="8">
        <f t="shared" si="4"/>
        <v>1.5</v>
      </c>
      <c r="N4483" s="6" t="s">
        <v>122</v>
      </c>
      <c r="P4483" s="9"/>
    </row>
    <row r="4484">
      <c r="A4484" s="6" t="s">
        <v>9894</v>
      </c>
      <c r="B4484" s="6" t="s">
        <v>2537</v>
      </c>
      <c r="C4484" s="6" t="s">
        <v>30</v>
      </c>
      <c r="D4484" s="6" t="s">
        <v>9895</v>
      </c>
      <c r="E4484" s="6" t="s">
        <v>224</v>
      </c>
      <c r="F4484" s="6" t="s">
        <v>18</v>
      </c>
      <c r="G4484" s="7">
        <v>0.25</v>
      </c>
      <c r="H4484" s="6" t="s">
        <v>471</v>
      </c>
      <c r="I4484" s="6" t="s">
        <v>20</v>
      </c>
      <c r="J4484" s="6">
        <v>2026.0</v>
      </c>
      <c r="K4484" s="10">
        <v>46177.0</v>
      </c>
      <c r="L4484" s="6">
        <v>1.0</v>
      </c>
      <c r="M4484" s="8">
        <f t="shared" si="4"/>
        <v>0.25</v>
      </c>
      <c r="P4484" s="9"/>
    </row>
    <row r="4485">
      <c r="A4485" s="6" t="s">
        <v>9896</v>
      </c>
      <c r="B4485" s="6" t="s">
        <v>406</v>
      </c>
      <c r="C4485" s="6" t="s">
        <v>37</v>
      </c>
      <c r="D4485" s="6" t="s">
        <v>9897</v>
      </c>
      <c r="E4485" s="6" t="s">
        <v>654</v>
      </c>
      <c r="F4485" s="6" t="s">
        <v>18</v>
      </c>
      <c r="G4485" s="7">
        <v>0.03</v>
      </c>
      <c r="H4485" s="6" t="s">
        <v>1776</v>
      </c>
      <c r="I4485" s="6" t="s">
        <v>20</v>
      </c>
      <c r="J4485" s="6">
        <v>2017.0</v>
      </c>
      <c r="K4485" s="10">
        <v>46116.0</v>
      </c>
      <c r="L4485" s="6">
        <v>1.0</v>
      </c>
      <c r="M4485" s="8">
        <f t="shared" si="4"/>
        <v>0.03</v>
      </c>
      <c r="P4485" s="9"/>
    </row>
    <row r="4486">
      <c r="A4486" s="6" t="s">
        <v>9898</v>
      </c>
      <c r="B4486" s="6" t="s">
        <v>4013</v>
      </c>
      <c r="C4486" s="6" t="s">
        <v>37</v>
      </c>
      <c r="D4486" s="6" t="s">
        <v>9899</v>
      </c>
      <c r="E4486" s="6" t="s">
        <v>237</v>
      </c>
      <c r="F4486" s="6" t="s">
        <v>18</v>
      </c>
      <c r="G4486" s="7">
        <v>0.03</v>
      </c>
      <c r="H4486" s="6" t="s">
        <v>1776</v>
      </c>
      <c r="I4486" s="6" t="s">
        <v>20</v>
      </c>
      <c r="J4486" s="6">
        <v>2017.0</v>
      </c>
      <c r="K4486" s="10">
        <v>46085.0</v>
      </c>
      <c r="L4486" s="6">
        <v>1.0</v>
      </c>
      <c r="M4486" s="8">
        <f t="shared" si="4"/>
        <v>0.03</v>
      </c>
      <c r="P4486" s="9"/>
    </row>
    <row r="4487">
      <c r="A4487" s="6" t="s">
        <v>9900</v>
      </c>
      <c r="B4487" s="6" t="s">
        <v>208</v>
      </c>
      <c r="C4487" s="6" t="s">
        <v>37</v>
      </c>
      <c r="D4487" s="6" t="s">
        <v>9901</v>
      </c>
      <c r="E4487" s="6" t="s">
        <v>98</v>
      </c>
      <c r="F4487" s="6" t="s">
        <v>18</v>
      </c>
      <c r="G4487" s="7">
        <v>0.05</v>
      </c>
      <c r="H4487" s="6" t="s">
        <v>415</v>
      </c>
      <c r="I4487" s="6" t="s">
        <v>20</v>
      </c>
      <c r="J4487" s="6">
        <v>2016.0</v>
      </c>
      <c r="K4487" s="10">
        <v>46024.0</v>
      </c>
      <c r="L4487" s="6">
        <v>1.0</v>
      </c>
      <c r="M4487" s="8">
        <f t="shared" si="4"/>
        <v>0.05</v>
      </c>
      <c r="P4487" s="9"/>
    </row>
    <row r="4488">
      <c r="A4488" s="6" t="s">
        <v>9902</v>
      </c>
      <c r="B4488" s="6" t="s">
        <v>2192</v>
      </c>
      <c r="C4488" s="6" t="s">
        <v>37</v>
      </c>
      <c r="D4488" s="6" t="s">
        <v>9903</v>
      </c>
      <c r="E4488" s="6" t="s">
        <v>224</v>
      </c>
      <c r="F4488" s="6" t="s">
        <v>18</v>
      </c>
      <c r="G4488" s="7">
        <v>0.05</v>
      </c>
      <c r="H4488" s="6" t="s">
        <v>415</v>
      </c>
      <c r="I4488" s="6" t="s">
        <v>20</v>
      </c>
      <c r="J4488" s="6">
        <v>2016.0</v>
      </c>
      <c r="K4488" s="10">
        <v>46023.0</v>
      </c>
      <c r="L4488" s="6">
        <v>1.0</v>
      </c>
      <c r="M4488" s="8">
        <f t="shared" si="4"/>
        <v>0.05</v>
      </c>
      <c r="P4488" s="9"/>
    </row>
    <row r="4489">
      <c r="A4489" s="6" t="s">
        <v>9904</v>
      </c>
      <c r="B4489" s="6" t="s">
        <v>1217</v>
      </c>
      <c r="C4489" s="6" t="s">
        <v>37</v>
      </c>
      <c r="D4489" s="6" t="s">
        <v>9905</v>
      </c>
      <c r="E4489" s="6" t="s">
        <v>107</v>
      </c>
      <c r="F4489" s="6" t="s">
        <v>18</v>
      </c>
      <c r="G4489" s="7">
        <v>0.03</v>
      </c>
      <c r="H4489" s="6" t="s">
        <v>1776</v>
      </c>
      <c r="I4489" s="6" t="s">
        <v>20</v>
      </c>
      <c r="J4489" s="6">
        <v>2017.0</v>
      </c>
      <c r="K4489" s="10">
        <v>46024.0</v>
      </c>
      <c r="L4489" s="6">
        <v>1.0</v>
      </c>
      <c r="M4489" s="8">
        <f t="shared" si="4"/>
        <v>0.03</v>
      </c>
      <c r="P4489" s="9"/>
    </row>
    <row r="4490">
      <c r="A4490" s="6" t="s">
        <v>9906</v>
      </c>
      <c r="B4490" s="6" t="s">
        <v>854</v>
      </c>
      <c r="C4490" s="6" t="s">
        <v>37</v>
      </c>
      <c r="D4490" s="6" t="s">
        <v>9907</v>
      </c>
      <c r="E4490" s="6" t="s">
        <v>98</v>
      </c>
      <c r="F4490" s="6" t="s">
        <v>18</v>
      </c>
      <c r="G4490" s="7">
        <v>0.1</v>
      </c>
      <c r="H4490" s="6" t="s">
        <v>903</v>
      </c>
      <c r="I4490" s="6" t="s">
        <v>20</v>
      </c>
      <c r="J4490" s="6">
        <v>2016.0</v>
      </c>
      <c r="K4490" s="10">
        <v>46024.0</v>
      </c>
      <c r="L4490" s="6">
        <v>1.0</v>
      </c>
      <c r="M4490" s="8">
        <f t="shared" si="4"/>
        <v>0.1</v>
      </c>
      <c r="P4490" s="9"/>
    </row>
    <row r="4491">
      <c r="A4491" s="6" t="s">
        <v>9908</v>
      </c>
      <c r="B4491" s="6" t="s">
        <v>8112</v>
      </c>
      <c r="C4491" s="6" t="s">
        <v>37</v>
      </c>
      <c r="D4491" s="6" t="s">
        <v>9909</v>
      </c>
      <c r="E4491" s="6" t="s">
        <v>1840</v>
      </c>
      <c r="F4491" s="6" t="s">
        <v>18</v>
      </c>
      <c r="G4491" s="7">
        <v>0.1</v>
      </c>
      <c r="H4491" s="6" t="s">
        <v>903</v>
      </c>
      <c r="I4491" s="6" t="s">
        <v>20</v>
      </c>
      <c r="J4491" s="6">
        <v>2016.0</v>
      </c>
      <c r="K4491" s="10">
        <v>46115.0</v>
      </c>
      <c r="L4491" s="6">
        <v>1.0</v>
      </c>
      <c r="M4491" s="8">
        <f t="shared" si="4"/>
        <v>0.1</v>
      </c>
      <c r="P4491" s="9"/>
    </row>
    <row r="4492">
      <c r="A4492" s="6" t="s">
        <v>9910</v>
      </c>
      <c r="B4492" s="6" t="s">
        <v>208</v>
      </c>
      <c r="C4492" s="6" t="s">
        <v>43</v>
      </c>
      <c r="D4492" s="6" t="s">
        <v>9911</v>
      </c>
      <c r="E4492" s="6" t="s">
        <v>107</v>
      </c>
      <c r="F4492" s="6" t="s">
        <v>18</v>
      </c>
      <c r="G4492" s="7">
        <v>0.03</v>
      </c>
      <c r="H4492" s="6" t="s">
        <v>1344</v>
      </c>
      <c r="I4492" s="6" t="s">
        <v>20</v>
      </c>
      <c r="J4492" s="6">
        <v>2018.0</v>
      </c>
      <c r="K4492" s="10">
        <v>46082.0</v>
      </c>
      <c r="L4492" s="6">
        <v>1.0</v>
      </c>
      <c r="M4492" s="8">
        <f t="shared" si="4"/>
        <v>0.03</v>
      </c>
      <c r="P4492" s="9"/>
    </row>
    <row r="4493">
      <c r="A4493" s="6" t="s">
        <v>9912</v>
      </c>
      <c r="B4493" s="6" t="s">
        <v>208</v>
      </c>
      <c r="C4493" s="6" t="s">
        <v>43</v>
      </c>
      <c r="E4493" s="6" t="s">
        <v>190</v>
      </c>
      <c r="F4493" s="6" t="s">
        <v>18</v>
      </c>
      <c r="G4493" s="7">
        <v>0.09</v>
      </c>
      <c r="H4493" s="6" t="s">
        <v>9124</v>
      </c>
      <c r="I4493" s="6" t="s">
        <v>20</v>
      </c>
      <c r="J4493" s="6">
        <v>2007.0</v>
      </c>
      <c r="K4493" s="10">
        <v>46023.0</v>
      </c>
      <c r="L4493" s="6">
        <v>1.0</v>
      </c>
      <c r="M4493" s="8">
        <f t="shared" si="4"/>
        <v>0.09</v>
      </c>
      <c r="P4493" s="9"/>
    </row>
    <row r="4494">
      <c r="A4494" s="6" t="s">
        <v>9913</v>
      </c>
      <c r="B4494" s="6" t="s">
        <v>9914</v>
      </c>
      <c r="C4494" s="6" t="s">
        <v>43</v>
      </c>
      <c r="D4494" s="6" t="s">
        <v>9915</v>
      </c>
      <c r="E4494" s="6" t="s">
        <v>98</v>
      </c>
      <c r="F4494" s="6" t="s">
        <v>18</v>
      </c>
      <c r="G4494" s="7">
        <v>0.07</v>
      </c>
      <c r="H4494" s="6" t="s">
        <v>9916</v>
      </c>
      <c r="I4494" s="6" t="s">
        <v>20</v>
      </c>
      <c r="J4494" s="6">
        <v>2006.0</v>
      </c>
      <c r="K4494" s="10">
        <v>46024.0</v>
      </c>
      <c r="L4494" s="6">
        <v>1.0</v>
      </c>
      <c r="M4494" s="8">
        <f t="shared" si="4"/>
        <v>0.07</v>
      </c>
      <c r="P4494" s="9"/>
    </row>
    <row r="4495">
      <c r="A4495" s="6" t="s">
        <v>9917</v>
      </c>
      <c r="B4495" s="6" t="s">
        <v>988</v>
      </c>
      <c r="C4495" s="6" t="s">
        <v>43</v>
      </c>
      <c r="D4495" s="6" t="s">
        <v>9918</v>
      </c>
      <c r="E4495" s="6" t="s">
        <v>224</v>
      </c>
      <c r="F4495" s="6" t="s">
        <v>18</v>
      </c>
      <c r="G4495" s="7">
        <v>0.04</v>
      </c>
      <c r="H4495" s="6" t="s">
        <v>407</v>
      </c>
      <c r="I4495" s="6" t="s">
        <v>20</v>
      </c>
      <c r="J4495" s="6">
        <v>2016.0</v>
      </c>
      <c r="K4495" s="10">
        <v>46083.0</v>
      </c>
      <c r="L4495" s="6">
        <v>1.0</v>
      </c>
      <c r="M4495" s="8">
        <f t="shared" si="4"/>
        <v>0.04</v>
      </c>
      <c r="P4495" s="9"/>
    </row>
    <row r="4496">
      <c r="A4496" s="6" t="s">
        <v>1031</v>
      </c>
      <c r="B4496" s="6" t="s">
        <v>988</v>
      </c>
      <c r="C4496" s="6" t="s">
        <v>43</v>
      </c>
      <c r="D4496" s="6" t="s">
        <v>1032</v>
      </c>
      <c r="E4496" s="6" t="s">
        <v>107</v>
      </c>
      <c r="F4496" s="6" t="s">
        <v>18</v>
      </c>
      <c r="G4496" s="7">
        <v>0.05</v>
      </c>
      <c r="H4496" s="6" t="s">
        <v>407</v>
      </c>
      <c r="I4496" s="6" t="s">
        <v>20</v>
      </c>
      <c r="J4496" s="6">
        <v>2016.0</v>
      </c>
      <c r="K4496" s="10">
        <v>46082.0</v>
      </c>
      <c r="L4496" s="6">
        <v>1.0</v>
      </c>
      <c r="M4496" s="8">
        <f t="shared" si="4"/>
        <v>0.05</v>
      </c>
      <c r="P4496" s="9"/>
    </row>
    <row r="4497">
      <c r="A4497" s="6" t="s">
        <v>9919</v>
      </c>
      <c r="B4497" s="6" t="s">
        <v>988</v>
      </c>
      <c r="C4497" s="6" t="s">
        <v>43</v>
      </c>
      <c r="D4497" s="6" t="s">
        <v>9920</v>
      </c>
      <c r="E4497" s="6" t="s">
        <v>98</v>
      </c>
      <c r="F4497" s="6" t="s">
        <v>18</v>
      </c>
      <c r="G4497" s="7">
        <v>0.06</v>
      </c>
      <c r="H4497" s="6" t="s">
        <v>460</v>
      </c>
      <c r="I4497" s="6" t="s">
        <v>20</v>
      </c>
      <c r="J4497" s="6">
        <v>2015.0</v>
      </c>
      <c r="K4497" s="10">
        <v>46113.0</v>
      </c>
      <c r="L4497" s="6">
        <v>1.0</v>
      </c>
      <c r="M4497" s="8">
        <f t="shared" si="4"/>
        <v>0.06</v>
      </c>
      <c r="P4497" s="9"/>
    </row>
    <row r="4498">
      <c r="A4498" s="6" t="s">
        <v>9921</v>
      </c>
      <c r="B4498" s="6" t="s">
        <v>9890</v>
      </c>
      <c r="C4498" s="6" t="s">
        <v>43</v>
      </c>
      <c r="D4498" s="6" t="s">
        <v>9922</v>
      </c>
      <c r="E4498" s="6" t="s">
        <v>654</v>
      </c>
      <c r="F4498" s="6" t="s">
        <v>18</v>
      </c>
      <c r="G4498" s="7">
        <v>0.06</v>
      </c>
      <c r="H4498" s="6" t="s">
        <v>407</v>
      </c>
      <c r="I4498" s="6" t="s">
        <v>20</v>
      </c>
      <c r="J4498" s="6">
        <v>2016.0</v>
      </c>
      <c r="K4498" s="10">
        <v>46084.0</v>
      </c>
      <c r="L4498" s="6">
        <v>1.0</v>
      </c>
      <c r="M4498" s="8">
        <f t="shared" si="4"/>
        <v>0.06</v>
      </c>
      <c r="P4498" s="9"/>
    </row>
    <row r="4499">
      <c r="A4499" s="6" t="s">
        <v>9923</v>
      </c>
      <c r="B4499" s="6" t="s">
        <v>9854</v>
      </c>
      <c r="C4499" s="6" t="s">
        <v>37</v>
      </c>
      <c r="D4499" s="6" t="s">
        <v>9924</v>
      </c>
      <c r="E4499" s="6" t="s">
        <v>107</v>
      </c>
      <c r="F4499" s="6" t="s">
        <v>18</v>
      </c>
      <c r="G4499" s="7">
        <v>0.03</v>
      </c>
      <c r="H4499" s="6" t="s">
        <v>1776</v>
      </c>
      <c r="I4499" s="6" t="s">
        <v>20</v>
      </c>
      <c r="J4499" s="6">
        <v>2017.0</v>
      </c>
      <c r="K4499" s="6" t="s">
        <v>445</v>
      </c>
      <c r="L4499" s="6">
        <v>1.0</v>
      </c>
      <c r="M4499" s="8">
        <f t="shared" si="4"/>
        <v>0.03</v>
      </c>
      <c r="P4499" s="9"/>
    </row>
    <row r="4500">
      <c r="A4500" s="6" t="s">
        <v>9925</v>
      </c>
      <c r="B4500" s="6" t="s">
        <v>603</v>
      </c>
      <c r="C4500" s="6" t="s">
        <v>37</v>
      </c>
      <c r="D4500" s="6" t="s">
        <v>9926</v>
      </c>
      <c r="E4500" s="6" t="s">
        <v>107</v>
      </c>
      <c r="F4500" s="6" t="s">
        <v>18</v>
      </c>
      <c r="G4500" s="7">
        <v>0.07</v>
      </c>
      <c r="H4500" s="6" t="s">
        <v>506</v>
      </c>
      <c r="I4500" s="6" t="s">
        <v>20</v>
      </c>
      <c r="J4500" s="6">
        <v>2016.0</v>
      </c>
      <c r="K4500" s="10">
        <v>46082.0</v>
      </c>
      <c r="L4500" s="6">
        <v>1.0</v>
      </c>
      <c r="M4500" s="8">
        <f t="shared" si="4"/>
        <v>0.07</v>
      </c>
      <c r="P4500" s="9"/>
    </row>
    <row r="4501">
      <c r="A4501" s="6" t="s">
        <v>3199</v>
      </c>
      <c r="B4501" s="6" t="s">
        <v>2070</v>
      </c>
      <c r="C4501" s="6" t="s">
        <v>43</v>
      </c>
      <c r="D4501" s="6" t="s">
        <v>3200</v>
      </c>
      <c r="E4501" s="6" t="s">
        <v>3201</v>
      </c>
      <c r="F4501" s="6" t="s">
        <v>18</v>
      </c>
      <c r="G4501" s="7">
        <v>0.09</v>
      </c>
      <c r="H4501" s="6" t="s">
        <v>506</v>
      </c>
      <c r="I4501" s="6" t="s">
        <v>20</v>
      </c>
      <c r="J4501" s="6">
        <v>2016.0</v>
      </c>
      <c r="K4501" s="10">
        <v>46178.0</v>
      </c>
      <c r="L4501" s="6">
        <v>2.0</v>
      </c>
      <c r="M4501" s="8">
        <f t="shared" si="4"/>
        <v>0.18</v>
      </c>
      <c r="P4501" s="9"/>
    </row>
    <row r="4502">
      <c r="A4502" s="6" t="s">
        <v>9927</v>
      </c>
      <c r="B4502" s="6" t="s">
        <v>9928</v>
      </c>
      <c r="C4502" s="6" t="s">
        <v>43</v>
      </c>
      <c r="D4502" s="6" t="s">
        <v>9929</v>
      </c>
      <c r="E4502" s="6" t="s">
        <v>654</v>
      </c>
      <c r="F4502" s="6" t="s">
        <v>18</v>
      </c>
      <c r="G4502" s="7">
        <v>0.05</v>
      </c>
      <c r="H4502" s="6" t="s">
        <v>1927</v>
      </c>
      <c r="I4502" s="6" t="s">
        <v>20</v>
      </c>
      <c r="J4502" s="6">
        <v>2025.0</v>
      </c>
      <c r="K4502" s="10">
        <v>46145.0</v>
      </c>
      <c r="L4502" s="6">
        <v>1.0</v>
      </c>
      <c r="M4502" s="8">
        <f t="shared" si="4"/>
        <v>0.05</v>
      </c>
      <c r="P4502" s="9"/>
    </row>
    <row r="4503">
      <c r="A4503" s="6" t="s">
        <v>9930</v>
      </c>
      <c r="B4503" s="6" t="s">
        <v>8327</v>
      </c>
      <c r="C4503" s="6" t="s">
        <v>43</v>
      </c>
      <c r="D4503" s="6" t="s">
        <v>9931</v>
      </c>
      <c r="E4503" s="6" t="s">
        <v>107</v>
      </c>
      <c r="F4503" s="6" t="s">
        <v>18</v>
      </c>
      <c r="G4503" s="7">
        <v>0.06</v>
      </c>
      <c r="H4503" s="6" t="s">
        <v>895</v>
      </c>
      <c r="I4503" s="6" t="s">
        <v>20</v>
      </c>
      <c r="J4503" s="6">
        <v>2018.0</v>
      </c>
      <c r="K4503" s="10">
        <v>46054.0</v>
      </c>
      <c r="L4503" s="6">
        <v>1.0</v>
      </c>
      <c r="M4503" s="8">
        <f t="shared" si="4"/>
        <v>0.06</v>
      </c>
      <c r="P4503" s="9"/>
    </row>
    <row r="4504">
      <c r="A4504" s="6" t="s">
        <v>9824</v>
      </c>
      <c r="B4504" s="6" t="s">
        <v>4013</v>
      </c>
      <c r="C4504" s="6" t="s">
        <v>43</v>
      </c>
      <c r="D4504" s="6" t="s">
        <v>9825</v>
      </c>
      <c r="E4504" s="6" t="s">
        <v>224</v>
      </c>
      <c r="F4504" s="6" t="s">
        <v>18</v>
      </c>
      <c r="G4504" s="7">
        <v>0.15</v>
      </c>
      <c r="H4504" s="6" t="s">
        <v>506</v>
      </c>
      <c r="I4504" s="6" t="s">
        <v>45</v>
      </c>
      <c r="J4504" s="6">
        <v>2016.0</v>
      </c>
      <c r="K4504" s="10">
        <v>46084.0</v>
      </c>
      <c r="L4504" s="6">
        <v>1.0</v>
      </c>
      <c r="M4504" s="8">
        <f t="shared" si="4"/>
        <v>0.15</v>
      </c>
      <c r="P4504" s="9"/>
    </row>
    <row r="4505">
      <c r="A4505" s="6" t="s">
        <v>9932</v>
      </c>
      <c r="B4505" s="6" t="s">
        <v>8438</v>
      </c>
      <c r="C4505" s="6" t="s">
        <v>43</v>
      </c>
      <c r="D4505" s="6" t="s">
        <v>9933</v>
      </c>
      <c r="E4505" s="6" t="s">
        <v>224</v>
      </c>
      <c r="F4505" s="6" t="s">
        <v>18</v>
      </c>
      <c r="G4505" s="7">
        <v>0.03</v>
      </c>
      <c r="H4505" s="6" t="s">
        <v>506</v>
      </c>
      <c r="I4505" s="6" t="s">
        <v>20</v>
      </c>
      <c r="J4505" s="6">
        <v>2016.0</v>
      </c>
      <c r="K4505" s="10">
        <v>46055.0</v>
      </c>
      <c r="L4505" s="6">
        <v>1.0</v>
      </c>
      <c r="M4505" s="8">
        <f t="shared" si="4"/>
        <v>0.03</v>
      </c>
      <c r="P4505" s="9"/>
    </row>
    <row r="4506">
      <c r="A4506" s="6" t="s">
        <v>9934</v>
      </c>
      <c r="B4506" s="6" t="s">
        <v>603</v>
      </c>
      <c r="C4506" s="6" t="s">
        <v>43</v>
      </c>
      <c r="D4506" s="6" t="s">
        <v>9935</v>
      </c>
      <c r="E4506" s="6" t="s">
        <v>1840</v>
      </c>
      <c r="F4506" s="6" t="s">
        <v>18</v>
      </c>
      <c r="G4506" s="7">
        <v>0.06</v>
      </c>
      <c r="H4506" s="6" t="s">
        <v>373</v>
      </c>
      <c r="I4506" s="6" t="s">
        <v>20</v>
      </c>
      <c r="J4506" s="6">
        <v>2015.0</v>
      </c>
      <c r="K4506" s="10">
        <v>46084.0</v>
      </c>
      <c r="L4506" s="6">
        <v>1.0</v>
      </c>
      <c r="M4506" s="8">
        <f t="shared" si="4"/>
        <v>0.06</v>
      </c>
      <c r="P4506" s="9"/>
    </row>
    <row r="4507">
      <c r="A4507" s="6" t="s">
        <v>9936</v>
      </c>
      <c r="B4507" s="6" t="s">
        <v>1957</v>
      </c>
      <c r="C4507" s="6" t="s">
        <v>43</v>
      </c>
      <c r="D4507" s="6" t="s">
        <v>9937</v>
      </c>
      <c r="E4507" s="6" t="s">
        <v>107</v>
      </c>
      <c r="F4507" s="6" t="s">
        <v>18</v>
      </c>
      <c r="G4507" s="7">
        <v>0.06</v>
      </c>
      <c r="H4507" s="6" t="s">
        <v>586</v>
      </c>
      <c r="I4507" s="6" t="s">
        <v>20</v>
      </c>
      <c r="J4507" s="6">
        <v>2012.0</v>
      </c>
      <c r="K4507" s="10">
        <v>46024.0</v>
      </c>
      <c r="L4507" s="6">
        <v>1.0</v>
      </c>
      <c r="M4507" s="8">
        <f t="shared" si="4"/>
        <v>0.06</v>
      </c>
      <c r="P4507" s="9"/>
    </row>
    <row r="4508">
      <c r="A4508" s="6" t="s">
        <v>9938</v>
      </c>
      <c r="B4508" s="6" t="s">
        <v>208</v>
      </c>
      <c r="C4508" s="6" t="s">
        <v>43</v>
      </c>
      <c r="D4508" s="6" t="s">
        <v>9939</v>
      </c>
      <c r="E4508" s="6" t="s">
        <v>654</v>
      </c>
      <c r="F4508" s="6" t="s">
        <v>18</v>
      </c>
      <c r="G4508" s="7">
        <v>0.06</v>
      </c>
      <c r="H4508" s="6" t="s">
        <v>586</v>
      </c>
      <c r="I4508" s="6" t="s">
        <v>20</v>
      </c>
      <c r="J4508" s="6">
        <v>2012.0</v>
      </c>
      <c r="K4508" s="10">
        <v>46113.0</v>
      </c>
      <c r="L4508" s="6">
        <v>1.0</v>
      </c>
      <c r="M4508" s="8">
        <f t="shared" si="4"/>
        <v>0.06</v>
      </c>
      <c r="P4508" s="9"/>
    </row>
    <row r="4509">
      <c r="A4509" s="6" t="s">
        <v>9940</v>
      </c>
      <c r="B4509" s="6" t="s">
        <v>8327</v>
      </c>
      <c r="C4509" s="6" t="s">
        <v>43</v>
      </c>
      <c r="D4509" s="6" t="s">
        <v>9941</v>
      </c>
      <c r="E4509" s="6" t="s">
        <v>107</v>
      </c>
      <c r="F4509" s="6" t="s">
        <v>18</v>
      </c>
      <c r="G4509" s="7">
        <v>0.03</v>
      </c>
      <c r="H4509" s="6" t="s">
        <v>586</v>
      </c>
      <c r="I4509" s="6" t="s">
        <v>20</v>
      </c>
      <c r="J4509" s="6">
        <v>2012.0</v>
      </c>
      <c r="K4509" s="6" t="s">
        <v>445</v>
      </c>
      <c r="L4509" s="6">
        <v>1.0</v>
      </c>
      <c r="M4509" s="8">
        <f t="shared" si="4"/>
        <v>0.03</v>
      </c>
      <c r="P4509" s="9"/>
    </row>
    <row r="4510">
      <c r="A4510" s="6" t="s">
        <v>9942</v>
      </c>
      <c r="B4510" s="6" t="s">
        <v>189</v>
      </c>
      <c r="C4510" s="6" t="s">
        <v>43</v>
      </c>
      <c r="D4510" s="6" t="s">
        <v>9943</v>
      </c>
      <c r="E4510" s="6" t="s">
        <v>190</v>
      </c>
      <c r="F4510" s="6" t="s">
        <v>18</v>
      </c>
      <c r="G4510" s="7">
        <v>0.03</v>
      </c>
      <c r="H4510" s="6" t="s">
        <v>506</v>
      </c>
      <c r="I4510" s="6" t="s">
        <v>20</v>
      </c>
      <c r="J4510" s="6">
        <v>2016.0</v>
      </c>
      <c r="K4510" s="6" t="s">
        <v>1924</v>
      </c>
      <c r="L4510" s="6">
        <v>1.0</v>
      </c>
      <c r="M4510" s="8">
        <f t="shared" si="4"/>
        <v>0.03</v>
      </c>
      <c r="P4510" s="9"/>
    </row>
    <row r="4511">
      <c r="A4511" s="6" t="s">
        <v>9944</v>
      </c>
      <c r="B4511" s="6" t="s">
        <v>1831</v>
      </c>
      <c r="C4511" s="6" t="s">
        <v>43</v>
      </c>
      <c r="D4511" s="6" t="s">
        <v>9945</v>
      </c>
      <c r="E4511" s="6" t="s">
        <v>2366</v>
      </c>
      <c r="F4511" s="6" t="s">
        <v>18</v>
      </c>
      <c r="G4511" s="7">
        <v>0.05</v>
      </c>
      <c r="H4511" s="6" t="s">
        <v>586</v>
      </c>
      <c r="I4511" s="6" t="s">
        <v>20</v>
      </c>
      <c r="J4511" s="6">
        <v>2012.0</v>
      </c>
      <c r="K4511" s="10">
        <v>46084.0</v>
      </c>
      <c r="L4511" s="6">
        <v>1.0</v>
      </c>
      <c r="M4511" s="8">
        <f t="shared" si="4"/>
        <v>0.05</v>
      </c>
      <c r="P4511" s="9"/>
    </row>
    <row r="4512">
      <c r="A4512" s="6" t="s">
        <v>9946</v>
      </c>
      <c r="B4512" s="6" t="s">
        <v>96</v>
      </c>
      <c r="C4512" s="6" t="s">
        <v>43</v>
      </c>
      <c r="D4512" s="6" t="s">
        <v>9947</v>
      </c>
      <c r="E4512" s="6" t="s">
        <v>654</v>
      </c>
      <c r="F4512" s="6" t="s">
        <v>18</v>
      </c>
      <c r="G4512" s="7">
        <v>0.03</v>
      </c>
      <c r="H4512" s="6" t="s">
        <v>496</v>
      </c>
      <c r="I4512" s="6" t="s">
        <v>20</v>
      </c>
      <c r="J4512" s="6">
        <v>2013.0</v>
      </c>
      <c r="K4512" s="6" t="s">
        <v>445</v>
      </c>
      <c r="L4512" s="6">
        <v>1.0</v>
      </c>
      <c r="M4512" s="8">
        <f t="shared" si="4"/>
        <v>0.03</v>
      </c>
      <c r="P4512" s="9"/>
    </row>
    <row r="4513">
      <c r="A4513" s="6" t="s">
        <v>9948</v>
      </c>
      <c r="B4513" s="6" t="s">
        <v>6909</v>
      </c>
      <c r="C4513" s="6" t="s">
        <v>43</v>
      </c>
      <c r="D4513" s="6" t="s">
        <v>9949</v>
      </c>
      <c r="E4513" s="6" t="s">
        <v>224</v>
      </c>
      <c r="F4513" s="6" t="s">
        <v>18</v>
      </c>
      <c r="G4513" s="7">
        <v>0.03</v>
      </c>
      <c r="H4513" s="6" t="s">
        <v>496</v>
      </c>
      <c r="I4513" s="6" t="s">
        <v>20</v>
      </c>
      <c r="J4513" s="6">
        <v>2013.0</v>
      </c>
      <c r="K4513" s="10">
        <v>46143.0</v>
      </c>
      <c r="L4513" s="6">
        <v>1.0</v>
      </c>
      <c r="M4513" s="8">
        <f t="shared" si="4"/>
        <v>0.03</v>
      </c>
      <c r="P4513" s="9"/>
    </row>
    <row r="4514">
      <c r="A4514" s="6" t="s">
        <v>2069</v>
      </c>
      <c r="B4514" s="6" t="s">
        <v>2070</v>
      </c>
      <c r="C4514" s="6" t="s">
        <v>43</v>
      </c>
      <c r="D4514" s="6" t="s">
        <v>2071</v>
      </c>
      <c r="E4514" s="6" t="s">
        <v>237</v>
      </c>
      <c r="F4514" s="6" t="s">
        <v>18</v>
      </c>
      <c r="G4514" s="7">
        <v>0.05</v>
      </c>
      <c r="H4514" s="6" t="s">
        <v>373</v>
      </c>
      <c r="I4514" s="6" t="s">
        <v>20</v>
      </c>
      <c r="J4514" s="6">
        <v>2015.0</v>
      </c>
      <c r="K4514" s="10">
        <v>46179.0</v>
      </c>
      <c r="L4514" s="6">
        <v>1.0</v>
      </c>
      <c r="M4514" s="8">
        <f t="shared" si="4"/>
        <v>0.05</v>
      </c>
      <c r="P4514" s="9"/>
    </row>
    <row r="4515">
      <c r="A4515" s="6" t="s">
        <v>9950</v>
      </c>
      <c r="B4515" s="6" t="s">
        <v>1002</v>
      </c>
      <c r="C4515" s="6" t="s">
        <v>43</v>
      </c>
      <c r="D4515" s="6" t="s">
        <v>9951</v>
      </c>
      <c r="E4515" s="6" t="s">
        <v>2366</v>
      </c>
      <c r="F4515" s="6" t="s">
        <v>18</v>
      </c>
      <c r="G4515" s="7">
        <v>0.06</v>
      </c>
      <c r="H4515" s="6" t="s">
        <v>460</v>
      </c>
      <c r="I4515" s="6" t="s">
        <v>20</v>
      </c>
      <c r="J4515" s="6">
        <v>2015.0</v>
      </c>
      <c r="K4515" s="10">
        <v>46115.0</v>
      </c>
      <c r="L4515" s="6">
        <v>1.0</v>
      </c>
      <c r="M4515" s="8">
        <f t="shared" si="4"/>
        <v>0.06</v>
      </c>
      <c r="P4515" s="9"/>
    </row>
    <row r="4516">
      <c r="A4516" s="6" t="s">
        <v>9048</v>
      </c>
      <c r="B4516" s="6" t="s">
        <v>9049</v>
      </c>
      <c r="C4516" s="6" t="s">
        <v>43</v>
      </c>
      <c r="D4516" s="6" t="s">
        <v>9050</v>
      </c>
      <c r="F4516" s="6" t="s">
        <v>112</v>
      </c>
      <c r="G4516" s="7">
        <v>0.2</v>
      </c>
      <c r="H4516" s="6" t="s">
        <v>88</v>
      </c>
      <c r="I4516" s="6" t="s">
        <v>20</v>
      </c>
      <c r="J4516" s="6">
        <v>2024.0</v>
      </c>
      <c r="L4516" s="6">
        <v>1.0</v>
      </c>
      <c r="M4516" s="8">
        <f t="shared" si="4"/>
        <v>0.2</v>
      </c>
      <c r="P4516" s="9"/>
    </row>
    <row r="4517">
      <c r="A4517" s="6" t="s">
        <v>9048</v>
      </c>
      <c r="B4517" s="6" t="s">
        <v>9049</v>
      </c>
      <c r="C4517" s="6" t="s">
        <v>43</v>
      </c>
      <c r="D4517" s="6" t="s">
        <v>9050</v>
      </c>
      <c r="F4517" s="6" t="s">
        <v>112</v>
      </c>
      <c r="G4517" s="7">
        <v>0.24</v>
      </c>
      <c r="H4517" s="6" t="s">
        <v>475</v>
      </c>
      <c r="I4517" s="6" t="s">
        <v>20</v>
      </c>
      <c r="J4517" s="6">
        <v>2024.0</v>
      </c>
      <c r="L4517" s="6">
        <v>1.0</v>
      </c>
      <c r="M4517" s="8">
        <f t="shared" si="4"/>
        <v>0.24</v>
      </c>
      <c r="P4517" s="9"/>
    </row>
    <row r="4518">
      <c r="A4518" s="6" t="s">
        <v>9048</v>
      </c>
      <c r="B4518" s="6" t="s">
        <v>9049</v>
      </c>
      <c r="C4518" s="6" t="s">
        <v>43</v>
      </c>
      <c r="D4518" s="6" t="s">
        <v>9050</v>
      </c>
      <c r="F4518" s="6" t="s">
        <v>112</v>
      </c>
      <c r="G4518" s="7">
        <v>0.25</v>
      </c>
      <c r="H4518" s="6" t="s">
        <v>918</v>
      </c>
      <c r="I4518" s="6" t="s">
        <v>20</v>
      </c>
      <c r="J4518" s="6">
        <v>2023.0</v>
      </c>
      <c r="L4518" s="6">
        <v>1.0</v>
      </c>
      <c r="M4518" s="8">
        <f t="shared" si="4"/>
        <v>0.25</v>
      </c>
      <c r="P4518" s="9"/>
    </row>
    <row r="4519">
      <c r="A4519" s="6" t="s">
        <v>9048</v>
      </c>
      <c r="B4519" s="6" t="s">
        <v>9049</v>
      </c>
      <c r="C4519" s="6" t="s">
        <v>43</v>
      </c>
      <c r="D4519" s="6" t="s">
        <v>9050</v>
      </c>
      <c r="F4519" s="6" t="s">
        <v>112</v>
      </c>
      <c r="G4519" s="7">
        <v>0.25</v>
      </c>
      <c r="H4519" s="6" t="s">
        <v>1004</v>
      </c>
      <c r="I4519" s="6" t="s">
        <v>20</v>
      </c>
      <c r="J4519" s="6">
        <v>2022.0</v>
      </c>
      <c r="L4519" s="6">
        <v>1.0</v>
      </c>
      <c r="M4519" s="8">
        <f t="shared" si="4"/>
        <v>0.25</v>
      </c>
      <c r="P4519" s="9"/>
    </row>
    <row r="4520">
      <c r="A4520" s="6" t="s">
        <v>9048</v>
      </c>
      <c r="B4520" s="6" t="s">
        <v>9049</v>
      </c>
      <c r="C4520" s="6" t="s">
        <v>43</v>
      </c>
      <c r="D4520" s="6" t="s">
        <v>9050</v>
      </c>
      <c r="F4520" s="6" t="s">
        <v>112</v>
      </c>
      <c r="G4520" s="7">
        <v>0.25</v>
      </c>
      <c r="H4520" s="6" t="s">
        <v>734</v>
      </c>
      <c r="I4520" s="6" t="s">
        <v>20</v>
      </c>
      <c r="J4520" s="6">
        <v>2022.0</v>
      </c>
      <c r="L4520" s="6">
        <v>1.0</v>
      </c>
      <c r="M4520" s="8">
        <f t="shared" si="4"/>
        <v>0.25</v>
      </c>
      <c r="P4520" s="9"/>
    </row>
    <row r="4521">
      <c r="A4521" s="6" t="s">
        <v>9048</v>
      </c>
      <c r="B4521" s="6" t="s">
        <v>9049</v>
      </c>
      <c r="C4521" s="6" t="s">
        <v>43</v>
      </c>
      <c r="D4521" s="6" t="s">
        <v>9050</v>
      </c>
      <c r="F4521" s="6" t="s">
        <v>112</v>
      </c>
      <c r="G4521" s="7">
        <v>0.27</v>
      </c>
      <c r="H4521" s="6" t="s">
        <v>283</v>
      </c>
      <c r="I4521" s="6" t="s">
        <v>20</v>
      </c>
      <c r="J4521" s="6">
        <v>2013.0</v>
      </c>
      <c r="L4521" s="6">
        <v>2.0</v>
      </c>
      <c r="M4521" s="8">
        <f t="shared" si="4"/>
        <v>0.54</v>
      </c>
      <c r="P4521" s="9"/>
    </row>
    <row r="4522">
      <c r="A4522" s="6" t="s">
        <v>9048</v>
      </c>
      <c r="B4522" s="6" t="s">
        <v>9049</v>
      </c>
      <c r="C4522" s="6" t="s">
        <v>43</v>
      </c>
      <c r="D4522" s="6" t="s">
        <v>9050</v>
      </c>
      <c r="F4522" s="6" t="s">
        <v>112</v>
      </c>
      <c r="G4522" s="7">
        <v>0.33</v>
      </c>
      <c r="H4522" s="6" t="s">
        <v>78</v>
      </c>
      <c r="I4522" s="6" t="s">
        <v>20</v>
      </c>
      <c r="J4522" s="6">
        <v>2018.0</v>
      </c>
      <c r="L4522" s="6">
        <v>1.0</v>
      </c>
      <c r="M4522" s="8">
        <f t="shared" si="4"/>
        <v>0.33</v>
      </c>
      <c r="P4522" s="9"/>
    </row>
    <row r="4523">
      <c r="A4523" s="6" t="s">
        <v>9048</v>
      </c>
      <c r="B4523" s="6" t="s">
        <v>9049</v>
      </c>
      <c r="C4523" s="6" t="s">
        <v>43</v>
      </c>
      <c r="D4523" s="6" t="s">
        <v>9050</v>
      </c>
      <c r="F4523" s="6" t="s">
        <v>112</v>
      </c>
      <c r="G4523" s="7">
        <v>0.39</v>
      </c>
      <c r="H4523" s="6" t="s">
        <v>9952</v>
      </c>
      <c r="I4523" s="6" t="s">
        <v>20</v>
      </c>
      <c r="J4523" s="6">
        <v>2024.0</v>
      </c>
      <c r="L4523" s="6">
        <v>1.0</v>
      </c>
      <c r="M4523" s="8">
        <f t="shared" si="4"/>
        <v>0.39</v>
      </c>
      <c r="P4523" s="9"/>
    </row>
    <row r="4524">
      <c r="A4524" s="6" t="s">
        <v>9048</v>
      </c>
      <c r="B4524" s="6" t="s">
        <v>9049</v>
      </c>
      <c r="C4524" s="6" t="s">
        <v>43</v>
      </c>
      <c r="D4524" s="6" t="s">
        <v>9050</v>
      </c>
      <c r="F4524" s="6" t="s">
        <v>112</v>
      </c>
      <c r="G4524" s="7">
        <v>0.2</v>
      </c>
      <c r="H4524" s="6" t="s">
        <v>9953</v>
      </c>
      <c r="I4524" s="6" t="s">
        <v>20</v>
      </c>
      <c r="J4524" s="6">
        <v>2019.0</v>
      </c>
      <c r="L4524" s="6">
        <v>1.0</v>
      </c>
      <c r="M4524" s="8">
        <f t="shared" si="4"/>
        <v>0.2</v>
      </c>
      <c r="P4524" s="9"/>
    </row>
    <row r="4525">
      <c r="A4525" s="6" t="s">
        <v>8686</v>
      </c>
      <c r="B4525" s="6" t="s">
        <v>8687</v>
      </c>
      <c r="C4525" s="6" t="s">
        <v>43</v>
      </c>
      <c r="D4525" s="6" t="s">
        <v>8688</v>
      </c>
      <c r="F4525" s="6" t="s">
        <v>18</v>
      </c>
      <c r="G4525" s="7">
        <v>0.25</v>
      </c>
      <c r="H4525" s="6" t="s">
        <v>918</v>
      </c>
      <c r="I4525" s="6" t="s">
        <v>20</v>
      </c>
      <c r="J4525" s="6">
        <v>2023.0</v>
      </c>
      <c r="L4525" s="6">
        <v>2.0</v>
      </c>
      <c r="M4525" s="8">
        <f t="shared" si="4"/>
        <v>0.5</v>
      </c>
      <c r="P4525" s="9"/>
    </row>
    <row r="4526">
      <c r="A4526" s="6" t="s">
        <v>8686</v>
      </c>
      <c r="B4526" s="6" t="s">
        <v>8687</v>
      </c>
      <c r="C4526" s="6" t="s">
        <v>43</v>
      </c>
      <c r="D4526" s="6" t="s">
        <v>8688</v>
      </c>
      <c r="F4526" s="6" t="s">
        <v>18</v>
      </c>
      <c r="G4526" s="7">
        <v>0.24</v>
      </c>
      <c r="H4526" s="6" t="s">
        <v>238</v>
      </c>
      <c r="I4526" s="6" t="s">
        <v>20</v>
      </c>
      <c r="J4526" s="6">
        <v>2024.0</v>
      </c>
      <c r="L4526" s="6">
        <v>1.0</v>
      </c>
      <c r="M4526" s="8">
        <f t="shared" si="4"/>
        <v>0.24</v>
      </c>
      <c r="P4526" s="9"/>
    </row>
    <row r="4527">
      <c r="A4527" s="6" t="s">
        <v>8686</v>
      </c>
      <c r="B4527" s="6" t="s">
        <v>8687</v>
      </c>
      <c r="C4527" s="6" t="s">
        <v>43</v>
      </c>
      <c r="D4527" s="6" t="s">
        <v>8688</v>
      </c>
      <c r="F4527" s="6" t="s">
        <v>18</v>
      </c>
      <c r="G4527" s="7">
        <v>0.29</v>
      </c>
      <c r="H4527" s="6" t="s">
        <v>506</v>
      </c>
      <c r="I4527" s="6" t="s">
        <v>20</v>
      </c>
      <c r="J4527" s="6">
        <v>2016.0</v>
      </c>
      <c r="L4527" s="6">
        <v>2.0</v>
      </c>
      <c r="M4527" s="8">
        <f t="shared" si="4"/>
        <v>0.58</v>
      </c>
      <c r="P4527" s="9"/>
    </row>
    <row r="4528">
      <c r="A4528" s="6" t="s">
        <v>8686</v>
      </c>
      <c r="B4528" s="6" t="s">
        <v>8687</v>
      </c>
      <c r="C4528" s="6" t="s">
        <v>43</v>
      </c>
      <c r="D4528" s="6" t="s">
        <v>8688</v>
      </c>
      <c r="F4528" s="6" t="s">
        <v>18</v>
      </c>
      <c r="G4528" s="7">
        <v>0.27</v>
      </c>
      <c r="H4528" s="6" t="s">
        <v>506</v>
      </c>
      <c r="I4528" s="6" t="s">
        <v>20</v>
      </c>
      <c r="J4528" s="6">
        <v>2016.0</v>
      </c>
      <c r="L4528" s="6">
        <v>2.0</v>
      </c>
      <c r="M4528" s="8">
        <f t="shared" si="4"/>
        <v>0.54</v>
      </c>
      <c r="P4528" s="9"/>
    </row>
    <row r="4529">
      <c r="A4529" s="6" t="s">
        <v>8686</v>
      </c>
      <c r="B4529" s="6" t="s">
        <v>8687</v>
      </c>
      <c r="C4529" s="6" t="s">
        <v>43</v>
      </c>
      <c r="D4529" s="6" t="s">
        <v>8688</v>
      </c>
      <c r="F4529" s="6" t="s">
        <v>18</v>
      </c>
      <c r="G4529" s="7">
        <v>0.25</v>
      </c>
      <c r="H4529" s="6" t="s">
        <v>582</v>
      </c>
      <c r="I4529" s="6" t="s">
        <v>20</v>
      </c>
      <c r="J4529" s="6">
        <v>2023.0</v>
      </c>
      <c r="L4529" s="6">
        <v>1.0</v>
      </c>
      <c r="M4529" s="8">
        <f t="shared" si="4"/>
        <v>0.25</v>
      </c>
      <c r="P4529" s="9"/>
    </row>
    <row r="4530">
      <c r="A4530" s="6" t="s">
        <v>9954</v>
      </c>
      <c r="B4530" s="6" t="s">
        <v>3932</v>
      </c>
      <c r="C4530" s="6" t="s">
        <v>30</v>
      </c>
      <c r="D4530" s="6" t="s">
        <v>9955</v>
      </c>
      <c r="E4530" s="6" t="s">
        <v>8466</v>
      </c>
      <c r="F4530" s="6" t="s">
        <v>112</v>
      </c>
      <c r="G4530" s="7">
        <v>0.6</v>
      </c>
      <c r="H4530" s="6" t="s">
        <v>464</v>
      </c>
      <c r="I4530" s="6" t="s">
        <v>20</v>
      </c>
      <c r="J4530" s="6">
        <v>2002.0</v>
      </c>
      <c r="L4530" s="6">
        <v>1.0</v>
      </c>
      <c r="M4530" s="8">
        <f t="shared" si="4"/>
        <v>0.6</v>
      </c>
      <c r="N4530" s="6" t="s">
        <v>122</v>
      </c>
      <c r="P4530" s="9"/>
    </row>
    <row r="4531">
      <c r="A4531" s="6" t="s">
        <v>9956</v>
      </c>
      <c r="B4531" s="6" t="s">
        <v>162</v>
      </c>
      <c r="C4531" s="6" t="s">
        <v>43</v>
      </c>
      <c r="D4531" s="6" t="s">
        <v>9957</v>
      </c>
      <c r="E4531" s="6" t="s">
        <v>76</v>
      </c>
      <c r="F4531" s="6" t="s">
        <v>77</v>
      </c>
      <c r="G4531" s="7">
        <v>0.08</v>
      </c>
      <c r="H4531" s="6" t="s">
        <v>283</v>
      </c>
      <c r="I4531" s="6" t="s">
        <v>20</v>
      </c>
      <c r="J4531" s="6">
        <v>2013.0</v>
      </c>
      <c r="L4531" s="6">
        <v>1.0</v>
      </c>
      <c r="M4531" s="8">
        <f t="shared" si="4"/>
        <v>0.08</v>
      </c>
      <c r="P4531" s="9"/>
    </row>
    <row r="4532">
      <c r="A4532" s="6" t="s">
        <v>9958</v>
      </c>
      <c r="B4532" s="6" t="s">
        <v>162</v>
      </c>
      <c r="C4532" s="6" t="s">
        <v>43</v>
      </c>
      <c r="D4532" s="6" t="s">
        <v>9959</v>
      </c>
      <c r="E4532" s="6" t="s">
        <v>1093</v>
      </c>
      <c r="F4532" s="6" t="s">
        <v>77</v>
      </c>
      <c r="G4532" s="7">
        <v>0.05</v>
      </c>
      <c r="H4532" s="6" t="s">
        <v>496</v>
      </c>
      <c r="I4532" s="6" t="s">
        <v>20</v>
      </c>
      <c r="J4532" s="6">
        <v>2013.0</v>
      </c>
      <c r="L4532" s="6">
        <v>1.0</v>
      </c>
      <c r="M4532" s="8">
        <f t="shared" si="4"/>
        <v>0.05</v>
      </c>
      <c r="P4532" s="9"/>
    </row>
    <row r="4533">
      <c r="A4533" s="6" t="s">
        <v>9960</v>
      </c>
      <c r="B4533" s="6" t="s">
        <v>162</v>
      </c>
      <c r="C4533" s="6" t="s">
        <v>43</v>
      </c>
      <c r="D4533" s="6" t="s">
        <v>9961</v>
      </c>
      <c r="E4533" s="6" t="s">
        <v>891</v>
      </c>
      <c r="F4533" s="6" t="s">
        <v>77</v>
      </c>
      <c r="G4533" s="7">
        <v>0.05</v>
      </c>
      <c r="H4533" s="6" t="s">
        <v>4265</v>
      </c>
      <c r="I4533" s="6" t="s">
        <v>20</v>
      </c>
      <c r="J4533" s="6">
        <v>2009.0</v>
      </c>
      <c r="L4533" s="6">
        <v>1.0</v>
      </c>
      <c r="M4533" s="8">
        <f t="shared" si="4"/>
        <v>0.05</v>
      </c>
      <c r="P4533" s="9"/>
    </row>
    <row r="4534">
      <c r="A4534" s="6" t="s">
        <v>9962</v>
      </c>
      <c r="B4534" s="6" t="s">
        <v>162</v>
      </c>
      <c r="C4534" s="6" t="s">
        <v>37</v>
      </c>
      <c r="D4534" s="6" t="s">
        <v>9963</v>
      </c>
      <c r="E4534" s="6" t="s">
        <v>891</v>
      </c>
      <c r="F4534" s="6" t="s">
        <v>77</v>
      </c>
      <c r="G4534" s="7">
        <v>0.06</v>
      </c>
      <c r="H4534" s="6" t="s">
        <v>4519</v>
      </c>
      <c r="I4534" s="6" t="s">
        <v>20</v>
      </c>
      <c r="J4534" s="6">
        <v>2009.0</v>
      </c>
      <c r="L4534" s="6">
        <v>1.0</v>
      </c>
      <c r="M4534" s="8">
        <f t="shared" si="4"/>
        <v>0.06</v>
      </c>
      <c r="P4534" s="9"/>
    </row>
    <row r="4535">
      <c r="A4535" s="6" t="s">
        <v>9964</v>
      </c>
      <c r="B4535" s="6" t="s">
        <v>162</v>
      </c>
      <c r="C4535" s="6" t="s">
        <v>37</v>
      </c>
      <c r="D4535" s="6" t="s">
        <v>9965</v>
      </c>
      <c r="E4535" s="6" t="s">
        <v>82</v>
      </c>
      <c r="F4535" s="6" t="s">
        <v>77</v>
      </c>
      <c r="G4535" s="7">
        <v>0.09</v>
      </c>
      <c r="H4535" s="6" t="s">
        <v>350</v>
      </c>
      <c r="I4535" s="6" t="s">
        <v>45</v>
      </c>
      <c r="J4535" s="6">
        <v>2003.0</v>
      </c>
      <c r="L4535" s="6">
        <v>1.0</v>
      </c>
      <c r="M4535" s="8">
        <f t="shared" si="4"/>
        <v>0.09</v>
      </c>
      <c r="P4535" s="9"/>
    </row>
    <row r="4536">
      <c r="A4536" s="6" t="s">
        <v>9966</v>
      </c>
      <c r="B4536" s="6" t="s">
        <v>162</v>
      </c>
      <c r="C4536" s="6" t="s">
        <v>37</v>
      </c>
      <c r="D4536" s="6" t="s">
        <v>9967</v>
      </c>
      <c r="E4536" s="6" t="s">
        <v>117</v>
      </c>
      <c r="F4536" s="6" t="s">
        <v>77</v>
      </c>
      <c r="G4536" s="7">
        <v>0.09</v>
      </c>
      <c r="H4536" s="6" t="s">
        <v>1028</v>
      </c>
      <c r="I4536" s="6" t="s">
        <v>20</v>
      </c>
      <c r="J4536" s="6">
        <v>2011.0</v>
      </c>
      <c r="L4536" s="6">
        <v>1.0</v>
      </c>
      <c r="M4536" s="8">
        <f t="shared" si="4"/>
        <v>0.09</v>
      </c>
      <c r="P4536" s="9"/>
    </row>
    <row r="4537">
      <c r="A4537" s="6" t="s">
        <v>9656</v>
      </c>
      <c r="B4537" s="6" t="s">
        <v>162</v>
      </c>
      <c r="C4537" s="6" t="s">
        <v>43</v>
      </c>
      <c r="D4537" s="6" t="s">
        <v>9657</v>
      </c>
      <c r="E4537" s="6" t="s">
        <v>82</v>
      </c>
      <c r="F4537" s="6" t="s">
        <v>77</v>
      </c>
      <c r="G4537" s="7">
        <v>0.05</v>
      </c>
      <c r="H4537" s="6" t="s">
        <v>283</v>
      </c>
      <c r="I4537" s="6" t="s">
        <v>20</v>
      </c>
      <c r="J4537" s="6">
        <v>2013.0</v>
      </c>
      <c r="L4537" s="6">
        <v>1.0</v>
      </c>
      <c r="M4537" s="8">
        <f t="shared" si="4"/>
        <v>0.05</v>
      </c>
      <c r="P4537" s="9"/>
    </row>
    <row r="4538">
      <c r="A4538" s="6" t="s">
        <v>4913</v>
      </c>
      <c r="B4538" s="6" t="s">
        <v>162</v>
      </c>
      <c r="C4538" s="6" t="s">
        <v>43</v>
      </c>
      <c r="D4538" s="6" t="s">
        <v>4914</v>
      </c>
      <c r="E4538" s="6" t="s">
        <v>176</v>
      </c>
      <c r="F4538" s="6" t="s">
        <v>77</v>
      </c>
      <c r="G4538" s="7">
        <v>0.04</v>
      </c>
      <c r="H4538" s="6" t="s">
        <v>283</v>
      </c>
      <c r="I4538" s="6" t="s">
        <v>20</v>
      </c>
      <c r="J4538" s="6">
        <v>2013.0</v>
      </c>
      <c r="L4538" s="6">
        <v>2.0</v>
      </c>
      <c r="M4538" s="8">
        <f t="shared" si="4"/>
        <v>0.08</v>
      </c>
      <c r="P4538" s="9"/>
    </row>
    <row r="4539">
      <c r="A4539" s="6" t="s">
        <v>9968</v>
      </c>
      <c r="B4539" s="6" t="s">
        <v>162</v>
      </c>
      <c r="C4539" s="6" t="s">
        <v>43</v>
      </c>
      <c r="D4539" s="6" t="s">
        <v>9969</v>
      </c>
      <c r="E4539" s="6" t="s">
        <v>248</v>
      </c>
      <c r="F4539" s="6" t="s">
        <v>77</v>
      </c>
      <c r="G4539" s="7">
        <v>0.05</v>
      </c>
      <c r="H4539" s="6" t="s">
        <v>496</v>
      </c>
      <c r="I4539" s="6" t="s">
        <v>20</v>
      </c>
      <c r="J4539" s="6">
        <v>2013.0</v>
      </c>
      <c r="L4539" s="6">
        <v>3.0</v>
      </c>
      <c r="M4539" s="8">
        <f t="shared" si="4"/>
        <v>0.15</v>
      </c>
      <c r="P4539" s="9"/>
    </row>
    <row r="4540">
      <c r="A4540" s="6" t="s">
        <v>9970</v>
      </c>
      <c r="B4540" s="6" t="s">
        <v>162</v>
      </c>
      <c r="C4540" s="6" t="s">
        <v>37</v>
      </c>
      <c r="D4540" s="6" t="s">
        <v>9971</v>
      </c>
      <c r="E4540" s="6" t="s">
        <v>93</v>
      </c>
      <c r="F4540" s="6" t="s">
        <v>77</v>
      </c>
      <c r="G4540" s="7">
        <v>0.09</v>
      </c>
      <c r="H4540" s="6" t="s">
        <v>3124</v>
      </c>
      <c r="I4540" s="6" t="s">
        <v>20</v>
      </c>
      <c r="J4540" s="6">
        <v>2010.0</v>
      </c>
      <c r="L4540" s="6">
        <v>2.0</v>
      </c>
      <c r="M4540" s="8">
        <f t="shared" si="4"/>
        <v>0.18</v>
      </c>
      <c r="P4540" s="9"/>
    </row>
    <row r="4541">
      <c r="A4541" s="6" t="s">
        <v>9972</v>
      </c>
      <c r="B4541" s="6" t="s">
        <v>162</v>
      </c>
      <c r="C4541" s="6" t="s">
        <v>43</v>
      </c>
      <c r="D4541" s="6" t="s">
        <v>9973</v>
      </c>
      <c r="E4541" s="6" t="s">
        <v>891</v>
      </c>
      <c r="F4541" s="6" t="s">
        <v>77</v>
      </c>
      <c r="G4541" s="7">
        <v>0.04</v>
      </c>
      <c r="H4541" s="6" t="s">
        <v>65</v>
      </c>
      <c r="I4541" s="6" t="s">
        <v>20</v>
      </c>
      <c r="J4541" s="6">
        <v>2013.0</v>
      </c>
      <c r="L4541" s="6">
        <v>3.0</v>
      </c>
      <c r="M4541" s="8">
        <f t="shared" si="4"/>
        <v>0.12</v>
      </c>
      <c r="P4541" s="9"/>
    </row>
    <row r="4542">
      <c r="A4542" s="6" t="s">
        <v>9974</v>
      </c>
      <c r="B4542" s="6" t="s">
        <v>162</v>
      </c>
      <c r="C4542" s="6" t="s">
        <v>43</v>
      </c>
      <c r="D4542" s="6" t="s">
        <v>9975</v>
      </c>
      <c r="E4542" s="6" t="s">
        <v>117</v>
      </c>
      <c r="F4542" s="6" t="s">
        <v>77</v>
      </c>
      <c r="G4542" s="7">
        <v>0.1</v>
      </c>
      <c r="H4542" s="6" t="s">
        <v>283</v>
      </c>
      <c r="I4542" s="6" t="s">
        <v>20</v>
      </c>
      <c r="J4542" s="6">
        <v>2013.0</v>
      </c>
      <c r="L4542" s="6">
        <v>2.0</v>
      </c>
      <c r="M4542" s="8">
        <f t="shared" si="4"/>
        <v>0.2</v>
      </c>
      <c r="P4542" s="9"/>
    </row>
    <row r="4543">
      <c r="A4543" s="6" t="s">
        <v>9974</v>
      </c>
      <c r="B4543" s="6" t="s">
        <v>162</v>
      </c>
      <c r="C4543" s="6" t="s">
        <v>43</v>
      </c>
      <c r="D4543" s="6" t="s">
        <v>9975</v>
      </c>
      <c r="E4543" s="6" t="s">
        <v>117</v>
      </c>
      <c r="F4543" s="6" t="s">
        <v>77</v>
      </c>
      <c r="G4543" s="7">
        <v>0.13</v>
      </c>
      <c r="H4543" s="6" t="s">
        <v>211</v>
      </c>
      <c r="I4543" s="6" t="s">
        <v>20</v>
      </c>
      <c r="J4543" s="6">
        <v>2010.0</v>
      </c>
      <c r="L4543" s="6">
        <v>2.0</v>
      </c>
      <c r="M4543" s="8">
        <f t="shared" si="4"/>
        <v>0.26</v>
      </c>
      <c r="P4543" s="9"/>
    </row>
    <row r="4544">
      <c r="A4544" s="6" t="s">
        <v>9976</v>
      </c>
      <c r="B4544" s="6" t="s">
        <v>494</v>
      </c>
      <c r="C4544" s="6" t="s">
        <v>43</v>
      </c>
      <c r="D4544" s="6" t="s">
        <v>9977</v>
      </c>
      <c r="E4544" s="6" t="s">
        <v>76</v>
      </c>
      <c r="F4544" s="6" t="s">
        <v>77</v>
      </c>
      <c r="G4544" s="7">
        <v>0.09</v>
      </c>
      <c r="H4544" s="6" t="s">
        <v>7681</v>
      </c>
      <c r="I4544" s="6" t="s">
        <v>20</v>
      </c>
      <c r="J4544" s="6">
        <v>2009.0</v>
      </c>
      <c r="L4544" s="6">
        <v>1.0</v>
      </c>
      <c r="M4544" s="8">
        <f t="shared" si="4"/>
        <v>0.09</v>
      </c>
      <c r="P4544" s="9"/>
    </row>
    <row r="4545">
      <c r="A4545" s="6" t="s">
        <v>9978</v>
      </c>
      <c r="B4545" s="6" t="s">
        <v>146</v>
      </c>
      <c r="C4545" s="6" t="s">
        <v>37</v>
      </c>
      <c r="D4545" s="6" t="s">
        <v>9979</v>
      </c>
      <c r="E4545" s="6" t="s">
        <v>117</v>
      </c>
      <c r="F4545" s="6" t="s">
        <v>77</v>
      </c>
      <c r="G4545" s="7">
        <v>0.17</v>
      </c>
      <c r="H4545" s="6" t="s">
        <v>65</v>
      </c>
      <c r="I4545" s="6" t="s">
        <v>20</v>
      </c>
      <c r="J4545" s="6">
        <v>2013.0</v>
      </c>
      <c r="L4545" s="6">
        <v>1.0</v>
      </c>
      <c r="M4545" s="8">
        <f t="shared" si="4"/>
        <v>0.17</v>
      </c>
      <c r="P4545" s="9"/>
    </row>
    <row r="4546">
      <c r="A4546" s="6" t="s">
        <v>9980</v>
      </c>
      <c r="B4546" s="6" t="s">
        <v>146</v>
      </c>
      <c r="C4546" s="6" t="s">
        <v>37</v>
      </c>
      <c r="D4546" s="6" t="s">
        <v>9981</v>
      </c>
      <c r="E4546" s="6" t="s">
        <v>248</v>
      </c>
      <c r="F4546" s="6" t="s">
        <v>77</v>
      </c>
      <c r="G4546" s="7">
        <v>0.09</v>
      </c>
      <c r="H4546" s="6" t="s">
        <v>5061</v>
      </c>
      <c r="I4546" s="6" t="s">
        <v>20</v>
      </c>
      <c r="J4546" s="6">
        <v>2006.0</v>
      </c>
      <c r="L4546" s="6">
        <v>1.0</v>
      </c>
      <c r="M4546" s="8">
        <f t="shared" si="4"/>
        <v>0.09</v>
      </c>
      <c r="P4546" s="9"/>
    </row>
    <row r="4547">
      <c r="A4547" s="6" t="s">
        <v>9982</v>
      </c>
      <c r="B4547" s="6" t="s">
        <v>146</v>
      </c>
      <c r="C4547" s="6" t="s">
        <v>37</v>
      </c>
      <c r="D4547" s="6" t="s">
        <v>9983</v>
      </c>
      <c r="E4547" s="6" t="s">
        <v>76</v>
      </c>
      <c r="F4547" s="6" t="s">
        <v>77</v>
      </c>
      <c r="G4547" s="7">
        <v>0.17</v>
      </c>
      <c r="H4547" s="6" t="s">
        <v>2013</v>
      </c>
      <c r="I4547" s="6" t="s">
        <v>20</v>
      </c>
      <c r="J4547" s="6">
        <v>2007.0</v>
      </c>
      <c r="L4547" s="6">
        <v>1.0</v>
      </c>
      <c r="M4547" s="8">
        <f t="shared" si="4"/>
        <v>0.17</v>
      </c>
      <c r="P4547" s="9"/>
    </row>
    <row r="4548">
      <c r="A4548" s="6" t="s">
        <v>9984</v>
      </c>
      <c r="B4548" s="6" t="s">
        <v>494</v>
      </c>
      <c r="C4548" s="6" t="s">
        <v>43</v>
      </c>
      <c r="D4548" s="6" t="s">
        <v>9985</v>
      </c>
      <c r="E4548" s="6" t="s">
        <v>76</v>
      </c>
      <c r="F4548" s="6" t="s">
        <v>77</v>
      </c>
      <c r="G4548" s="7">
        <v>0.05</v>
      </c>
      <c r="H4548" s="6" t="s">
        <v>496</v>
      </c>
      <c r="I4548" s="6" t="s">
        <v>20</v>
      </c>
      <c r="J4548" s="6">
        <v>2013.0</v>
      </c>
      <c r="L4548" s="6">
        <v>1.0</v>
      </c>
      <c r="M4548" s="8">
        <f t="shared" si="4"/>
        <v>0.05</v>
      </c>
      <c r="P4548" s="9"/>
    </row>
    <row r="4549">
      <c r="A4549" s="6" t="s">
        <v>9986</v>
      </c>
      <c r="B4549" s="6" t="s">
        <v>494</v>
      </c>
      <c r="C4549" s="6" t="s">
        <v>43</v>
      </c>
      <c r="D4549" s="6" t="s">
        <v>9987</v>
      </c>
      <c r="E4549" s="6" t="s">
        <v>117</v>
      </c>
      <c r="F4549" s="6" t="s">
        <v>77</v>
      </c>
      <c r="G4549" s="7">
        <v>0.05</v>
      </c>
      <c r="H4549" s="6" t="s">
        <v>496</v>
      </c>
      <c r="I4549" s="6" t="s">
        <v>20</v>
      </c>
      <c r="J4549" s="6">
        <v>2013.0</v>
      </c>
      <c r="L4549" s="6">
        <v>6.0</v>
      </c>
      <c r="M4549" s="8">
        <f t="shared" si="4"/>
        <v>0.3</v>
      </c>
      <c r="P4549" s="9"/>
    </row>
    <row r="4550">
      <c r="A4550" s="6" t="s">
        <v>9988</v>
      </c>
      <c r="B4550" s="6" t="s">
        <v>3932</v>
      </c>
      <c r="C4550" s="6" t="s">
        <v>43</v>
      </c>
      <c r="D4550" s="6" t="s">
        <v>9989</v>
      </c>
      <c r="E4550" s="6" t="s">
        <v>76</v>
      </c>
      <c r="F4550" s="6" t="s">
        <v>77</v>
      </c>
      <c r="G4550" s="7">
        <v>0.15</v>
      </c>
      <c r="H4550" s="6" t="s">
        <v>3369</v>
      </c>
      <c r="I4550" s="6" t="s">
        <v>20</v>
      </c>
      <c r="J4550" s="6">
        <v>2003.0</v>
      </c>
      <c r="L4550" s="6">
        <v>2.0</v>
      </c>
      <c r="M4550" s="8">
        <f t="shared" si="4"/>
        <v>0.3</v>
      </c>
      <c r="P4550" s="9"/>
    </row>
    <row r="4551">
      <c r="A4551" s="6" t="s">
        <v>9990</v>
      </c>
      <c r="B4551" s="6" t="s">
        <v>494</v>
      </c>
      <c r="C4551" s="6" t="s">
        <v>37</v>
      </c>
      <c r="D4551" s="6" t="s">
        <v>9991</v>
      </c>
      <c r="E4551" s="6" t="s">
        <v>76</v>
      </c>
      <c r="F4551" s="6" t="s">
        <v>77</v>
      </c>
      <c r="G4551" s="7">
        <v>0.05</v>
      </c>
      <c r="H4551" s="6" t="s">
        <v>496</v>
      </c>
      <c r="I4551" s="6" t="s">
        <v>20</v>
      </c>
      <c r="J4551" s="6">
        <v>2013.0</v>
      </c>
      <c r="L4551" s="6">
        <v>3.0</v>
      </c>
      <c r="M4551" s="8">
        <f t="shared" si="4"/>
        <v>0.15</v>
      </c>
      <c r="P4551" s="9"/>
    </row>
    <row r="4552">
      <c r="A4552" s="6" t="s">
        <v>9992</v>
      </c>
      <c r="B4552" s="6" t="s">
        <v>74</v>
      </c>
      <c r="C4552" s="6" t="s">
        <v>43</v>
      </c>
      <c r="D4552" s="6" t="s">
        <v>9993</v>
      </c>
      <c r="E4552" s="6" t="s">
        <v>248</v>
      </c>
      <c r="F4552" s="6" t="s">
        <v>77</v>
      </c>
      <c r="G4552" s="7">
        <v>0.06</v>
      </c>
      <c r="H4552" s="6" t="s">
        <v>3124</v>
      </c>
      <c r="I4552" s="6" t="s">
        <v>20</v>
      </c>
      <c r="J4552" s="6">
        <v>2010.0</v>
      </c>
      <c r="L4552" s="6">
        <v>1.0</v>
      </c>
      <c r="M4552" s="8">
        <f t="shared" si="4"/>
        <v>0.06</v>
      </c>
      <c r="P4552" s="9"/>
    </row>
    <row r="4553">
      <c r="A4553" s="6" t="s">
        <v>9994</v>
      </c>
      <c r="B4553" s="6" t="s">
        <v>74</v>
      </c>
      <c r="C4553" s="6" t="s">
        <v>37</v>
      </c>
      <c r="D4553" s="6" t="s">
        <v>9995</v>
      </c>
      <c r="E4553" s="6" t="s">
        <v>248</v>
      </c>
      <c r="F4553" s="6" t="s">
        <v>77</v>
      </c>
      <c r="G4553" s="7">
        <v>0.05</v>
      </c>
      <c r="H4553" s="6" t="s">
        <v>496</v>
      </c>
      <c r="I4553" s="6" t="s">
        <v>20</v>
      </c>
      <c r="J4553" s="6">
        <v>2013.0</v>
      </c>
      <c r="L4553" s="6">
        <v>1.0</v>
      </c>
      <c r="M4553" s="8">
        <f t="shared" si="4"/>
        <v>0.05</v>
      </c>
      <c r="P4553" s="9"/>
    </row>
    <row r="4554">
      <c r="A4554" s="6" t="s">
        <v>9996</v>
      </c>
      <c r="B4554" s="6" t="s">
        <v>74</v>
      </c>
      <c r="C4554" s="6" t="s">
        <v>43</v>
      </c>
      <c r="D4554" s="6" t="s">
        <v>9997</v>
      </c>
      <c r="E4554" s="6" t="s">
        <v>176</v>
      </c>
      <c r="F4554" s="6" t="s">
        <v>77</v>
      </c>
      <c r="G4554" s="7">
        <v>0.06</v>
      </c>
      <c r="H4554" s="6" t="s">
        <v>687</v>
      </c>
      <c r="I4554" s="6" t="s">
        <v>20</v>
      </c>
      <c r="J4554" s="6">
        <v>2011.0</v>
      </c>
      <c r="L4554" s="6">
        <v>1.0</v>
      </c>
      <c r="M4554" s="8">
        <f t="shared" si="4"/>
        <v>0.06</v>
      </c>
      <c r="P4554" s="9"/>
    </row>
    <row r="4555">
      <c r="A4555" s="6" t="s">
        <v>9998</v>
      </c>
      <c r="B4555" s="6" t="s">
        <v>74</v>
      </c>
      <c r="C4555" s="6" t="s">
        <v>37</v>
      </c>
      <c r="D4555" s="6" t="s">
        <v>9999</v>
      </c>
      <c r="E4555" s="6" t="s">
        <v>93</v>
      </c>
      <c r="F4555" s="6" t="s">
        <v>77</v>
      </c>
      <c r="G4555" s="7">
        <v>0.09</v>
      </c>
      <c r="H4555" s="6" t="s">
        <v>464</v>
      </c>
      <c r="I4555" s="6" t="s">
        <v>20</v>
      </c>
      <c r="J4555" s="6">
        <v>2002.0</v>
      </c>
      <c r="L4555" s="6">
        <v>1.0</v>
      </c>
      <c r="M4555" s="8">
        <f t="shared" si="4"/>
        <v>0.09</v>
      </c>
      <c r="P4555" s="9"/>
    </row>
    <row r="4556">
      <c r="A4556" s="6" t="s">
        <v>10000</v>
      </c>
      <c r="B4556" s="6" t="s">
        <v>74</v>
      </c>
      <c r="C4556" s="6" t="s">
        <v>37</v>
      </c>
      <c r="D4556" s="6" t="s">
        <v>10001</v>
      </c>
      <c r="E4556" s="6" t="s">
        <v>1093</v>
      </c>
      <c r="F4556" s="6" t="s">
        <v>77</v>
      </c>
      <c r="G4556" s="7">
        <v>0.03</v>
      </c>
      <c r="H4556" s="6" t="s">
        <v>3038</v>
      </c>
      <c r="I4556" s="6" t="s">
        <v>20</v>
      </c>
      <c r="J4556" s="6">
        <v>2006.0</v>
      </c>
      <c r="L4556" s="6">
        <v>1.0</v>
      </c>
      <c r="M4556" s="8">
        <f t="shared" si="4"/>
        <v>0.03</v>
      </c>
      <c r="P4556" s="9"/>
    </row>
    <row r="4557">
      <c r="A4557" s="6" t="s">
        <v>10002</v>
      </c>
      <c r="B4557" s="6" t="s">
        <v>74</v>
      </c>
      <c r="C4557" s="6" t="s">
        <v>43</v>
      </c>
      <c r="D4557" s="6" t="s">
        <v>10003</v>
      </c>
      <c r="E4557" s="6" t="s">
        <v>891</v>
      </c>
      <c r="F4557" s="6" t="s">
        <v>77</v>
      </c>
      <c r="G4557" s="7">
        <v>0.05</v>
      </c>
      <c r="H4557" s="6" t="s">
        <v>496</v>
      </c>
      <c r="I4557" s="6" t="s">
        <v>20</v>
      </c>
      <c r="J4557" s="6">
        <v>2013.0</v>
      </c>
      <c r="L4557" s="6">
        <v>6.0</v>
      </c>
      <c r="M4557" s="8">
        <f t="shared" si="4"/>
        <v>0.3</v>
      </c>
      <c r="P4557" s="9"/>
    </row>
    <row r="4558">
      <c r="A4558" s="6" t="s">
        <v>10004</v>
      </c>
      <c r="B4558" s="6" t="s">
        <v>1878</v>
      </c>
      <c r="C4558" s="6" t="s">
        <v>43</v>
      </c>
      <c r="D4558" s="6" t="s">
        <v>10005</v>
      </c>
      <c r="E4558" s="6" t="s">
        <v>76</v>
      </c>
      <c r="F4558" s="6" t="s">
        <v>77</v>
      </c>
      <c r="G4558" s="7">
        <v>0.04</v>
      </c>
      <c r="H4558" s="6" t="s">
        <v>3855</v>
      </c>
      <c r="I4558" s="6" t="s">
        <v>20</v>
      </c>
      <c r="J4558" s="6">
        <v>2007.0</v>
      </c>
      <c r="L4558" s="6">
        <v>3.0</v>
      </c>
      <c r="M4558" s="8">
        <f t="shared" si="4"/>
        <v>0.12</v>
      </c>
      <c r="P4558" s="9"/>
    </row>
    <row r="4559">
      <c r="A4559" s="6" t="s">
        <v>10006</v>
      </c>
      <c r="B4559" s="6" t="s">
        <v>74</v>
      </c>
      <c r="C4559" s="6" t="s">
        <v>43</v>
      </c>
      <c r="D4559" s="6" t="s">
        <v>10007</v>
      </c>
      <c r="E4559" s="6" t="s">
        <v>117</v>
      </c>
      <c r="F4559" s="6" t="s">
        <v>77</v>
      </c>
      <c r="G4559" s="7">
        <v>0.05</v>
      </c>
      <c r="H4559" s="6" t="s">
        <v>496</v>
      </c>
      <c r="I4559" s="6" t="s">
        <v>20</v>
      </c>
      <c r="J4559" s="6">
        <v>2013.0</v>
      </c>
      <c r="L4559" s="6">
        <v>2.0</v>
      </c>
      <c r="M4559" s="8">
        <f t="shared" si="4"/>
        <v>0.1</v>
      </c>
      <c r="P4559" s="9"/>
    </row>
    <row r="4560">
      <c r="A4560" s="6" t="s">
        <v>10008</v>
      </c>
      <c r="B4560" s="6" t="s">
        <v>74</v>
      </c>
      <c r="C4560" s="6" t="s">
        <v>43</v>
      </c>
      <c r="D4560" s="6" t="s">
        <v>10009</v>
      </c>
      <c r="E4560" s="6" t="s">
        <v>76</v>
      </c>
      <c r="F4560" s="6" t="s">
        <v>77</v>
      </c>
      <c r="G4560" s="7">
        <v>0.09</v>
      </c>
      <c r="H4560" s="6" t="s">
        <v>283</v>
      </c>
      <c r="I4560" s="6" t="s">
        <v>20</v>
      </c>
      <c r="J4560" s="6">
        <v>2013.0</v>
      </c>
      <c r="L4560" s="6">
        <v>2.0</v>
      </c>
      <c r="M4560" s="8">
        <f t="shared" si="4"/>
        <v>0.18</v>
      </c>
      <c r="P4560" s="9"/>
    </row>
    <row r="4561">
      <c r="A4561" s="6" t="s">
        <v>10008</v>
      </c>
      <c r="B4561" s="6" t="s">
        <v>74</v>
      </c>
      <c r="C4561" s="6" t="s">
        <v>43</v>
      </c>
      <c r="D4561" s="6" t="s">
        <v>10009</v>
      </c>
      <c r="E4561" s="6" t="s">
        <v>76</v>
      </c>
      <c r="F4561" s="6" t="s">
        <v>77</v>
      </c>
      <c r="G4561" s="7">
        <v>0.1</v>
      </c>
      <c r="H4561" s="6" t="s">
        <v>687</v>
      </c>
      <c r="I4561" s="6" t="s">
        <v>20</v>
      </c>
      <c r="J4561" s="6">
        <v>2011.0</v>
      </c>
      <c r="L4561" s="6">
        <v>1.0</v>
      </c>
      <c r="M4561" s="8">
        <f t="shared" si="4"/>
        <v>0.1</v>
      </c>
      <c r="P4561" s="9"/>
    </row>
    <row r="4562">
      <c r="A4562" s="6" t="s">
        <v>10010</v>
      </c>
      <c r="B4562" s="6" t="s">
        <v>387</v>
      </c>
      <c r="C4562" s="6" t="s">
        <v>43</v>
      </c>
      <c r="E4562" s="6" t="s">
        <v>176</v>
      </c>
      <c r="F4562" s="6" t="s">
        <v>77</v>
      </c>
      <c r="G4562" s="7">
        <v>0.04</v>
      </c>
      <c r="H4562" s="6" t="s">
        <v>496</v>
      </c>
      <c r="I4562" s="6" t="s">
        <v>20</v>
      </c>
      <c r="J4562" s="6">
        <v>2013.0</v>
      </c>
      <c r="K4562" s="10">
        <v>46083.0</v>
      </c>
      <c r="L4562" s="6">
        <v>6.0</v>
      </c>
      <c r="M4562" s="8">
        <f t="shared" si="4"/>
        <v>0.24</v>
      </c>
      <c r="P4562" s="9"/>
    </row>
    <row r="4563">
      <c r="A4563" s="6" t="s">
        <v>8900</v>
      </c>
      <c r="B4563" s="6" t="s">
        <v>8901</v>
      </c>
      <c r="C4563" s="6" t="s">
        <v>43</v>
      </c>
      <c r="D4563" s="6" t="s">
        <v>8902</v>
      </c>
      <c r="E4563" s="6" t="s">
        <v>248</v>
      </c>
      <c r="F4563" s="6" t="s">
        <v>77</v>
      </c>
      <c r="G4563" s="7">
        <v>0.06</v>
      </c>
      <c r="H4563" s="6" t="s">
        <v>496</v>
      </c>
      <c r="I4563" s="6" t="s">
        <v>20</v>
      </c>
      <c r="J4563" s="6">
        <v>2013.0</v>
      </c>
      <c r="K4563" s="10">
        <v>46114.0</v>
      </c>
      <c r="L4563" s="6">
        <v>4.0</v>
      </c>
      <c r="M4563" s="8">
        <f t="shared" si="4"/>
        <v>0.24</v>
      </c>
      <c r="P4563" s="9"/>
    </row>
    <row r="4564">
      <c r="A4564" s="6" t="s">
        <v>2962</v>
      </c>
      <c r="B4564" s="6" t="s">
        <v>2963</v>
      </c>
      <c r="C4564" s="6" t="s">
        <v>43</v>
      </c>
      <c r="D4564" s="6" t="s">
        <v>2964</v>
      </c>
      <c r="E4564" s="6" t="s">
        <v>76</v>
      </c>
      <c r="F4564" s="6" t="s">
        <v>77</v>
      </c>
      <c r="G4564" s="7">
        <v>0.04</v>
      </c>
      <c r="H4564" s="6" t="s">
        <v>496</v>
      </c>
      <c r="I4564" s="6" t="s">
        <v>20</v>
      </c>
      <c r="J4564" s="6">
        <v>2013.0</v>
      </c>
      <c r="K4564" s="10">
        <v>46055.0</v>
      </c>
      <c r="L4564" s="6">
        <v>3.0</v>
      </c>
      <c r="M4564" s="8">
        <f t="shared" si="4"/>
        <v>0.12</v>
      </c>
      <c r="P4564" s="9"/>
    </row>
    <row r="4565">
      <c r="A4565" s="6" t="s">
        <v>10011</v>
      </c>
      <c r="B4565" s="6" t="s">
        <v>1087</v>
      </c>
      <c r="C4565" s="6" t="s">
        <v>37</v>
      </c>
      <c r="D4565" s="6" t="s">
        <v>10012</v>
      </c>
      <c r="E4565" s="6" t="s">
        <v>891</v>
      </c>
      <c r="F4565" s="6" t="s">
        <v>77</v>
      </c>
      <c r="G4565" s="7">
        <v>0.09</v>
      </c>
      <c r="H4565" s="6" t="s">
        <v>283</v>
      </c>
      <c r="I4565" s="6" t="s">
        <v>20</v>
      </c>
      <c r="J4565" s="6">
        <v>2013.0</v>
      </c>
      <c r="K4565" s="10">
        <v>46057.0</v>
      </c>
      <c r="L4565" s="6">
        <v>2.0</v>
      </c>
      <c r="M4565" s="8">
        <f t="shared" si="4"/>
        <v>0.18</v>
      </c>
      <c r="P4565" s="9"/>
    </row>
    <row r="4566">
      <c r="A4566" s="6" t="s">
        <v>10013</v>
      </c>
      <c r="B4566" s="6" t="s">
        <v>8925</v>
      </c>
      <c r="C4566" s="6" t="s">
        <v>43</v>
      </c>
      <c r="D4566" s="6" t="s">
        <v>10014</v>
      </c>
      <c r="E4566" s="6" t="s">
        <v>176</v>
      </c>
      <c r="F4566" s="6" t="s">
        <v>77</v>
      </c>
      <c r="G4566" s="7">
        <v>0.03</v>
      </c>
      <c r="H4566" s="6" t="s">
        <v>496</v>
      </c>
      <c r="I4566" s="6" t="s">
        <v>20</v>
      </c>
      <c r="J4566" s="6">
        <v>2013.0</v>
      </c>
      <c r="K4566" s="10">
        <v>46024.0</v>
      </c>
      <c r="L4566" s="6">
        <v>2.0</v>
      </c>
      <c r="M4566" s="8">
        <f t="shared" si="4"/>
        <v>0.06</v>
      </c>
      <c r="P4566" s="9"/>
    </row>
    <row r="4567">
      <c r="A4567" s="6" t="s">
        <v>6603</v>
      </c>
      <c r="B4567" s="6" t="s">
        <v>2356</v>
      </c>
      <c r="C4567" s="6" t="s">
        <v>43</v>
      </c>
      <c r="D4567" s="6" t="s">
        <v>6604</v>
      </c>
      <c r="E4567" s="6" t="s">
        <v>176</v>
      </c>
      <c r="F4567" s="6" t="s">
        <v>77</v>
      </c>
      <c r="G4567" s="7">
        <v>0.05</v>
      </c>
      <c r="H4567" s="6" t="s">
        <v>3573</v>
      </c>
      <c r="I4567" s="6" t="s">
        <v>20</v>
      </c>
      <c r="J4567" s="6">
        <v>2014.0</v>
      </c>
      <c r="K4567" s="10">
        <v>46055.0</v>
      </c>
      <c r="L4567" s="6">
        <v>2.0</v>
      </c>
      <c r="M4567" s="8">
        <f t="shared" si="4"/>
        <v>0.1</v>
      </c>
      <c r="P4567" s="9"/>
    </row>
    <row r="4568">
      <c r="A4568" s="6" t="s">
        <v>10015</v>
      </c>
      <c r="B4568" s="6" t="s">
        <v>1875</v>
      </c>
      <c r="C4568" s="6" t="s">
        <v>43</v>
      </c>
      <c r="D4568" s="6" t="s">
        <v>10016</v>
      </c>
      <c r="E4568" s="6" t="s">
        <v>76</v>
      </c>
      <c r="F4568" s="6" t="s">
        <v>77</v>
      </c>
      <c r="G4568" s="7">
        <v>0.06</v>
      </c>
      <c r="H4568" s="6" t="s">
        <v>283</v>
      </c>
      <c r="I4568" s="6" t="s">
        <v>20</v>
      </c>
      <c r="J4568" s="6">
        <v>2013.0</v>
      </c>
      <c r="K4568" s="10">
        <v>46024.0</v>
      </c>
      <c r="L4568" s="6">
        <v>3.0</v>
      </c>
      <c r="M4568" s="8">
        <f t="shared" si="4"/>
        <v>0.18</v>
      </c>
      <c r="P4568" s="9"/>
    </row>
    <row r="4569">
      <c r="A4569" s="6" t="s">
        <v>10017</v>
      </c>
      <c r="B4569" s="6" t="s">
        <v>2329</v>
      </c>
      <c r="C4569" s="6" t="s">
        <v>43</v>
      </c>
      <c r="D4569" s="6" t="s">
        <v>10018</v>
      </c>
      <c r="E4569" s="6" t="s">
        <v>891</v>
      </c>
      <c r="F4569" s="6" t="s">
        <v>77</v>
      </c>
      <c r="G4569" s="7">
        <v>0.03</v>
      </c>
      <c r="H4569" s="6" t="s">
        <v>211</v>
      </c>
      <c r="I4569" s="6" t="s">
        <v>20</v>
      </c>
      <c r="J4569" s="6">
        <v>2010.0</v>
      </c>
      <c r="K4569" s="10">
        <v>46055.0</v>
      </c>
      <c r="L4569" s="6">
        <v>2.0</v>
      </c>
      <c r="M4569" s="8">
        <f t="shared" si="4"/>
        <v>0.06</v>
      </c>
      <c r="P4569" s="9"/>
    </row>
    <row r="4570">
      <c r="A4570" s="6" t="s">
        <v>10019</v>
      </c>
      <c r="B4570" s="6" t="s">
        <v>9562</v>
      </c>
      <c r="C4570" s="6" t="s">
        <v>43</v>
      </c>
      <c r="E4570" s="6" t="s">
        <v>176</v>
      </c>
      <c r="F4570" s="6" t="s">
        <v>77</v>
      </c>
      <c r="G4570" s="7">
        <v>0.06</v>
      </c>
      <c r="H4570" s="6" t="s">
        <v>283</v>
      </c>
      <c r="I4570" s="6" t="s">
        <v>20</v>
      </c>
      <c r="J4570" s="6">
        <v>2013.0</v>
      </c>
      <c r="K4570" s="10">
        <v>46083.0</v>
      </c>
      <c r="L4570" s="6">
        <v>2.0</v>
      </c>
      <c r="M4570" s="8">
        <f t="shared" si="4"/>
        <v>0.12</v>
      </c>
      <c r="P4570" s="9"/>
    </row>
    <row r="4571">
      <c r="A4571" s="6" t="s">
        <v>10020</v>
      </c>
      <c r="B4571" s="6" t="s">
        <v>685</v>
      </c>
      <c r="C4571" s="6" t="s">
        <v>43</v>
      </c>
      <c r="D4571" s="6" t="s">
        <v>10021</v>
      </c>
      <c r="E4571" s="6" t="s">
        <v>93</v>
      </c>
      <c r="F4571" s="6" t="s">
        <v>77</v>
      </c>
      <c r="G4571" s="7">
        <v>0.06</v>
      </c>
      <c r="H4571" s="6" t="s">
        <v>496</v>
      </c>
      <c r="I4571" s="6" t="s">
        <v>20</v>
      </c>
      <c r="J4571" s="6">
        <v>2013.0</v>
      </c>
      <c r="K4571" s="10">
        <v>46082.0</v>
      </c>
      <c r="L4571" s="6">
        <v>3.0</v>
      </c>
      <c r="M4571" s="8">
        <f t="shared" si="4"/>
        <v>0.18</v>
      </c>
      <c r="P4571" s="9"/>
    </row>
    <row r="4572">
      <c r="A4572" s="6" t="s">
        <v>3034</v>
      </c>
      <c r="B4572" s="6" t="s">
        <v>2192</v>
      </c>
      <c r="C4572" s="6" t="s">
        <v>43</v>
      </c>
      <c r="D4572" s="6" t="s">
        <v>3035</v>
      </c>
      <c r="E4572" s="6" t="s">
        <v>248</v>
      </c>
      <c r="F4572" s="6" t="s">
        <v>77</v>
      </c>
      <c r="G4572" s="7">
        <v>0.03</v>
      </c>
      <c r="H4572" s="6" t="s">
        <v>1511</v>
      </c>
      <c r="I4572" s="6" t="s">
        <v>20</v>
      </c>
      <c r="J4572" s="6">
        <v>2014.0</v>
      </c>
      <c r="K4572" s="10">
        <v>46057.0</v>
      </c>
      <c r="L4572" s="6">
        <v>2.0</v>
      </c>
      <c r="M4572" s="8">
        <f t="shared" si="4"/>
        <v>0.06</v>
      </c>
      <c r="P4572" s="9"/>
    </row>
    <row r="4573">
      <c r="A4573" s="6" t="s">
        <v>10022</v>
      </c>
      <c r="B4573" s="6" t="s">
        <v>3531</v>
      </c>
      <c r="C4573" s="6" t="s">
        <v>43</v>
      </c>
      <c r="D4573" s="6" t="s">
        <v>10023</v>
      </c>
      <c r="E4573" s="6" t="s">
        <v>248</v>
      </c>
      <c r="F4573" s="6" t="s">
        <v>77</v>
      </c>
      <c r="G4573" s="7">
        <v>0.06</v>
      </c>
      <c r="H4573" s="6" t="s">
        <v>4265</v>
      </c>
      <c r="I4573" s="6" t="s">
        <v>20</v>
      </c>
      <c r="J4573" s="6">
        <v>2009.0</v>
      </c>
      <c r="K4573" s="10">
        <v>46055.0</v>
      </c>
      <c r="L4573" s="6">
        <v>2.0</v>
      </c>
      <c r="M4573" s="8">
        <f t="shared" si="4"/>
        <v>0.12</v>
      </c>
      <c r="P4573" s="9"/>
    </row>
    <row r="4574">
      <c r="A4574" s="6" t="s">
        <v>10024</v>
      </c>
      <c r="B4574" s="6" t="s">
        <v>246</v>
      </c>
      <c r="C4574" s="6" t="s">
        <v>37</v>
      </c>
      <c r="D4574" s="6" t="s">
        <v>10025</v>
      </c>
      <c r="E4574" s="6" t="s">
        <v>76</v>
      </c>
      <c r="F4574" s="6" t="s">
        <v>77</v>
      </c>
      <c r="G4574" s="7">
        <v>0.04</v>
      </c>
      <c r="H4574" s="6" t="s">
        <v>1511</v>
      </c>
      <c r="I4574" s="6" t="s">
        <v>20</v>
      </c>
      <c r="J4574" s="6">
        <v>2014.0</v>
      </c>
      <c r="K4574" s="10">
        <v>46023.0</v>
      </c>
      <c r="L4574" s="6">
        <v>2.0</v>
      </c>
      <c r="M4574" s="8">
        <f t="shared" si="4"/>
        <v>0.08</v>
      </c>
      <c r="P4574" s="9"/>
    </row>
    <row r="4575">
      <c r="A4575" s="6" t="s">
        <v>10026</v>
      </c>
      <c r="B4575" s="6" t="s">
        <v>6501</v>
      </c>
      <c r="C4575" s="6" t="s">
        <v>43</v>
      </c>
      <c r="D4575" s="6" t="s">
        <v>10027</v>
      </c>
      <c r="E4575" s="6" t="s">
        <v>76</v>
      </c>
      <c r="F4575" s="6" t="s">
        <v>77</v>
      </c>
      <c r="G4575" s="7">
        <v>0.03</v>
      </c>
      <c r="H4575" s="6" t="s">
        <v>496</v>
      </c>
      <c r="I4575" s="6" t="s">
        <v>20</v>
      </c>
      <c r="J4575" s="6">
        <v>2013.0</v>
      </c>
      <c r="K4575" s="10">
        <v>46084.0</v>
      </c>
      <c r="L4575" s="6">
        <v>3.0</v>
      </c>
      <c r="M4575" s="8">
        <f t="shared" si="4"/>
        <v>0.09</v>
      </c>
      <c r="P4575" s="9"/>
    </row>
    <row r="4576">
      <c r="A4576" s="6" t="s">
        <v>10028</v>
      </c>
      <c r="B4576" s="6" t="s">
        <v>7591</v>
      </c>
      <c r="C4576" s="6" t="s">
        <v>37</v>
      </c>
      <c r="D4576" s="6" t="s">
        <v>10029</v>
      </c>
      <c r="E4576" s="6" t="s">
        <v>176</v>
      </c>
      <c r="F4576" s="6" t="s">
        <v>77</v>
      </c>
      <c r="G4576" s="7">
        <v>0.06</v>
      </c>
      <c r="H4576" s="6" t="s">
        <v>687</v>
      </c>
      <c r="I4576" s="6" t="s">
        <v>20</v>
      </c>
      <c r="J4576" s="6">
        <v>2011.0</v>
      </c>
      <c r="K4576" s="10">
        <v>46055.0</v>
      </c>
      <c r="L4576" s="6">
        <v>2.0</v>
      </c>
      <c r="M4576" s="8">
        <f t="shared" si="4"/>
        <v>0.12</v>
      </c>
      <c r="P4576" s="9"/>
    </row>
    <row r="4577">
      <c r="A4577" s="6" t="s">
        <v>10030</v>
      </c>
      <c r="B4577" s="6" t="s">
        <v>504</v>
      </c>
      <c r="C4577" s="6" t="s">
        <v>43</v>
      </c>
      <c r="D4577" s="6" t="s">
        <v>10031</v>
      </c>
      <c r="E4577" s="6" t="s">
        <v>1917</v>
      </c>
      <c r="F4577" s="6" t="s">
        <v>77</v>
      </c>
      <c r="G4577" s="7">
        <v>0.05</v>
      </c>
      <c r="H4577" s="6" t="s">
        <v>496</v>
      </c>
      <c r="I4577" s="6" t="s">
        <v>20</v>
      </c>
      <c r="J4577" s="6">
        <v>2013.0</v>
      </c>
      <c r="K4577" s="10">
        <v>46084.0</v>
      </c>
      <c r="L4577" s="6">
        <v>5.0</v>
      </c>
      <c r="M4577" s="8">
        <f t="shared" si="4"/>
        <v>0.25</v>
      </c>
      <c r="P4577" s="9"/>
    </row>
    <row r="4578">
      <c r="A4578" s="6" t="s">
        <v>7414</v>
      </c>
      <c r="B4578" s="6" t="s">
        <v>494</v>
      </c>
      <c r="C4578" s="6" t="s">
        <v>43</v>
      </c>
      <c r="D4578" s="6" t="s">
        <v>7415</v>
      </c>
      <c r="E4578" s="6" t="s">
        <v>117</v>
      </c>
      <c r="F4578" s="6" t="s">
        <v>77</v>
      </c>
      <c r="G4578" s="7">
        <v>0.05</v>
      </c>
      <c r="H4578" s="6" t="s">
        <v>58</v>
      </c>
      <c r="I4578" s="6" t="s">
        <v>20</v>
      </c>
      <c r="J4578" s="6">
        <v>1995.0</v>
      </c>
      <c r="L4578" s="6">
        <v>2.0</v>
      </c>
      <c r="M4578" s="8">
        <f t="shared" si="4"/>
        <v>0.1</v>
      </c>
      <c r="P4578" s="9"/>
    </row>
    <row r="4579">
      <c r="A4579" s="6" t="s">
        <v>10032</v>
      </c>
      <c r="B4579" s="6" t="s">
        <v>854</v>
      </c>
      <c r="C4579" s="6" t="s">
        <v>43</v>
      </c>
      <c r="D4579" s="6" t="s">
        <v>3771</v>
      </c>
      <c r="E4579" s="6" t="s">
        <v>248</v>
      </c>
      <c r="F4579" s="6" t="s">
        <v>77</v>
      </c>
      <c r="G4579" s="7">
        <v>0.06</v>
      </c>
      <c r="H4579" s="6" t="s">
        <v>283</v>
      </c>
      <c r="I4579" s="6" t="s">
        <v>20</v>
      </c>
      <c r="J4579" s="6">
        <v>2013.0</v>
      </c>
      <c r="K4579" s="10">
        <v>46056.0</v>
      </c>
      <c r="L4579" s="6">
        <v>2.0</v>
      </c>
      <c r="M4579" s="8">
        <f t="shared" si="4"/>
        <v>0.12</v>
      </c>
      <c r="P4579" s="9"/>
    </row>
    <row r="4580">
      <c r="A4580" s="6" t="s">
        <v>10033</v>
      </c>
      <c r="B4580" s="6" t="s">
        <v>3592</v>
      </c>
      <c r="C4580" s="6" t="s">
        <v>43</v>
      </c>
      <c r="D4580" s="6" t="s">
        <v>10034</v>
      </c>
      <c r="E4580" s="6" t="s">
        <v>176</v>
      </c>
      <c r="F4580" s="6" t="s">
        <v>77</v>
      </c>
      <c r="G4580" s="7">
        <v>0.07</v>
      </c>
      <c r="H4580" s="6" t="s">
        <v>3855</v>
      </c>
      <c r="I4580" s="6" t="s">
        <v>20</v>
      </c>
      <c r="J4580" s="6">
        <v>2007.0</v>
      </c>
      <c r="K4580" s="10">
        <v>46024.0</v>
      </c>
      <c r="L4580" s="6">
        <v>1.0</v>
      </c>
      <c r="M4580" s="8">
        <f t="shared" si="4"/>
        <v>0.07</v>
      </c>
      <c r="P4580" s="9"/>
    </row>
    <row r="4581">
      <c r="A4581" s="6" t="s">
        <v>10035</v>
      </c>
      <c r="B4581" s="6" t="s">
        <v>5236</v>
      </c>
      <c r="C4581" s="6" t="s">
        <v>43</v>
      </c>
      <c r="D4581" s="6" t="s">
        <v>10036</v>
      </c>
      <c r="E4581" s="6" t="s">
        <v>117</v>
      </c>
      <c r="F4581" s="6" t="s">
        <v>77</v>
      </c>
      <c r="G4581" s="7">
        <v>0.05</v>
      </c>
      <c r="H4581" s="6" t="s">
        <v>283</v>
      </c>
      <c r="I4581" s="6" t="s">
        <v>20</v>
      </c>
      <c r="J4581" s="6">
        <v>2013.0</v>
      </c>
      <c r="K4581" s="10">
        <v>46023.0</v>
      </c>
      <c r="L4581" s="6">
        <v>2.0</v>
      </c>
      <c r="M4581" s="8">
        <f t="shared" si="4"/>
        <v>0.1</v>
      </c>
      <c r="P4581" s="9"/>
    </row>
    <row r="4582">
      <c r="A4582" s="6" t="s">
        <v>10037</v>
      </c>
      <c r="B4582" s="6" t="s">
        <v>854</v>
      </c>
      <c r="C4582" s="6" t="s">
        <v>37</v>
      </c>
      <c r="D4582" s="6" t="s">
        <v>10038</v>
      </c>
      <c r="E4582" s="6" t="s">
        <v>117</v>
      </c>
      <c r="F4582" s="6" t="s">
        <v>77</v>
      </c>
      <c r="G4582" s="7">
        <v>0.07</v>
      </c>
      <c r="H4582" s="6" t="s">
        <v>5061</v>
      </c>
      <c r="I4582" s="6" t="s">
        <v>20</v>
      </c>
      <c r="J4582" s="6">
        <v>2006.0</v>
      </c>
      <c r="K4582" s="10">
        <v>46023.0</v>
      </c>
      <c r="L4582" s="6">
        <v>1.0</v>
      </c>
      <c r="M4582" s="8">
        <f t="shared" si="4"/>
        <v>0.07</v>
      </c>
      <c r="P4582" s="9"/>
    </row>
    <row r="4583">
      <c r="A4583" s="6" t="s">
        <v>3782</v>
      </c>
      <c r="B4583" s="6" t="s">
        <v>3102</v>
      </c>
      <c r="C4583" s="6" t="s">
        <v>43</v>
      </c>
      <c r="D4583" s="6" t="s">
        <v>3103</v>
      </c>
      <c r="E4583" s="6" t="s">
        <v>248</v>
      </c>
      <c r="F4583" s="6" t="s">
        <v>77</v>
      </c>
      <c r="G4583" s="7">
        <v>0.07</v>
      </c>
      <c r="H4583" s="6" t="s">
        <v>187</v>
      </c>
      <c r="I4583" s="6" t="s">
        <v>20</v>
      </c>
      <c r="J4583" s="6">
        <v>1995.0</v>
      </c>
      <c r="K4583" s="10">
        <v>46054.0</v>
      </c>
      <c r="L4583" s="6">
        <v>1.0</v>
      </c>
      <c r="M4583" s="8">
        <f t="shared" si="4"/>
        <v>0.07</v>
      </c>
      <c r="P4583" s="9"/>
    </row>
    <row r="4584">
      <c r="A4584" s="6" t="s">
        <v>10039</v>
      </c>
      <c r="B4584" s="6" t="s">
        <v>10040</v>
      </c>
      <c r="C4584" s="6" t="s">
        <v>43</v>
      </c>
      <c r="D4584" s="6" t="s">
        <v>10041</v>
      </c>
      <c r="E4584" s="6" t="s">
        <v>176</v>
      </c>
      <c r="F4584" s="6" t="s">
        <v>77</v>
      </c>
      <c r="G4584" s="7">
        <v>0.13</v>
      </c>
      <c r="H4584" s="6" t="s">
        <v>5318</v>
      </c>
      <c r="I4584" s="6" t="s">
        <v>20</v>
      </c>
      <c r="J4584" s="6">
        <v>1998.0</v>
      </c>
      <c r="K4584" s="10">
        <v>46055.0</v>
      </c>
      <c r="L4584" s="6">
        <v>2.0</v>
      </c>
      <c r="M4584" s="8">
        <f t="shared" si="4"/>
        <v>0.26</v>
      </c>
      <c r="P4584" s="9"/>
    </row>
    <row r="4585">
      <c r="A4585" s="6" t="s">
        <v>10042</v>
      </c>
      <c r="B4585" s="6" t="s">
        <v>603</v>
      </c>
      <c r="C4585" s="6" t="s">
        <v>43</v>
      </c>
      <c r="D4585" s="6" t="s">
        <v>10043</v>
      </c>
      <c r="E4585" s="6" t="s">
        <v>1027</v>
      </c>
      <c r="F4585" s="6" t="s">
        <v>77</v>
      </c>
      <c r="G4585" s="7">
        <v>0.08</v>
      </c>
      <c r="H4585" s="6" t="s">
        <v>3369</v>
      </c>
      <c r="I4585" s="6" t="s">
        <v>20</v>
      </c>
      <c r="J4585" s="6">
        <v>2003.0</v>
      </c>
      <c r="K4585" s="10">
        <v>46024.0</v>
      </c>
      <c r="L4585" s="6">
        <v>1.0</v>
      </c>
      <c r="M4585" s="8">
        <f t="shared" si="4"/>
        <v>0.08</v>
      </c>
      <c r="P4585" s="9"/>
    </row>
    <row r="4586">
      <c r="A4586" s="6" t="s">
        <v>10044</v>
      </c>
      <c r="B4586" s="6" t="s">
        <v>2192</v>
      </c>
      <c r="C4586" s="6" t="s">
        <v>43</v>
      </c>
      <c r="D4586" s="6" t="s">
        <v>10045</v>
      </c>
      <c r="E4586" s="6" t="s">
        <v>82</v>
      </c>
      <c r="F4586" s="6" t="s">
        <v>77</v>
      </c>
      <c r="G4586" s="7">
        <v>0.06</v>
      </c>
      <c r="H4586" s="6" t="s">
        <v>3369</v>
      </c>
      <c r="I4586" s="6" t="s">
        <v>20</v>
      </c>
      <c r="J4586" s="6">
        <v>2003.0</v>
      </c>
      <c r="K4586" s="10">
        <v>46115.0</v>
      </c>
      <c r="L4586" s="6">
        <v>1.0</v>
      </c>
      <c r="M4586" s="8">
        <f t="shared" si="4"/>
        <v>0.06</v>
      </c>
      <c r="P4586" s="9"/>
    </row>
    <row r="4587">
      <c r="A4587" s="6" t="s">
        <v>8897</v>
      </c>
      <c r="B4587" s="6" t="s">
        <v>8898</v>
      </c>
      <c r="C4587" s="6" t="s">
        <v>43</v>
      </c>
      <c r="D4587" s="6" t="s">
        <v>8899</v>
      </c>
      <c r="E4587" s="6" t="s">
        <v>176</v>
      </c>
      <c r="F4587" s="6" t="s">
        <v>77</v>
      </c>
      <c r="G4587" s="7">
        <v>0.06</v>
      </c>
      <c r="H4587" s="6" t="s">
        <v>464</v>
      </c>
      <c r="I4587" s="6" t="s">
        <v>20</v>
      </c>
      <c r="J4587" s="6">
        <v>2002.0</v>
      </c>
      <c r="K4587" s="10">
        <v>46055.0</v>
      </c>
      <c r="L4587" s="6">
        <v>1.0</v>
      </c>
      <c r="M4587" s="8">
        <f t="shared" si="4"/>
        <v>0.06</v>
      </c>
      <c r="P4587" s="9"/>
    </row>
    <row r="4588">
      <c r="A4588" s="6" t="s">
        <v>10046</v>
      </c>
      <c r="B4588" s="6" t="s">
        <v>1626</v>
      </c>
      <c r="C4588" s="6" t="s">
        <v>43</v>
      </c>
      <c r="D4588" s="6" t="s">
        <v>10047</v>
      </c>
      <c r="E4588" s="6" t="s">
        <v>248</v>
      </c>
      <c r="F4588" s="6" t="s">
        <v>77</v>
      </c>
      <c r="G4588" s="7">
        <v>0.06</v>
      </c>
      <c r="H4588" s="6" t="s">
        <v>2157</v>
      </c>
      <c r="I4588" s="6" t="s">
        <v>20</v>
      </c>
      <c r="J4588" s="6">
        <v>2008.0</v>
      </c>
      <c r="K4588" s="10">
        <v>46056.0</v>
      </c>
      <c r="L4588" s="6">
        <v>2.0</v>
      </c>
      <c r="M4588" s="8">
        <f t="shared" si="4"/>
        <v>0.12</v>
      </c>
      <c r="P4588" s="9"/>
    </row>
    <row r="4589">
      <c r="A4589" s="6" t="s">
        <v>10048</v>
      </c>
      <c r="B4589" s="6" t="s">
        <v>2155</v>
      </c>
      <c r="C4589" s="6" t="s">
        <v>43</v>
      </c>
      <c r="D4589" s="6" t="s">
        <v>10049</v>
      </c>
      <c r="E4589" s="6" t="s">
        <v>176</v>
      </c>
      <c r="F4589" s="6" t="s">
        <v>77</v>
      </c>
      <c r="G4589" s="7">
        <v>0.08</v>
      </c>
      <c r="H4589" s="6" t="s">
        <v>3855</v>
      </c>
      <c r="I4589" s="6" t="s">
        <v>20</v>
      </c>
      <c r="J4589" s="6">
        <v>2007.0</v>
      </c>
      <c r="K4589" s="10">
        <v>46023.0</v>
      </c>
      <c r="L4589" s="6">
        <v>1.0</v>
      </c>
      <c r="M4589" s="8">
        <f t="shared" si="4"/>
        <v>0.08</v>
      </c>
      <c r="P4589" s="9"/>
    </row>
    <row r="4590">
      <c r="A4590" s="6" t="s">
        <v>10050</v>
      </c>
      <c r="B4590" s="6" t="s">
        <v>3328</v>
      </c>
      <c r="C4590" s="6" t="s">
        <v>43</v>
      </c>
      <c r="D4590" s="6" t="s">
        <v>10051</v>
      </c>
      <c r="E4590" s="6" t="s">
        <v>76</v>
      </c>
      <c r="F4590" s="6" t="s">
        <v>77</v>
      </c>
      <c r="G4590" s="7">
        <v>0.06</v>
      </c>
      <c r="H4590" s="6" t="s">
        <v>3855</v>
      </c>
      <c r="I4590" s="6" t="s">
        <v>20</v>
      </c>
      <c r="J4590" s="6">
        <v>2007.0</v>
      </c>
      <c r="K4590" s="10">
        <v>46023.0</v>
      </c>
      <c r="L4590" s="6">
        <v>1.0</v>
      </c>
      <c r="M4590" s="8">
        <f t="shared" si="4"/>
        <v>0.06</v>
      </c>
      <c r="P4590" s="9"/>
    </row>
    <row r="4591">
      <c r="A4591" s="6" t="s">
        <v>10052</v>
      </c>
      <c r="B4591" s="6" t="s">
        <v>2192</v>
      </c>
      <c r="C4591" s="6" t="s">
        <v>37</v>
      </c>
      <c r="D4591" s="6" t="s">
        <v>10053</v>
      </c>
      <c r="E4591" s="6" t="s">
        <v>891</v>
      </c>
      <c r="F4591" s="6" t="s">
        <v>77</v>
      </c>
      <c r="G4591" s="7">
        <v>0.06</v>
      </c>
      <c r="H4591" s="6" t="s">
        <v>1071</v>
      </c>
      <c r="I4591" s="6" t="s">
        <v>20</v>
      </c>
      <c r="J4591" s="6">
        <v>2012.0</v>
      </c>
      <c r="K4591" s="10">
        <v>46026.0</v>
      </c>
      <c r="L4591" s="6">
        <v>1.0</v>
      </c>
      <c r="M4591" s="8">
        <f t="shared" si="4"/>
        <v>0.06</v>
      </c>
      <c r="P4591" s="9"/>
    </row>
    <row r="4592">
      <c r="A4592" s="6" t="s">
        <v>10054</v>
      </c>
      <c r="B4592" s="6" t="s">
        <v>2467</v>
      </c>
      <c r="C4592" s="6" t="s">
        <v>43</v>
      </c>
      <c r="D4592" s="6" t="s">
        <v>10055</v>
      </c>
      <c r="E4592" s="6" t="s">
        <v>76</v>
      </c>
      <c r="F4592" s="6" t="s">
        <v>77</v>
      </c>
      <c r="G4592" s="7">
        <v>0.06</v>
      </c>
      <c r="H4592" s="6" t="s">
        <v>496</v>
      </c>
      <c r="I4592" s="6" t="s">
        <v>20</v>
      </c>
      <c r="J4592" s="6">
        <v>2013.0</v>
      </c>
      <c r="K4592" s="10">
        <v>46023.0</v>
      </c>
      <c r="L4592" s="6">
        <v>2.0</v>
      </c>
      <c r="M4592" s="8">
        <f t="shared" si="4"/>
        <v>0.12</v>
      </c>
      <c r="P4592" s="9"/>
    </row>
    <row r="4593">
      <c r="A4593" s="6" t="s">
        <v>10056</v>
      </c>
      <c r="B4593" s="6" t="s">
        <v>10057</v>
      </c>
      <c r="C4593" s="6" t="s">
        <v>43</v>
      </c>
      <c r="D4593" s="6" t="s">
        <v>10058</v>
      </c>
      <c r="E4593" s="6" t="s">
        <v>891</v>
      </c>
      <c r="F4593" s="6" t="s">
        <v>77</v>
      </c>
      <c r="G4593" s="7">
        <v>0.05</v>
      </c>
      <c r="H4593" s="6" t="s">
        <v>2157</v>
      </c>
      <c r="I4593" s="6" t="s">
        <v>20</v>
      </c>
      <c r="J4593" s="6">
        <v>2008.0</v>
      </c>
      <c r="K4593" s="10">
        <v>46084.0</v>
      </c>
      <c r="L4593" s="6">
        <v>1.0</v>
      </c>
      <c r="M4593" s="8">
        <f t="shared" si="4"/>
        <v>0.05</v>
      </c>
      <c r="P4593" s="9"/>
    </row>
    <row r="4594">
      <c r="A4594" s="6" t="s">
        <v>10059</v>
      </c>
      <c r="B4594" s="6" t="s">
        <v>2192</v>
      </c>
      <c r="C4594" s="6" t="s">
        <v>43</v>
      </c>
      <c r="D4594" s="6" t="s">
        <v>10060</v>
      </c>
      <c r="E4594" s="6" t="s">
        <v>248</v>
      </c>
      <c r="F4594" s="6" t="s">
        <v>77</v>
      </c>
      <c r="G4594" s="7">
        <v>0.08</v>
      </c>
      <c r="H4594" s="6" t="s">
        <v>6238</v>
      </c>
      <c r="I4594" s="6" t="s">
        <v>45</v>
      </c>
      <c r="J4594" s="6">
        <v>2001.0</v>
      </c>
      <c r="K4594" s="10">
        <v>46055.0</v>
      </c>
      <c r="L4594" s="6">
        <v>1.0</v>
      </c>
      <c r="M4594" s="8">
        <f t="shared" si="4"/>
        <v>0.08</v>
      </c>
      <c r="P4594" s="9"/>
    </row>
    <row r="4595">
      <c r="A4595" s="6" t="s">
        <v>10061</v>
      </c>
      <c r="B4595" s="6" t="s">
        <v>1095</v>
      </c>
      <c r="C4595" s="6" t="s">
        <v>37</v>
      </c>
      <c r="D4595" s="6" t="s">
        <v>10062</v>
      </c>
      <c r="E4595" s="6" t="s">
        <v>179</v>
      </c>
      <c r="F4595" s="6" t="s">
        <v>112</v>
      </c>
      <c r="G4595" s="7">
        <v>6.9</v>
      </c>
      <c r="H4595" s="6" t="s">
        <v>6398</v>
      </c>
      <c r="I4595" s="6" t="s">
        <v>20</v>
      </c>
      <c r="J4595" s="6">
        <v>2010.0</v>
      </c>
      <c r="K4595" s="10">
        <v>46023.0</v>
      </c>
      <c r="L4595" s="6">
        <v>1.0</v>
      </c>
      <c r="M4595" s="8">
        <f t="shared" si="4"/>
        <v>6.9</v>
      </c>
      <c r="N4595" s="6" t="s">
        <v>122</v>
      </c>
      <c r="P4595" s="9"/>
    </row>
    <row r="4596">
      <c r="A4596" s="6" t="s">
        <v>10063</v>
      </c>
      <c r="B4596" s="6" t="s">
        <v>10064</v>
      </c>
      <c r="C4596" s="6" t="s">
        <v>43</v>
      </c>
      <c r="D4596" s="6" t="s">
        <v>10065</v>
      </c>
      <c r="E4596" s="6" t="s">
        <v>107</v>
      </c>
      <c r="F4596" s="6" t="s">
        <v>18</v>
      </c>
      <c r="G4596" s="7">
        <v>0.05</v>
      </c>
      <c r="H4596" s="6" t="s">
        <v>1442</v>
      </c>
      <c r="I4596" s="6" t="s">
        <v>20</v>
      </c>
      <c r="J4596" s="6">
        <v>2001.0</v>
      </c>
      <c r="K4596" s="10">
        <v>46023.0</v>
      </c>
      <c r="L4596" s="6">
        <v>1.0</v>
      </c>
      <c r="M4596" s="8">
        <f t="shared" si="4"/>
        <v>0.05</v>
      </c>
      <c r="P4596" s="9"/>
    </row>
    <row r="4597">
      <c r="A4597" s="6" t="s">
        <v>10066</v>
      </c>
      <c r="B4597" s="6" t="s">
        <v>10067</v>
      </c>
      <c r="C4597" s="6" t="s">
        <v>1488</v>
      </c>
      <c r="D4597" s="6" t="s">
        <v>10068</v>
      </c>
      <c r="E4597" s="6" t="s">
        <v>311</v>
      </c>
      <c r="F4597" s="6" t="s">
        <v>26</v>
      </c>
      <c r="G4597" s="7">
        <v>84.9</v>
      </c>
      <c r="H4597" s="6" t="s">
        <v>460</v>
      </c>
      <c r="I4597" s="6" t="s">
        <v>20</v>
      </c>
      <c r="J4597" s="6">
        <v>2015.0</v>
      </c>
      <c r="K4597" s="10">
        <v>46305.0</v>
      </c>
      <c r="L4597" s="6">
        <v>1.0</v>
      </c>
      <c r="M4597" s="8">
        <f t="shared" si="4"/>
        <v>84.9</v>
      </c>
      <c r="N4597" s="6" t="s">
        <v>122</v>
      </c>
      <c r="P4597" s="9"/>
    </row>
    <row r="4598">
      <c r="A4598" s="6" t="s">
        <v>10069</v>
      </c>
      <c r="B4598" s="6" t="s">
        <v>5403</v>
      </c>
      <c r="C4598" s="6" t="s">
        <v>30</v>
      </c>
      <c r="D4598" s="6" t="s">
        <v>10070</v>
      </c>
      <c r="E4598" s="6" t="s">
        <v>757</v>
      </c>
      <c r="F4598" s="6" t="s">
        <v>87</v>
      </c>
      <c r="G4598" s="7">
        <v>1.62</v>
      </c>
      <c r="H4598" s="6" t="s">
        <v>373</v>
      </c>
      <c r="I4598" s="6" t="s">
        <v>45</v>
      </c>
      <c r="J4598" s="6">
        <v>2015.0</v>
      </c>
      <c r="K4598" s="10">
        <v>46055.0</v>
      </c>
      <c r="L4598" s="6">
        <v>1.0</v>
      </c>
      <c r="M4598" s="8">
        <f t="shared" si="4"/>
        <v>1.62</v>
      </c>
      <c r="P4598" s="9"/>
    </row>
    <row r="4599">
      <c r="A4599" s="6" t="s">
        <v>10071</v>
      </c>
      <c r="B4599" s="6" t="s">
        <v>1577</v>
      </c>
      <c r="C4599" s="6" t="s">
        <v>30</v>
      </c>
      <c r="D4599" s="6" t="s">
        <v>10072</v>
      </c>
      <c r="F4599" s="6" t="s">
        <v>26</v>
      </c>
      <c r="G4599" s="7">
        <v>0.71</v>
      </c>
      <c r="H4599" s="6" t="s">
        <v>460</v>
      </c>
      <c r="I4599" s="6" t="s">
        <v>20</v>
      </c>
      <c r="J4599" s="6">
        <v>2015.0</v>
      </c>
      <c r="L4599" s="6">
        <v>1.0</v>
      </c>
      <c r="M4599" s="8">
        <f t="shared" si="4"/>
        <v>0.71</v>
      </c>
      <c r="N4599" s="6" t="s">
        <v>122</v>
      </c>
      <c r="P4599" s="9"/>
    </row>
    <row r="4600">
      <c r="A4600" s="6" t="s">
        <v>10073</v>
      </c>
      <c r="B4600" s="6" t="s">
        <v>1577</v>
      </c>
      <c r="C4600" s="6" t="s">
        <v>37</v>
      </c>
      <c r="D4600" s="6" t="s">
        <v>10074</v>
      </c>
      <c r="F4600" s="6" t="s">
        <v>26</v>
      </c>
      <c r="G4600" s="7">
        <v>0.23</v>
      </c>
      <c r="H4600" s="6" t="s">
        <v>922</v>
      </c>
      <c r="I4600" s="6" t="s">
        <v>20</v>
      </c>
      <c r="J4600" s="6">
        <v>2014.0</v>
      </c>
      <c r="L4600" s="6">
        <v>1.0</v>
      </c>
      <c r="M4600" s="8">
        <f t="shared" si="4"/>
        <v>0.23</v>
      </c>
      <c r="P4600" s="9"/>
    </row>
    <row r="4601">
      <c r="A4601" s="6" t="s">
        <v>10075</v>
      </c>
      <c r="B4601" s="6" t="s">
        <v>1577</v>
      </c>
      <c r="C4601" s="6" t="s">
        <v>30</v>
      </c>
      <c r="D4601" s="6" t="s">
        <v>10076</v>
      </c>
      <c r="F4601" s="6" t="s">
        <v>71</v>
      </c>
      <c r="G4601" s="7">
        <v>0.9</v>
      </c>
      <c r="H4601" s="6" t="s">
        <v>496</v>
      </c>
      <c r="I4601" s="6" t="s">
        <v>20</v>
      </c>
      <c r="J4601" s="6">
        <v>2013.0</v>
      </c>
      <c r="L4601" s="6">
        <v>1.0</v>
      </c>
      <c r="M4601" s="8">
        <f t="shared" si="4"/>
        <v>0.9</v>
      </c>
      <c r="N4601" s="6" t="s">
        <v>122</v>
      </c>
      <c r="P4601" s="9"/>
    </row>
    <row r="4602">
      <c r="A4602" s="6" t="s">
        <v>10077</v>
      </c>
      <c r="B4602" s="6" t="s">
        <v>1577</v>
      </c>
      <c r="C4602" s="6" t="s">
        <v>37</v>
      </c>
      <c r="D4602" s="6" t="s">
        <v>10078</v>
      </c>
      <c r="F4602" s="6" t="s">
        <v>1118</v>
      </c>
      <c r="G4602" s="7">
        <v>0.15</v>
      </c>
      <c r="H4602" s="6" t="s">
        <v>4265</v>
      </c>
      <c r="I4602" s="6" t="s">
        <v>20</v>
      </c>
      <c r="J4602" s="6">
        <v>2009.0</v>
      </c>
      <c r="L4602" s="6">
        <v>1.0</v>
      </c>
      <c r="M4602" s="8">
        <f t="shared" si="4"/>
        <v>0.15</v>
      </c>
      <c r="P4602" s="9"/>
    </row>
    <row r="4603">
      <c r="A4603" s="6" t="s">
        <v>10079</v>
      </c>
      <c r="B4603" s="6" t="s">
        <v>1577</v>
      </c>
      <c r="C4603" s="6" t="s">
        <v>37</v>
      </c>
      <c r="D4603" s="6" t="s">
        <v>10080</v>
      </c>
      <c r="F4603" s="6" t="s">
        <v>50</v>
      </c>
      <c r="G4603" s="7">
        <v>0.18</v>
      </c>
      <c r="H4603" s="6" t="s">
        <v>415</v>
      </c>
      <c r="I4603" s="6" t="s">
        <v>20</v>
      </c>
      <c r="J4603" s="6">
        <v>2016.0</v>
      </c>
      <c r="L4603" s="6">
        <v>1.0</v>
      </c>
      <c r="M4603" s="8">
        <f t="shared" si="4"/>
        <v>0.18</v>
      </c>
      <c r="P4603" s="9"/>
    </row>
    <row r="4604">
      <c r="A4604" s="6" t="s">
        <v>10081</v>
      </c>
      <c r="B4604" s="6" t="s">
        <v>1577</v>
      </c>
      <c r="C4604" s="6" t="s">
        <v>30</v>
      </c>
      <c r="D4604" s="6" t="s">
        <v>10082</v>
      </c>
      <c r="F4604" s="6" t="s">
        <v>1244</v>
      </c>
      <c r="G4604" s="7">
        <v>0.4</v>
      </c>
      <c r="H4604" s="6" t="s">
        <v>10083</v>
      </c>
      <c r="I4604" s="6" t="s">
        <v>45</v>
      </c>
      <c r="J4604" s="6">
        <v>2023.0</v>
      </c>
      <c r="L4604" s="6">
        <v>4.0</v>
      </c>
      <c r="M4604" s="8">
        <f t="shared" si="4"/>
        <v>1.6</v>
      </c>
      <c r="P4604" s="9"/>
    </row>
    <row r="4605">
      <c r="A4605" s="6" t="s">
        <v>10059</v>
      </c>
      <c r="B4605" s="6" t="s">
        <v>2192</v>
      </c>
      <c r="C4605" s="6" t="s">
        <v>43</v>
      </c>
      <c r="D4605" s="6" t="s">
        <v>10060</v>
      </c>
      <c r="E4605" s="6" t="s">
        <v>248</v>
      </c>
      <c r="F4605" s="6" t="s">
        <v>77</v>
      </c>
      <c r="G4605" s="7">
        <v>0.05</v>
      </c>
      <c r="H4605" s="6" t="s">
        <v>211</v>
      </c>
      <c r="I4605" s="6" t="s">
        <v>20</v>
      </c>
      <c r="J4605" s="6">
        <v>2010.0</v>
      </c>
      <c r="K4605" s="10">
        <v>46055.0</v>
      </c>
      <c r="L4605" s="6">
        <v>1.0</v>
      </c>
      <c r="M4605" s="8">
        <f t="shared" si="4"/>
        <v>0.05</v>
      </c>
      <c r="P4605" s="9"/>
    </row>
    <row r="4606">
      <c r="A4606" s="6" t="s">
        <v>9646</v>
      </c>
      <c r="B4606" s="6" t="s">
        <v>2333</v>
      </c>
      <c r="C4606" s="6" t="s">
        <v>43</v>
      </c>
      <c r="D4606" s="6" t="s">
        <v>9647</v>
      </c>
      <c r="E4606" s="6" t="s">
        <v>248</v>
      </c>
      <c r="F4606" s="6" t="s">
        <v>77</v>
      </c>
      <c r="G4606" s="7">
        <v>0.06</v>
      </c>
      <c r="H4606" s="6" t="s">
        <v>496</v>
      </c>
      <c r="I4606" s="6" t="s">
        <v>20</v>
      </c>
      <c r="J4606" s="6">
        <v>2013.0</v>
      </c>
      <c r="K4606" s="10">
        <v>46055.0</v>
      </c>
      <c r="L4606" s="6">
        <v>1.0</v>
      </c>
      <c r="M4606" s="8">
        <f t="shared" si="4"/>
        <v>0.06</v>
      </c>
      <c r="P4606" s="9"/>
    </row>
    <row r="4607">
      <c r="A4607" s="6" t="s">
        <v>10084</v>
      </c>
      <c r="B4607" s="6" t="s">
        <v>3050</v>
      </c>
      <c r="C4607" s="6" t="s">
        <v>43</v>
      </c>
      <c r="D4607" s="6" t="s">
        <v>10085</v>
      </c>
      <c r="E4607" s="6" t="s">
        <v>248</v>
      </c>
      <c r="F4607" s="6" t="s">
        <v>77</v>
      </c>
      <c r="G4607" s="7">
        <v>0.08</v>
      </c>
      <c r="H4607" s="6" t="s">
        <v>3855</v>
      </c>
      <c r="I4607" s="6" t="s">
        <v>20</v>
      </c>
      <c r="J4607" s="6">
        <v>2007.0</v>
      </c>
      <c r="K4607" s="10">
        <v>46056.0</v>
      </c>
      <c r="L4607" s="6">
        <v>1.0</v>
      </c>
      <c r="M4607" s="8">
        <f t="shared" si="4"/>
        <v>0.08</v>
      </c>
      <c r="P4607" s="9"/>
    </row>
    <row r="4608">
      <c r="A4608" s="6" t="s">
        <v>10086</v>
      </c>
      <c r="B4608" s="6" t="s">
        <v>10087</v>
      </c>
      <c r="C4608" s="6" t="s">
        <v>37</v>
      </c>
      <c r="D4608" s="6" t="s">
        <v>10088</v>
      </c>
      <c r="E4608" s="6" t="s">
        <v>1917</v>
      </c>
      <c r="F4608" s="6" t="s">
        <v>77</v>
      </c>
      <c r="G4608" s="7">
        <v>0.1</v>
      </c>
      <c r="H4608" s="6" t="s">
        <v>3855</v>
      </c>
      <c r="I4608" s="6" t="s">
        <v>20</v>
      </c>
      <c r="J4608" s="6">
        <v>2007.0</v>
      </c>
      <c r="K4608" s="10">
        <v>46115.0</v>
      </c>
      <c r="L4608" s="6">
        <v>1.0</v>
      </c>
      <c r="M4608" s="8">
        <f t="shared" si="4"/>
        <v>0.1</v>
      </c>
      <c r="P4608" s="9"/>
    </row>
    <row r="4609">
      <c r="A4609" s="6" t="s">
        <v>10089</v>
      </c>
      <c r="B4609" s="6" t="s">
        <v>10090</v>
      </c>
      <c r="C4609" s="6" t="s">
        <v>43</v>
      </c>
      <c r="D4609" s="6" t="s">
        <v>10091</v>
      </c>
      <c r="E4609" s="6" t="s">
        <v>82</v>
      </c>
      <c r="F4609" s="6" t="s">
        <v>77</v>
      </c>
      <c r="G4609" s="7">
        <v>0.03</v>
      </c>
      <c r="H4609" s="6" t="s">
        <v>1511</v>
      </c>
      <c r="I4609" s="6" t="s">
        <v>20</v>
      </c>
      <c r="J4609" s="6">
        <v>2014.0</v>
      </c>
      <c r="K4609" s="10">
        <v>46084.0</v>
      </c>
      <c r="L4609" s="6">
        <v>1.0</v>
      </c>
      <c r="M4609" s="8">
        <f t="shared" si="4"/>
        <v>0.03</v>
      </c>
      <c r="P4609" s="9"/>
    </row>
    <row r="4610">
      <c r="A4610" s="6" t="s">
        <v>10092</v>
      </c>
      <c r="B4610" s="6" t="s">
        <v>331</v>
      </c>
      <c r="C4610" s="6" t="s">
        <v>43</v>
      </c>
      <c r="D4610" s="6" t="s">
        <v>10093</v>
      </c>
      <c r="E4610" s="6" t="s">
        <v>76</v>
      </c>
      <c r="F4610" s="6" t="s">
        <v>77</v>
      </c>
      <c r="G4610" s="7">
        <v>0.2</v>
      </c>
      <c r="H4610" s="6" t="s">
        <v>6398</v>
      </c>
      <c r="I4610" s="6" t="s">
        <v>20</v>
      </c>
      <c r="J4610" s="6">
        <v>2010.0</v>
      </c>
      <c r="K4610" s="10">
        <v>46023.0</v>
      </c>
      <c r="L4610" s="6">
        <v>1.0</v>
      </c>
      <c r="M4610" s="8">
        <f t="shared" si="4"/>
        <v>0.2</v>
      </c>
      <c r="P4610" s="9"/>
    </row>
    <row r="4611">
      <c r="A4611" s="6" t="s">
        <v>10094</v>
      </c>
      <c r="B4611" s="6" t="s">
        <v>331</v>
      </c>
      <c r="C4611" s="6" t="s">
        <v>43</v>
      </c>
      <c r="D4611" s="6" t="s">
        <v>10095</v>
      </c>
      <c r="E4611" s="6" t="s">
        <v>176</v>
      </c>
      <c r="F4611" s="6" t="s">
        <v>77</v>
      </c>
      <c r="G4611" s="7">
        <v>0.06</v>
      </c>
      <c r="H4611" s="6" t="s">
        <v>283</v>
      </c>
      <c r="I4611" s="6" t="s">
        <v>20</v>
      </c>
      <c r="J4611" s="6">
        <v>2013.0</v>
      </c>
      <c r="K4611" s="10">
        <v>46055.0</v>
      </c>
      <c r="L4611" s="6">
        <v>1.0</v>
      </c>
      <c r="M4611" s="8">
        <f t="shared" si="4"/>
        <v>0.06</v>
      </c>
      <c r="P4611" s="9"/>
    </row>
    <row r="4612">
      <c r="A4612" s="6" t="s">
        <v>10096</v>
      </c>
      <c r="B4612" s="6" t="s">
        <v>208</v>
      </c>
      <c r="C4612" s="6" t="s">
        <v>37</v>
      </c>
      <c r="D4612" s="6" t="s">
        <v>10097</v>
      </c>
      <c r="E4612" s="6" t="s">
        <v>248</v>
      </c>
      <c r="F4612" s="6" t="s">
        <v>77</v>
      </c>
      <c r="G4612" s="7">
        <v>0.05</v>
      </c>
      <c r="H4612" s="6" t="s">
        <v>283</v>
      </c>
      <c r="I4612" s="6" t="s">
        <v>20</v>
      </c>
      <c r="J4612" s="6">
        <v>2013.0</v>
      </c>
      <c r="K4612" s="10">
        <v>46083.0</v>
      </c>
      <c r="L4612" s="6">
        <v>1.0</v>
      </c>
      <c r="M4612" s="8">
        <f t="shared" si="4"/>
        <v>0.05</v>
      </c>
      <c r="P4612" s="9"/>
    </row>
    <row r="4613">
      <c r="A4613" s="6" t="s">
        <v>10098</v>
      </c>
      <c r="B4613" s="6" t="s">
        <v>685</v>
      </c>
      <c r="C4613" s="6" t="s">
        <v>37</v>
      </c>
      <c r="D4613" s="6" t="s">
        <v>10099</v>
      </c>
      <c r="E4613" s="6" t="s">
        <v>76</v>
      </c>
      <c r="F4613" s="6" t="s">
        <v>77</v>
      </c>
      <c r="G4613" s="7">
        <v>0.06</v>
      </c>
      <c r="H4613" s="6" t="s">
        <v>1148</v>
      </c>
      <c r="I4613" s="6" t="s">
        <v>20</v>
      </c>
      <c r="J4613" s="6">
        <v>2012.0</v>
      </c>
      <c r="K4613" s="10">
        <v>46023.0</v>
      </c>
      <c r="L4613" s="6">
        <v>1.0</v>
      </c>
      <c r="M4613" s="8">
        <f t="shared" si="4"/>
        <v>0.06</v>
      </c>
      <c r="P4613" s="9"/>
    </row>
    <row r="4614">
      <c r="A4614" s="6" t="s">
        <v>10100</v>
      </c>
      <c r="B4614" s="6" t="s">
        <v>74</v>
      </c>
      <c r="C4614" s="6" t="s">
        <v>43</v>
      </c>
      <c r="D4614" s="6" t="s">
        <v>10101</v>
      </c>
      <c r="E4614" s="6" t="s">
        <v>76</v>
      </c>
      <c r="F4614" s="6" t="s">
        <v>77</v>
      </c>
      <c r="G4614" s="7">
        <v>0.06</v>
      </c>
      <c r="H4614" s="6" t="s">
        <v>2157</v>
      </c>
      <c r="I4614" s="6" t="s">
        <v>20</v>
      </c>
      <c r="J4614" s="6">
        <v>2008.0</v>
      </c>
      <c r="L4614" s="6">
        <v>1.0</v>
      </c>
      <c r="M4614" s="8">
        <f t="shared" si="4"/>
        <v>0.06</v>
      </c>
      <c r="P4614" s="9"/>
    </row>
    <row r="4615">
      <c r="A4615" s="6" t="s">
        <v>10102</v>
      </c>
      <c r="B4615" s="6" t="s">
        <v>3592</v>
      </c>
      <c r="C4615" s="6" t="s">
        <v>43</v>
      </c>
      <c r="D4615" s="6" t="s">
        <v>10103</v>
      </c>
      <c r="E4615" s="6" t="s">
        <v>76</v>
      </c>
      <c r="F4615" s="6" t="s">
        <v>77</v>
      </c>
      <c r="G4615" s="7">
        <v>0.1</v>
      </c>
      <c r="H4615" s="6" t="s">
        <v>2157</v>
      </c>
      <c r="I4615" s="6" t="s">
        <v>20</v>
      </c>
      <c r="J4615" s="6">
        <v>2008.0</v>
      </c>
      <c r="K4615" s="10">
        <v>46023.0</v>
      </c>
      <c r="L4615" s="6">
        <v>1.0</v>
      </c>
      <c r="M4615" s="8">
        <f t="shared" si="4"/>
        <v>0.1</v>
      </c>
      <c r="P4615" s="9"/>
    </row>
    <row r="4616">
      <c r="A4616" s="6" t="s">
        <v>10104</v>
      </c>
      <c r="B4616" s="6" t="s">
        <v>3629</v>
      </c>
      <c r="C4616" s="6" t="s">
        <v>43</v>
      </c>
      <c r="D4616" s="6" t="s">
        <v>9008</v>
      </c>
      <c r="E4616" s="6" t="s">
        <v>76</v>
      </c>
      <c r="F4616" s="6" t="s">
        <v>77</v>
      </c>
      <c r="G4616" s="7">
        <v>0.15</v>
      </c>
      <c r="H4616" s="6" t="s">
        <v>65</v>
      </c>
      <c r="I4616" s="6" t="s">
        <v>20</v>
      </c>
      <c r="J4616" s="6">
        <v>2013.0</v>
      </c>
      <c r="K4616" s="10">
        <v>46054.0</v>
      </c>
      <c r="L4616" s="6">
        <v>1.0</v>
      </c>
      <c r="M4616" s="8">
        <f t="shared" si="4"/>
        <v>0.15</v>
      </c>
      <c r="P4616" s="9"/>
    </row>
    <row r="4617">
      <c r="A4617" s="6" t="s">
        <v>10105</v>
      </c>
      <c r="B4617" s="6" t="s">
        <v>3050</v>
      </c>
      <c r="C4617" s="6" t="s">
        <v>43</v>
      </c>
      <c r="D4617" s="6" t="s">
        <v>10106</v>
      </c>
      <c r="E4617" s="6" t="s">
        <v>117</v>
      </c>
      <c r="F4617" s="6" t="s">
        <v>77</v>
      </c>
      <c r="G4617" s="7">
        <v>0.06</v>
      </c>
      <c r="H4617" s="6" t="s">
        <v>3855</v>
      </c>
      <c r="I4617" s="6" t="s">
        <v>20</v>
      </c>
      <c r="J4617" s="6">
        <v>2007.0</v>
      </c>
      <c r="K4617" s="10">
        <v>46023.0</v>
      </c>
      <c r="L4617" s="6">
        <v>1.0</v>
      </c>
      <c r="M4617" s="8">
        <f t="shared" si="4"/>
        <v>0.06</v>
      </c>
      <c r="P4617" s="9"/>
    </row>
    <row r="4618">
      <c r="A4618" s="6" t="s">
        <v>10107</v>
      </c>
      <c r="B4618" s="6" t="s">
        <v>387</v>
      </c>
      <c r="C4618" s="6" t="s">
        <v>43</v>
      </c>
      <c r="D4618" s="6" t="s">
        <v>10108</v>
      </c>
      <c r="E4618" s="6" t="s">
        <v>76</v>
      </c>
      <c r="F4618" s="6" t="s">
        <v>77</v>
      </c>
      <c r="G4618" s="7">
        <v>0.03</v>
      </c>
      <c r="H4618" s="6" t="s">
        <v>1511</v>
      </c>
      <c r="I4618" s="6" t="s">
        <v>20</v>
      </c>
      <c r="J4618" s="6">
        <v>2014.0</v>
      </c>
      <c r="K4618" s="10">
        <v>46055.0</v>
      </c>
      <c r="L4618" s="6">
        <v>1.0</v>
      </c>
      <c r="M4618" s="8">
        <f t="shared" si="4"/>
        <v>0.03</v>
      </c>
      <c r="P4618" s="9"/>
    </row>
    <row r="4619">
      <c r="A4619" s="6" t="s">
        <v>10109</v>
      </c>
      <c r="B4619" s="6" t="s">
        <v>10110</v>
      </c>
      <c r="C4619" s="6" t="s">
        <v>43</v>
      </c>
      <c r="E4619" s="6" t="s">
        <v>248</v>
      </c>
      <c r="F4619" s="6" t="s">
        <v>77</v>
      </c>
      <c r="G4619" s="7">
        <v>0.06</v>
      </c>
      <c r="H4619" s="6" t="s">
        <v>9124</v>
      </c>
      <c r="I4619" s="6" t="s">
        <v>20</v>
      </c>
      <c r="J4619" s="6">
        <v>2007.0</v>
      </c>
      <c r="K4619" s="10">
        <v>46027.0</v>
      </c>
      <c r="L4619" s="6">
        <v>1.0</v>
      </c>
      <c r="M4619" s="8">
        <f t="shared" si="4"/>
        <v>0.06</v>
      </c>
      <c r="P4619" s="9"/>
    </row>
    <row r="4620">
      <c r="A4620" s="6" t="s">
        <v>10111</v>
      </c>
      <c r="B4620" s="6" t="s">
        <v>10112</v>
      </c>
      <c r="C4620" s="6" t="s">
        <v>37</v>
      </c>
      <c r="D4620" s="6" t="s">
        <v>10113</v>
      </c>
      <c r="E4620" s="6" t="s">
        <v>76</v>
      </c>
      <c r="F4620" s="6" t="s">
        <v>77</v>
      </c>
      <c r="G4620" s="7">
        <v>0.29</v>
      </c>
      <c r="H4620" s="6" t="s">
        <v>3855</v>
      </c>
      <c r="I4620" s="6" t="s">
        <v>20</v>
      </c>
      <c r="J4620" s="6">
        <v>2007.0</v>
      </c>
      <c r="K4620" s="10">
        <v>46023.0</v>
      </c>
      <c r="L4620" s="6">
        <v>1.0</v>
      </c>
      <c r="M4620" s="8">
        <f t="shared" si="4"/>
        <v>0.29</v>
      </c>
      <c r="P4620" s="9"/>
    </row>
    <row r="4621">
      <c r="A4621" s="6" t="s">
        <v>10114</v>
      </c>
      <c r="B4621" s="6" t="s">
        <v>703</v>
      </c>
      <c r="C4621" s="6" t="s">
        <v>43</v>
      </c>
      <c r="D4621" s="6" t="s">
        <v>10115</v>
      </c>
      <c r="E4621" s="6" t="s">
        <v>76</v>
      </c>
      <c r="F4621" s="6" t="s">
        <v>77</v>
      </c>
      <c r="G4621" s="7">
        <v>0.15</v>
      </c>
      <c r="H4621" s="6" t="s">
        <v>3855</v>
      </c>
      <c r="I4621" s="6" t="s">
        <v>20</v>
      </c>
      <c r="J4621" s="6">
        <v>2007.0</v>
      </c>
      <c r="K4621" s="10">
        <v>46023.0</v>
      </c>
      <c r="L4621" s="6">
        <v>1.0</v>
      </c>
      <c r="M4621" s="8">
        <f t="shared" si="4"/>
        <v>0.15</v>
      </c>
      <c r="P4621" s="9"/>
    </row>
    <row r="4622">
      <c r="A4622" s="6" t="s">
        <v>10116</v>
      </c>
      <c r="B4622" s="6" t="s">
        <v>854</v>
      </c>
      <c r="C4622" s="6" t="s">
        <v>43</v>
      </c>
      <c r="D4622" s="6" t="s">
        <v>10117</v>
      </c>
      <c r="E4622" s="6" t="s">
        <v>891</v>
      </c>
      <c r="F4622" s="6" t="s">
        <v>77</v>
      </c>
      <c r="G4622" s="7">
        <v>0.02</v>
      </c>
      <c r="H4622" s="6" t="s">
        <v>3038</v>
      </c>
      <c r="I4622" s="6" t="s">
        <v>20</v>
      </c>
      <c r="J4622" s="6">
        <v>2006.0</v>
      </c>
      <c r="K4622" s="10">
        <v>46085.0</v>
      </c>
      <c r="L4622" s="6">
        <v>1.0</v>
      </c>
      <c r="M4622" s="8">
        <f t="shared" si="4"/>
        <v>0.02</v>
      </c>
      <c r="P4622" s="9"/>
    </row>
    <row r="4623">
      <c r="A4623" s="6" t="s">
        <v>10118</v>
      </c>
      <c r="B4623" s="6" t="s">
        <v>2192</v>
      </c>
      <c r="C4623" s="6" t="s">
        <v>43</v>
      </c>
      <c r="E4623" s="6" t="s">
        <v>76</v>
      </c>
      <c r="F4623" s="6" t="s">
        <v>77</v>
      </c>
      <c r="G4623" s="7">
        <v>0.06</v>
      </c>
      <c r="H4623" s="6" t="s">
        <v>687</v>
      </c>
      <c r="I4623" s="6" t="s">
        <v>20</v>
      </c>
      <c r="J4623" s="6">
        <v>2011.0</v>
      </c>
      <c r="K4623" s="10">
        <v>46055.0</v>
      </c>
      <c r="L4623" s="6">
        <v>1.0</v>
      </c>
      <c r="M4623" s="8">
        <f t="shared" si="4"/>
        <v>0.06</v>
      </c>
      <c r="P4623" s="9"/>
    </row>
    <row r="4624">
      <c r="A4624" s="6" t="s">
        <v>10119</v>
      </c>
      <c r="B4624" s="6" t="s">
        <v>2192</v>
      </c>
      <c r="C4624" s="6" t="s">
        <v>43</v>
      </c>
      <c r="D4624" s="6" t="s">
        <v>10120</v>
      </c>
      <c r="E4624" s="6" t="s">
        <v>1027</v>
      </c>
      <c r="F4624" s="6" t="s">
        <v>77</v>
      </c>
      <c r="G4624" s="7">
        <v>0.09</v>
      </c>
      <c r="H4624" s="6" t="s">
        <v>9124</v>
      </c>
      <c r="I4624" s="6" t="s">
        <v>45</v>
      </c>
      <c r="J4624" s="6">
        <v>2007.0</v>
      </c>
      <c r="K4624" s="10">
        <v>46055.0</v>
      </c>
      <c r="L4624" s="6">
        <v>1.0</v>
      </c>
      <c r="M4624" s="8">
        <f t="shared" si="4"/>
        <v>0.09</v>
      </c>
      <c r="P4624" s="9"/>
    </row>
    <row r="4625">
      <c r="A4625" s="6" t="s">
        <v>10121</v>
      </c>
      <c r="B4625" s="6" t="s">
        <v>4013</v>
      </c>
      <c r="C4625" s="6" t="s">
        <v>37</v>
      </c>
      <c r="D4625" s="6" t="s">
        <v>10122</v>
      </c>
      <c r="E4625" s="6" t="s">
        <v>76</v>
      </c>
      <c r="F4625" s="6" t="s">
        <v>77</v>
      </c>
      <c r="G4625" s="7">
        <v>0.05</v>
      </c>
      <c r="H4625" s="6" t="s">
        <v>3124</v>
      </c>
      <c r="I4625" s="6" t="s">
        <v>20</v>
      </c>
      <c r="J4625" s="6">
        <v>2010.0</v>
      </c>
      <c r="K4625" s="10">
        <v>46024.0</v>
      </c>
      <c r="L4625" s="6">
        <v>1.0</v>
      </c>
      <c r="M4625" s="8">
        <f t="shared" si="4"/>
        <v>0.05</v>
      </c>
      <c r="P4625" s="9"/>
    </row>
    <row r="4626">
      <c r="A4626" s="6" t="s">
        <v>10123</v>
      </c>
      <c r="B4626" s="6" t="s">
        <v>1875</v>
      </c>
      <c r="C4626" s="6" t="s">
        <v>37</v>
      </c>
      <c r="D4626" s="6" t="s">
        <v>10124</v>
      </c>
      <c r="E4626" s="6" t="s">
        <v>76</v>
      </c>
      <c r="F4626" s="6" t="s">
        <v>77</v>
      </c>
      <c r="G4626" s="7">
        <v>0.04</v>
      </c>
      <c r="H4626" s="6" t="s">
        <v>586</v>
      </c>
      <c r="I4626" s="6" t="s">
        <v>20</v>
      </c>
      <c r="J4626" s="6">
        <v>2012.0</v>
      </c>
      <c r="K4626" s="10">
        <v>46055.0</v>
      </c>
      <c r="L4626" s="6">
        <v>1.0</v>
      </c>
      <c r="M4626" s="8">
        <f t="shared" si="4"/>
        <v>0.04</v>
      </c>
      <c r="P4626" s="9"/>
    </row>
    <row r="4627">
      <c r="A4627" s="6" t="s">
        <v>10125</v>
      </c>
      <c r="B4627" s="6" t="s">
        <v>1002</v>
      </c>
      <c r="C4627" s="6" t="s">
        <v>37</v>
      </c>
      <c r="D4627" s="6" t="s">
        <v>10126</v>
      </c>
      <c r="E4627" s="6" t="s">
        <v>1093</v>
      </c>
      <c r="F4627" s="6" t="s">
        <v>77</v>
      </c>
      <c r="G4627" s="7">
        <v>0.06</v>
      </c>
      <c r="H4627" s="6" t="s">
        <v>65</v>
      </c>
      <c r="I4627" s="6" t="s">
        <v>20</v>
      </c>
      <c r="J4627" s="6">
        <v>2013.0</v>
      </c>
      <c r="K4627" s="10">
        <v>46084.0</v>
      </c>
      <c r="L4627" s="6">
        <v>1.0</v>
      </c>
      <c r="M4627" s="8">
        <f t="shared" si="4"/>
        <v>0.06</v>
      </c>
      <c r="P4627" s="9"/>
    </row>
    <row r="4628">
      <c r="A4628" s="6" t="s">
        <v>10127</v>
      </c>
      <c r="B4628" s="6" t="s">
        <v>3664</v>
      </c>
      <c r="C4628" s="6" t="s">
        <v>37</v>
      </c>
      <c r="D4628" s="6" t="s">
        <v>10128</v>
      </c>
      <c r="E4628" s="6" t="s">
        <v>3738</v>
      </c>
      <c r="F4628" s="6" t="s">
        <v>536</v>
      </c>
      <c r="G4628" s="7">
        <v>0.06</v>
      </c>
      <c r="H4628" s="6" t="s">
        <v>1048</v>
      </c>
      <c r="I4628" s="6" t="s">
        <v>20</v>
      </c>
      <c r="J4628" s="6">
        <v>2008.0</v>
      </c>
      <c r="K4628" s="10">
        <v>46055.0</v>
      </c>
      <c r="L4628" s="6">
        <v>1.0</v>
      </c>
      <c r="M4628" s="8">
        <f t="shared" si="4"/>
        <v>0.06</v>
      </c>
      <c r="P4628" s="9"/>
    </row>
    <row r="4629">
      <c r="A4629" s="6" t="s">
        <v>10129</v>
      </c>
      <c r="B4629" s="6" t="s">
        <v>74</v>
      </c>
      <c r="C4629" s="6" t="s">
        <v>37</v>
      </c>
      <c r="D4629" s="6" t="s">
        <v>10130</v>
      </c>
      <c r="E4629" s="6" t="s">
        <v>6426</v>
      </c>
      <c r="F4629" s="6" t="s">
        <v>1244</v>
      </c>
      <c r="G4629" s="7">
        <v>0.79</v>
      </c>
      <c r="H4629" s="6" t="s">
        <v>1048</v>
      </c>
      <c r="I4629" s="6" t="s">
        <v>20</v>
      </c>
      <c r="J4629" s="6">
        <v>2008.0</v>
      </c>
      <c r="L4629" s="6">
        <v>3.0</v>
      </c>
      <c r="M4629" s="8">
        <f t="shared" si="4"/>
        <v>2.37</v>
      </c>
      <c r="P4629" s="9"/>
    </row>
    <row r="4630">
      <c r="A4630" s="6" t="s">
        <v>10131</v>
      </c>
      <c r="B4630" s="6" t="s">
        <v>3050</v>
      </c>
      <c r="C4630" s="6" t="s">
        <v>43</v>
      </c>
      <c r="D4630" s="6" t="s">
        <v>10132</v>
      </c>
      <c r="E4630" s="6" t="s">
        <v>10133</v>
      </c>
      <c r="F4630" s="6" t="s">
        <v>636</v>
      </c>
      <c r="G4630" s="7">
        <v>0.06</v>
      </c>
      <c r="H4630" s="6" t="s">
        <v>1048</v>
      </c>
      <c r="I4630" s="6" t="s">
        <v>20</v>
      </c>
      <c r="J4630" s="6">
        <v>2008.0</v>
      </c>
      <c r="K4630" s="10">
        <v>46084.0</v>
      </c>
      <c r="L4630" s="6">
        <v>2.0</v>
      </c>
      <c r="M4630" s="8">
        <f t="shared" si="4"/>
        <v>0.12</v>
      </c>
      <c r="P4630" s="9"/>
    </row>
    <row r="4631">
      <c r="A4631" s="6" t="s">
        <v>10134</v>
      </c>
      <c r="B4631" s="6" t="s">
        <v>10135</v>
      </c>
      <c r="C4631" s="6" t="s">
        <v>43</v>
      </c>
      <c r="D4631" s="6" t="s">
        <v>10136</v>
      </c>
      <c r="E4631" s="6" t="s">
        <v>3172</v>
      </c>
      <c r="F4631" s="6" t="s">
        <v>636</v>
      </c>
      <c r="G4631" s="7">
        <v>0.06</v>
      </c>
      <c r="H4631" s="6" t="s">
        <v>1048</v>
      </c>
      <c r="I4631" s="6" t="s">
        <v>20</v>
      </c>
      <c r="J4631" s="6">
        <v>2008.0</v>
      </c>
      <c r="K4631" s="10">
        <v>46083.0</v>
      </c>
      <c r="L4631" s="6">
        <v>2.0</v>
      </c>
      <c r="M4631" s="8">
        <f t="shared" si="4"/>
        <v>0.12</v>
      </c>
      <c r="P4631" s="9"/>
    </row>
    <row r="4632">
      <c r="A4632" s="6" t="s">
        <v>10137</v>
      </c>
      <c r="B4632" s="6" t="s">
        <v>2568</v>
      </c>
      <c r="C4632" s="6" t="s">
        <v>43</v>
      </c>
      <c r="D4632" s="6" t="s">
        <v>10138</v>
      </c>
      <c r="E4632" s="6" t="s">
        <v>880</v>
      </c>
      <c r="F4632" s="6" t="s">
        <v>636</v>
      </c>
      <c r="G4632" s="7">
        <v>0.07</v>
      </c>
      <c r="H4632" s="6" t="s">
        <v>4785</v>
      </c>
      <c r="I4632" s="6" t="s">
        <v>20</v>
      </c>
      <c r="J4632" s="6">
        <v>2013.0</v>
      </c>
      <c r="K4632" s="10">
        <v>46023.0</v>
      </c>
      <c r="L4632" s="6">
        <v>3.0</v>
      </c>
      <c r="M4632" s="8">
        <f t="shared" si="4"/>
        <v>0.21</v>
      </c>
      <c r="P4632" s="9"/>
    </row>
    <row r="4633">
      <c r="A4633" s="6" t="s">
        <v>10139</v>
      </c>
      <c r="B4633" s="6" t="s">
        <v>6909</v>
      </c>
      <c r="C4633" s="6" t="s">
        <v>37</v>
      </c>
      <c r="D4633" s="6" t="s">
        <v>10140</v>
      </c>
      <c r="E4633" s="6" t="s">
        <v>3147</v>
      </c>
      <c r="F4633" s="6" t="s">
        <v>977</v>
      </c>
      <c r="G4633" s="7">
        <v>0.05</v>
      </c>
      <c r="H4633" s="6" t="s">
        <v>496</v>
      </c>
      <c r="I4633" s="6" t="s">
        <v>20</v>
      </c>
      <c r="J4633" s="6">
        <v>2013.0</v>
      </c>
      <c r="K4633" s="10">
        <v>46056.0</v>
      </c>
      <c r="L4633" s="6">
        <v>4.0</v>
      </c>
      <c r="M4633" s="8">
        <f t="shared" si="4"/>
        <v>0.2</v>
      </c>
      <c r="P4633" s="9"/>
    </row>
    <row r="4634">
      <c r="A4634" s="6" t="s">
        <v>10141</v>
      </c>
      <c r="B4634" s="6" t="s">
        <v>162</v>
      </c>
      <c r="C4634" s="6" t="s">
        <v>37</v>
      </c>
      <c r="D4634" s="6" t="s">
        <v>10142</v>
      </c>
      <c r="E4634" s="6" t="s">
        <v>10143</v>
      </c>
      <c r="F4634" s="6" t="s">
        <v>636</v>
      </c>
      <c r="G4634" s="7">
        <v>0.15</v>
      </c>
      <c r="H4634" s="6" t="s">
        <v>1048</v>
      </c>
      <c r="I4634" s="6" t="s">
        <v>20</v>
      </c>
      <c r="J4634" s="6">
        <v>2008.0</v>
      </c>
      <c r="L4634" s="6">
        <v>2.0</v>
      </c>
      <c r="M4634" s="8">
        <f t="shared" si="4"/>
        <v>0.3</v>
      </c>
      <c r="P4634" s="9"/>
    </row>
    <row r="4635">
      <c r="A4635" s="6" t="s">
        <v>10144</v>
      </c>
      <c r="B4635" s="6" t="s">
        <v>1455</v>
      </c>
      <c r="C4635" s="6" t="s">
        <v>37</v>
      </c>
      <c r="D4635" s="6" t="s">
        <v>10145</v>
      </c>
      <c r="E4635" s="6" t="s">
        <v>3602</v>
      </c>
      <c r="F4635" s="6" t="s">
        <v>636</v>
      </c>
      <c r="G4635" s="7">
        <v>0.05</v>
      </c>
      <c r="H4635" s="6" t="s">
        <v>1511</v>
      </c>
      <c r="I4635" s="6" t="s">
        <v>20</v>
      </c>
      <c r="J4635" s="6">
        <v>2014.0</v>
      </c>
      <c r="K4635" s="10">
        <v>46084.0</v>
      </c>
      <c r="L4635" s="6">
        <v>1.0</v>
      </c>
      <c r="M4635" s="8">
        <f t="shared" si="4"/>
        <v>0.05</v>
      </c>
      <c r="P4635" s="9"/>
    </row>
    <row r="4636">
      <c r="A4636" s="6" t="s">
        <v>10146</v>
      </c>
      <c r="B4636" s="6" t="s">
        <v>556</v>
      </c>
      <c r="C4636" s="6" t="s">
        <v>37</v>
      </c>
      <c r="D4636" s="6" t="s">
        <v>10147</v>
      </c>
      <c r="E4636" s="6" t="s">
        <v>1117</v>
      </c>
      <c r="F4636" s="6" t="s">
        <v>1118</v>
      </c>
      <c r="G4636" s="7">
        <v>0.06</v>
      </c>
      <c r="H4636" s="6" t="s">
        <v>586</v>
      </c>
      <c r="I4636" s="6" t="s">
        <v>20</v>
      </c>
      <c r="J4636" s="6">
        <v>2012.0</v>
      </c>
      <c r="K4636" s="10">
        <v>46055.0</v>
      </c>
      <c r="L4636" s="6">
        <v>1.0</v>
      </c>
      <c r="M4636" s="8">
        <f t="shared" si="4"/>
        <v>0.06</v>
      </c>
      <c r="P4636" s="9"/>
    </row>
    <row r="4637">
      <c r="A4637" s="6" t="s">
        <v>10148</v>
      </c>
      <c r="B4637" s="6" t="s">
        <v>10090</v>
      </c>
      <c r="C4637" s="6" t="s">
        <v>37</v>
      </c>
      <c r="D4637" s="6" t="s">
        <v>10149</v>
      </c>
      <c r="E4637" s="6" t="s">
        <v>4430</v>
      </c>
      <c r="F4637" s="6" t="s">
        <v>1118</v>
      </c>
      <c r="G4637" s="7">
        <v>0.15</v>
      </c>
      <c r="H4637" s="6" t="s">
        <v>1511</v>
      </c>
      <c r="I4637" s="6" t="s">
        <v>20</v>
      </c>
      <c r="J4637" s="6">
        <v>2014.0</v>
      </c>
      <c r="K4637" s="10">
        <v>46083.0</v>
      </c>
      <c r="L4637" s="6">
        <v>1.0</v>
      </c>
      <c r="M4637" s="8">
        <f t="shared" si="4"/>
        <v>0.15</v>
      </c>
      <c r="P4637" s="9"/>
    </row>
    <row r="4638">
      <c r="A4638" s="6" t="s">
        <v>10150</v>
      </c>
      <c r="B4638" s="6" t="s">
        <v>208</v>
      </c>
      <c r="C4638" s="6" t="s">
        <v>37</v>
      </c>
      <c r="D4638" s="6" t="s">
        <v>10151</v>
      </c>
      <c r="E4638" s="6" t="s">
        <v>2201</v>
      </c>
      <c r="F4638" s="6" t="s">
        <v>536</v>
      </c>
      <c r="G4638" s="7">
        <v>1.55</v>
      </c>
      <c r="H4638" s="6" t="s">
        <v>65</v>
      </c>
      <c r="I4638" s="6" t="s">
        <v>20</v>
      </c>
      <c r="J4638" s="6">
        <v>2013.0</v>
      </c>
      <c r="K4638" s="10">
        <v>46055.0</v>
      </c>
      <c r="L4638" s="6">
        <v>1.0</v>
      </c>
      <c r="M4638" s="8">
        <f t="shared" si="4"/>
        <v>1.55</v>
      </c>
      <c r="N4638" s="6" t="s">
        <v>122</v>
      </c>
      <c r="P4638" s="9"/>
    </row>
    <row r="4639">
      <c r="A4639" s="6" t="s">
        <v>10152</v>
      </c>
      <c r="B4639" s="6" t="s">
        <v>10153</v>
      </c>
      <c r="C4639" s="6" t="s">
        <v>37</v>
      </c>
      <c r="D4639" s="6" t="s">
        <v>10154</v>
      </c>
      <c r="E4639" s="6" t="s">
        <v>1939</v>
      </c>
      <c r="F4639" s="6" t="s">
        <v>977</v>
      </c>
      <c r="G4639" s="7">
        <v>0.19</v>
      </c>
      <c r="H4639" s="6" t="s">
        <v>1511</v>
      </c>
      <c r="I4639" s="6" t="s">
        <v>20</v>
      </c>
      <c r="J4639" s="6">
        <v>2014.0</v>
      </c>
      <c r="K4639" s="10">
        <v>46055.0</v>
      </c>
      <c r="L4639" s="6">
        <v>1.0</v>
      </c>
      <c r="M4639" s="8">
        <f t="shared" si="4"/>
        <v>0.19</v>
      </c>
      <c r="P4639" s="9"/>
    </row>
    <row r="4640">
      <c r="A4640" s="6" t="s">
        <v>10155</v>
      </c>
      <c r="B4640" s="6" t="s">
        <v>162</v>
      </c>
      <c r="C4640" s="6" t="s">
        <v>37</v>
      </c>
      <c r="D4640" s="6" t="s">
        <v>10156</v>
      </c>
      <c r="E4640" s="6" t="s">
        <v>3084</v>
      </c>
      <c r="F4640" s="6" t="s">
        <v>1244</v>
      </c>
      <c r="G4640" s="7">
        <v>0.06</v>
      </c>
      <c r="H4640" s="6" t="s">
        <v>1300</v>
      </c>
      <c r="I4640" s="6" t="s">
        <v>20</v>
      </c>
      <c r="J4640" s="6">
        <v>2021.0</v>
      </c>
      <c r="L4640" s="6">
        <v>1.0</v>
      </c>
      <c r="M4640" s="8">
        <f t="shared" si="4"/>
        <v>0.06</v>
      </c>
      <c r="P4640" s="9"/>
    </row>
    <row r="4641">
      <c r="A4641" s="6" t="s">
        <v>10157</v>
      </c>
      <c r="B4641" s="6" t="s">
        <v>3566</v>
      </c>
      <c r="C4641" s="6" t="s">
        <v>37</v>
      </c>
      <c r="D4641" s="6" t="s">
        <v>10158</v>
      </c>
      <c r="E4641" s="6" t="s">
        <v>10159</v>
      </c>
      <c r="F4641" s="6" t="s">
        <v>1118</v>
      </c>
      <c r="G4641" s="7">
        <v>0.06</v>
      </c>
      <c r="H4641" s="6" t="s">
        <v>586</v>
      </c>
      <c r="I4641" s="6" t="s">
        <v>20</v>
      </c>
      <c r="J4641" s="6">
        <v>2012.0</v>
      </c>
      <c r="K4641" s="10">
        <v>46025.0</v>
      </c>
      <c r="L4641" s="6">
        <v>1.0</v>
      </c>
      <c r="M4641" s="8">
        <f t="shared" si="4"/>
        <v>0.06</v>
      </c>
      <c r="P4641" s="9"/>
    </row>
    <row r="4642">
      <c r="A4642" s="6" t="s">
        <v>10160</v>
      </c>
      <c r="B4642" s="6" t="s">
        <v>10161</v>
      </c>
      <c r="C4642" s="6" t="s">
        <v>30</v>
      </c>
      <c r="D4642" s="6" t="s">
        <v>10162</v>
      </c>
      <c r="E4642" s="6" t="s">
        <v>1343</v>
      </c>
      <c r="F4642" s="6" t="s">
        <v>1244</v>
      </c>
      <c r="G4642" s="7">
        <v>0.99</v>
      </c>
      <c r="H4642" s="6" t="s">
        <v>1161</v>
      </c>
      <c r="I4642" s="6" t="s">
        <v>20</v>
      </c>
      <c r="J4642" s="6">
        <v>2005.0</v>
      </c>
      <c r="K4642" s="10">
        <v>46115.0</v>
      </c>
      <c r="L4642" s="6">
        <v>1.0</v>
      </c>
      <c r="M4642" s="8">
        <f t="shared" si="4"/>
        <v>0.99</v>
      </c>
      <c r="P4642" s="9"/>
    </row>
    <row r="4643">
      <c r="A4643" s="6" t="s">
        <v>10163</v>
      </c>
      <c r="B4643" s="6" t="s">
        <v>3050</v>
      </c>
      <c r="C4643" s="6" t="s">
        <v>43</v>
      </c>
      <c r="D4643" s="6" t="s">
        <v>6476</v>
      </c>
      <c r="E4643" s="6" t="s">
        <v>10143</v>
      </c>
      <c r="F4643" s="6" t="s">
        <v>636</v>
      </c>
      <c r="G4643" s="7">
        <v>0.1</v>
      </c>
      <c r="H4643" s="6" t="s">
        <v>1048</v>
      </c>
      <c r="I4643" s="6" t="s">
        <v>20</v>
      </c>
      <c r="J4643" s="6">
        <v>2008.0</v>
      </c>
      <c r="K4643" s="10">
        <v>46023.0</v>
      </c>
      <c r="L4643" s="6">
        <v>1.0</v>
      </c>
      <c r="M4643" s="8">
        <f t="shared" si="4"/>
        <v>0.1</v>
      </c>
      <c r="P4643" s="9"/>
    </row>
    <row r="4644">
      <c r="A4644" s="6" t="s">
        <v>10164</v>
      </c>
      <c r="B4644" s="6" t="s">
        <v>10165</v>
      </c>
      <c r="C4644" s="6" t="s">
        <v>43</v>
      </c>
      <c r="E4644" s="6" t="s">
        <v>10166</v>
      </c>
      <c r="F4644" s="6" t="s">
        <v>1244</v>
      </c>
      <c r="G4644" s="7">
        <v>0.06</v>
      </c>
      <c r="H4644" s="6" t="s">
        <v>1048</v>
      </c>
      <c r="I4644" s="6" t="s">
        <v>20</v>
      </c>
      <c r="J4644" s="6">
        <v>2008.0</v>
      </c>
      <c r="K4644" s="10">
        <v>46176.0</v>
      </c>
      <c r="L4644" s="6">
        <v>1.0</v>
      </c>
      <c r="M4644" s="8">
        <f t="shared" si="4"/>
        <v>0.06</v>
      </c>
      <c r="P4644" s="9"/>
    </row>
    <row r="4645">
      <c r="A4645" s="6" t="s">
        <v>10167</v>
      </c>
      <c r="B4645" s="6" t="s">
        <v>3328</v>
      </c>
      <c r="C4645" s="6" t="s">
        <v>43</v>
      </c>
      <c r="D4645" s="6" t="s">
        <v>10168</v>
      </c>
      <c r="E4645" s="6" t="s">
        <v>10169</v>
      </c>
      <c r="F4645" s="6" t="s">
        <v>1244</v>
      </c>
      <c r="G4645" s="7">
        <v>0.14</v>
      </c>
      <c r="H4645" s="6" t="s">
        <v>1048</v>
      </c>
      <c r="I4645" s="6" t="s">
        <v>20</v>
      </c>
      <c r="J4645" s="6">
        <v>2008.0</v>
      </c>
      <c r="K4645" s="10">
        <v>46023.0</v>
      </c>
      <c r="L4645" s="6">
        <v>1.0</v>
      </c>
      <c r="M4645" s="8">
        <f t="shared" si="4"/>
        <v>0.14</v>
      </c>
      <c r="P4645" s="9"/>
    </row>
    <row r="4646">
      <c r="A4646" s="6" t="s">
        <v>10170</v>
      </c>
      <c r="B4646" s="6" t="s">
        <v>3328</v>
      </c>
      <c r="C4646" s="6" t="s">
        <v>37</v>
      </c>
      <c r="D4646" s="6" t="s">
        <v>10171</v>
      </c>
      <c r="E4646" s="6" t="s">
        <v>10169</v>
      </c>
      <c r="F4646" s="6" t="s">
        <v>1244</v>
      </c>
      <c r="G4646" s="7">
        <v>0.3</v>
      </c>
      <c r="H4646" s="6" t="s">
        <v>1048</v>
      </c>
      <c r="I4646" s="6" t="s">
        <v>20</v>
      </c>
      <c r="J4646" s="6">
        <v>2008.0</v>
      </c>
      <c r="K4646" s="10">
        <v>46023.0</v>
      </c>
      <c r="L4646" s="6">
        <v>1.0</v>
      </c>
      <c r="M4646" s="8">
        <f t="shared" si="4"/>
        <v>0.3</v>
      </c>
      <c r="P4646" s="9"/>
    </row>
    <row r="4647">
      <c r="A4647" s="6" t="s">
        <v>10172</v>
      </c>
      <c r="B4647" s="6" t="s">
        <v>494</v>
      </c>
      <c r="C4647" s="6" t="s">
        <v>43</v>
      </c>
      <c r="D4647" s="6" t="s">
        <v>10173</v>
      </c>
      <c r="E4647" s="6" t="s">
        <v>10174</v>
      </c>
      <c r="F4647" s="6" t="s">
        <v>636</v>
      </c>
      <c r="G4647" s="7">
        <v>0.15</v>
      </c>
      <c r="H4647" s="6" t="s">
        <v>1048</v>
      </c>
      <c r="I4647" s="6" t="s">
        <v>20</v>
      </c>
      <c r="J4647" s="6">
        <v>2008.0</v>
      </c>
      <c r="L4647" s="6">
        <v>1.0</v>
      </c>
      <c r="M4647" s="8">
        <f t="shared" si="4"/>
        <v>0.15</v>
      </c>
      <c r="P4647" s="9"/>
    </row>
    <row r="4648">
      <c r="A4648" s="6" t="s">
        <v>10175</v>
      </c>
      <c r="B4648" s="6" t="s">
        <v>2155</v>
      </c>
      <c r="C4648" s="6" t="s">
        <v>43</v>
      </c>
      <c r="D4648" s="6" t="s">
        <v>10176</v>
      </c>
      <c r="E4648" s="6" t="s">
        <v>10177</v>
      </c>
      <c r="F4648" s="6" t="s">
        <v>519</v>
      </c>
      <c r="G4648" s="7">
        <v>0.13</v>
      </c>
      <c r="H4648" s="6" t="s">
        <v>1048</v>
      </c>
      <c r="I4648" s="6" t="s">
        <v>20</v>
      </c>
      <c r="J4648" s="6">
        <v>2008.0</v>
      </c>
      <c r="K4648" s="10">
        <v>46082.0</v>
      </c>
      <c r="L4648" s="6">
        <v>1.0</v>
      </c>
      <c r="M4648" s="8">
        <f t="shared" si="4"/>
        <v>0.13</v>
      </c>
      <c r="P4648" s="9"/>
    </row>
    <row r="4649">
      <c r="A4649" s="6" t="s">
        <v>10178</v>
      </c>
      <c r="B4649" s="6" t="s">
        <v>162</v>
      </c>
      <c r="C4649" s="6" t="s">
        <v>37</v>
      </c>
      <c r="D4649" s="6" t="s">
        <v>10179</v>
      </c>
      <c r="E4649" s="6" t="s">
        <v>10180</v>
      </c>
      <c r="F4649" s="6" t="s">
        <v>636</v>
      </c>
      <c r="G4649" s="7">
        <v>0.08</v>
      </c>
      <c r="H4649" s="6" t="s">
        <v>65</v>
      </c>
      <c r="I4649" s="6" t="s">
        <v>20</v>
      </c>
      <c r="J4649" s="6">
        <v>2013.0</v>
      </c>
      <c r="L4649" s="6">
        <v>1.0</v>
      </c>
      <c r="M4649" s="8">
        <f t="shared" si="4"/>
        <v>0.08</v>
      </c>
      <c r="P4649" s="9"/>
    </row>
    <row r="4650">
      <c r="A4650" s="6" t="s">
        <v>10181</v>
      </c>
      <c r="B4650" s="6" t="s">
        <v>3566</v>
      </c>
      <c r="C4650" s="6" t="s">
        <v>37</v>
      </c>
      <c r="D4650" s="6" t="s">
        <v>10182</v>
      </c>
      <c r="E4650" s="6" t="s">
        <v>8401</v>
      </c>
      <c r="F4650" s="6" t="s">
        <v>1118</v>
      </c>
      <c r="G4650" s="7">
        <v>0.08</v>
      </c>
      <c r="H4650" s="6" t="s">
        <v>4785</v>
      </c>
      <c r="I4650" s="6" t="s">
        <v>20</v>
      </c>
      <c r="J4650" s="6">
        <v>2013.0</v>
      </c>
      <c r="K4650" s="10">
        <v>46057.0</v>
      </c>
      <c r="L4650" s="6">
        <v>1.0</v>
      </c>
      <c r="M4650" s="8">
        <f t="shared" si="4"/>
        <v>0.08</v>
      </c>
      <c r="P4650" s="9"/>
    </row>
    <row r="4651">
      <c r="A4651" s="6" t="s">
        <v>10183</v>
      </c>
      <c r="B4651" s="6" t="s">
        <v>10184</v>
      </c>
      <c r="C4651" s="6" t="s">
        <v>30</v>
      </c>
      <c r="D4651" s="6" t="s">
        <v>10185</v>
      </c>
      <c r="E4651" s="6" t="s">
        <v>10186</v>
      </c>
      <c r="F4651" s="6" t="s">
        <v>1244</v>
      </c>
      <c r="G4651" s="7">
        <v>0.4</v>
      </c>
      <c r="H4651" s="6" t="s">
        <v>4785</v>
      </c>
      <c r="I4651" s="6" t="s">
        <v>20</v>
      </c>
      <c r="J4651" s="6">
        <v>2013.0</v>
      </c>
      <c r="K4651" s="10">
        <v>46208.0</v>
      </c>
      <c r="L4651" s="6">
        <v>1.0</v>
      </c>
      <c r="M4651" s="8">
        <f t="shared" si="4"/>
        <v>0.4</v>
      </c>
      <c r="P4651" s="9"/>
    </row>
    <row r="4652">
      <c r="A4652" s="6" t="s">
        <v>10187</v>
      </c>
      <c r="B4652" s="6" t="s">
        <v>162</v>
      </c>
      <c r="C4652" s="6" t="s">
        <v>37</v>
      </c>
      <c r="D4652" s="6" t="s">
        <v>10188</v>
      </c>
      <c r="E4652" s="6" t="s">
        <v>1147</v>
      </c>
      <c r="F4652" s="6" t="s">
        <v>18</v>
      </c>
      <c r="G4652" s="7">
        <v>0.15</v>
      </c>
      <c r="H4652" s="6" t="s">
        <v>4519</v>
      </c>
      <c r="I4652" s="6" t="s">
        <v>20</v>
      </c>
      <c r="J4652" s="6">
        <v>2009.0</v>
      </c>
      <c r="L4652" s="6">
        <v>1.0</v>
      </c>
      <c r="M4652" s="8">
        <f t="shared" si="4"/>
        <v>0.15</v>
      </c>
      <c r="P4652" s="9"/>
    </row>
    <row r="4653">
      <c r="A4653" s="6" t="s">
        <v>10189</v>
      </c>
      <c r="B4653" s="6" t="s">
        <v>462</v>
      </c>
      <c r="C4653" s="6" t="s">
        <v>30</v>
      </c>
      <c r="D4653" s="6" t="s">
        <v>10190</v>
      </c>
      <c r="E4653" s="6" t="s">
        <v>10191</v>
      </c>
      <c r="F4653" s="6" t="s">
        <v>18</v>
      </c>
      <c r="G4653" s="7">
        <v>0.18</v>
      </c>
      <c r="H4653" s="6" t="s">
        <v>6238</v>
      </c>
      <c r="I4653" s="6" t="s">
        <v>20</v>
      </c>
      <c r="J4653" s="6">
        <v>2001.0</v>
      </c>
      <c r="L4653" s="6">
        <v>1.0</v>
      </c>
      <c r="M4653" s="8">
        <f t="shared" si="4"/>
        <v>0.18</v>
      </c>
      <c r="P4653" s="9"/>
    </row>
    <row r="4654">
      <c r="A4654" s="6" t="s">
        <v>10192</v>
      </c>
      <c r="B4654" s="6" t="s">
        <v>162</v>
      </c>
      <c r="C4654" s="6" t="s">
        <v>37</v>
      </c>
      <c r="D4654" s="6" t="s">
        <v>10193</v>
      </c>
      <c r="E4654" s="6" t="s">
        <v>98</v>
      </c>
      <c r="F4654" s="6" t="s">
        <v>18</v>
      </c>
      <c r="G4654" s="7">
        <v>0.06</v>
      </c>
      <c r="H4654" s="6" t="s">
        <v>687</v>
      </c>
      <c r="I4654" s="6" t="s">
        <v>20</v>
      </c>
      <c r="J4654" s="6">
        <v>2011.0</v>
      </c>
      <c r="L4654" s="6">
        <v>1.0</v>
      </c>
      <c r="M4654" s="8">
        <f t="shared" si="4"/>
        <v>0.06</v>
      </c>
      <c r="P4654" s="9"/>
    </row>
    <row r="4655">
      <c r="A4655" s="6" t="s">
        <v>10194</v>
      </c>
      <c r="B4655" s="6" t="s">
        <v>74</v>
      </c>
      <c r="C4655" s="6" t="s">
        <v>37</v>
      </c>
      <c r="D4655" s="6" t="s">
        <v>10195</v>
      </c>
      <c r="E4655" s="6" t="s">
        <v>10196</v>
      </c>
      <c r="F4655" s="6" t="s">
        <v>18</v>
      </c>
      <c r="G4655" s="7">
        <v>7.51</v>
      </c>
      <c r="H4655" s="6" t="s">
        <v>7053</v>
      </c>
      <c r="I4655" s="6" t="s">
        <v>20</v>
      </c>
      <c r="J4655" s="6">
        <v>2002.0</v>
      </c>
      <c r="L4655" s="6">
        <v>1.0</v>
      </c>
      <c r="M4655" s="8">
        <f t="shared" si="4"/>
        <v>7.51</v>
      </c>
      <c r="P4655" s="9"/>
    </row>
    <row r="4656">
      <c r="A4656" s="6" t="s">
        <v>10197</v>
      </c>
      <c r="B4656" s="6" t="s">
        <v>74</v>
      </c>
      <c r="C4656" s="6" t="s">
        <v>43</v>
      </c>
      <c r="D4656" s="6" t="s">
        <v>10198</v>
      </c>
      <c r="E4656" s="6" t="s">
        <v>98</v>
      </c>
      <c r="F4656" s="6" t="s">
        <v>18</v>
      </c>
      <c r="G4656" s="7">
        <v>0.06</v>
      </c>
      <c r="H4656" s="6" t="s">
        <v>687</v>
      </c>
      <c r="I4656" s="6" t="s">
        <v>20</v>
      </c>
      <c r="J4656" s="6">
        <v>2011.0</v>
      </c>
      <c r="L4656" s="6">
        <v>1.0</v>
      </c>
      <c r="M4656" s="8">
        <f t="shared" si="4"/>
        <v>0.06</v>
      </c>
      <c r="P4656" s="9"/>
    </row>
    <row r="4657">
      <c r="A4657" s="6" t="s">
        <v>10199</v>
      </c>
      <c r="B4657" s="6" t="s">
        <v>74</v>
      </c>
      <c r="C4657" s="6" t="s">
        <v>43</v>
      </c>
      <c r="D4657" s="6" t="s">
        <v>10200</v>
      </c>
      <c r="E4657" s="6" t="s">
        <v>107</v>
      </c>
      <c r="F4657" s="6" t="s">
        <v>18</v>
      </c>
      <c r="G4657" s="7">
        <v>0.05</v>
      </c>
      <c r="H4657" s="6" t="s">
        <v>3855</v>
      </c>
      <c r="I4657" s="6" t="s">
        <v>20</v>
      </c>
      <c r="J4657" s="6">
        <v>2007.0</v>
      </c>
      <c r="L4657" s="6">
        <v>1.0</v>
      </c>
      <c r="M4657" s="8">
        <f t="shared" si="4"/>
        <v>0.05</v>
      </c>
      <c r="P4657" s="9"/>
    </row>
    <row r="4658">
      <c r="A4658" s="6" t="s">
        <v>10201</v>
      </c>
      <c r="B4658" s="6" t="s">
        <v>74</v>
      </c>
      <c r="C4658" s="6" t="s">
        <v>43</v>
      </c>
      <c r="D4658" s="6" t="s">
        <v>10202</v>
      </c>
      <c r="E4658" s="6" t="s">
        <v>98</v>
      </c>
      <c r="F4658" s="6" t="s">
        <v>18</v>
      </c>
      <c r="G4658" s="7">
        <v>0.06</v>
      </c>
      <c r="H4658" s="6" t="s">
        <v>2291</v>
      </c>
      <c r="I4658" s="6" t="s">
        <v>20</v>
      </c>
      <c r="J4658" s="6">
        <v>2008.0</v>
      </c>
      <c r="L4658" s="6">
        <v>1.0</v>
      </c>
      <c r="M4658" s="8">
        <f t="shared" si="4"/>
        <v>0.06</v>
      </c>
      <c r="P4658" s="9"/>
    </row>
    <row r="4659">
      <c r="A4659" s="6" t="s">
        <v>10203</v>
      </c>
      <c r="B4659" s="6" t="s">
        <v>138</v>
      </c>
      <c r="C4659" s="6" t="s">
        <v>43</v>
      </c>
      <c r="D4659" s="6" t="s">
        <v>10204</v>
      </c>
      <c r="E4659" s="6" t="s">
        <v>98</v>
      </c>
      <c r="F4659" s="6" t="s">
        <v>18</v>
      </c>
      <c r="G4659" s="7">
        <v>0.49</v>
      </c>
      <c r="H4659" s="6" t="s">
        <v>10205</v>
      </c>
      <c r="I4659" s="6" t="s">
        <v>20</v>
      </c>
      <c r="J4659" s="6">
        <v>2001.0</v>
      </c>
      <c r="L4659" s="6">
        <v>1.0</v>
      </c>
      <c r="M4659" s="8">
        <f t="shared" si="4"/>
        <v>0.49</v>
      </c>
      <c r="P4659" s="9"/>
    </row>
    <row r="4660">
      <c r="A4660" s="6" t="s">
        <v>9776</v>
      </c>
      <c r="B4660" s="6" t="s">
        <v>74</v>
      </c>
      <c r="C4660" s="6" t="s">
        <v>43</v>
      </c>
      <c r="D4660" s="6" t="s">
        <v>9777</v>
      </c>
      <c r="E4660" s="6" t="s">
        <v>210</v>
      </c>
      <c r="F4660" s="6" t="s">
        <v>18</v>
      </c>
      <c r="G4660" s="7">
        <v>0.03</v>
      </c>
      <c r="H4660" s="6" t="s">
        <v>3781</v>
      </c>
      <c r="I4660" s="6" t="s">
        <v>20</v>
      </c>
      <c r="J4660" s="6">
        <v>2008.0</v>
      </c>
      <c r="L4660" s="6">
        <v>1.0</v>
      </c>
      <c r="M4660" s="8">
        <f t="shared" si="4"/>
        <v>0.03</v>
      </c>
      <c r="P4660" s="9"/>
    </row>
    <row r="4661">
      <c r="A4661" s="6" t="s">
        <v>10206</v>
      </c>
      <c r="B4661" s="6" t="s">
        <v>74</v>
      </c>
      <c r="C4661" s="6" t="s">
        <v>43</v>
      </c>
      <c r="D4661" s="6" t="s">
        <v>10207</v>
      </c>
      <c r="E4661" s="6" t="s">
        <v>654</v>
      </c>
      <c r="F4661" s="6" t="s">
        <v>18</v>
      </c>
      <c r="G4661" s="7">
        <v>0.06</v>
      </c>
      <c r="H4661" s="6" t="s">
        <v>6779</v>
      </c>
      <c r="I4661" s="6" t="s">
        <v>20</v>
      </c>
      <c r="J4661" s="6">
        <v>2011.0</v>
      </c>
      <c r="L4661" s="6">
        <v>1.0</v>
      </c>
      <c r="M4661" s="8">
        <f t="shared" si="4"/>
        <v>0.06</v>
      </c>
      <c r="P4661" s="9"/>
    </row>
    <row r="4662">
      <c r="A4662" s="6" t="s">
        <v>10208</v>
      </c>
      <c r="B4662" s="6" t="s">
        <v>74</v>
      </c>
      <c r="C4662" s="6" t="s">
        <v>43</v>
      </c>
      <c r="D4662" s="6" t="s">
        <v>10209</v>
      </c>
      <c r="E4662" s="6" t="s">
        <v>98</v>
      </c>
      <c r="F4662" s="6" t="s">
        <v>18</v>
      </c>
      <c r="G4662" s="7">
        <v>0.06</v>
      </c>
      <c r="H4662" s="6" t="s">
        <v>3781</v>
      </c>
      <c r="I4662" s="6" t="s">
        <v>20</v>
      </c>
      <c r="J4662" s="6">
        <v>2008.0</v>
      </c>
      <c r="L4662" s="6">
        <v>1.0</v>
      </c>
      <c r="M4662" s="8">
        <f t="shared" si="4"/>
        <v>0.06</v>
      </c>
      <c r="P4662" s="9"/>
    </row>
    <row r="4663">
      <c r="A4663" s="6" t="s">
        <v>10210</v>
      </c>
      <c r="B4663" s="6" t="s">
        <v>74</v>
      </c>
      <c r="C4663" s="6" t="s">
        <v>43</v>
      </c>
      <c r="D4663" s="6" t="s">
        <v>10211</v>
      </c>
      <c r="E4663" s="6" t="s">
        <v>98</v>
      </c>
      <c r="F4663" s="6" t="s">
        <v>18</v>
      </c>
      <c r="G4663" s="7">
        <v>0.09</v>
      </c>
      <c r="H4663" s="6" t="s">
        <v>687</v>
      </c>
      <c r="I4663" s="6" t="s">
        <v>20</v>
      </c>
      <c r="J4663" s="6">
        <v>2011.0</v>
      </c>
      <c r="L4663" s="6">
        <v>1.0</v>
      </c>
      <c r="M4663" s="8">
        <f t="shared" si="4"/>
        <v>0.09</v>
      </c>
      <c r="P4663" s="9"/>
    </row>
    <row r="4664">
      <c r="A4664" s="6" t="s">
        <v>10212</v>
      </c>
      <c r="B4664" s="6" t="s">
        <v>74</v>
      </c>
      <c r="C4664" s="6" t="s">
        <v>37</v>
      </c>
      <c r="D4664" s="6" t="s">
        <v>10213</v>
      </c>
      <c r="E4664" s="6" t="s">
        <v>107</v>
      </c>
      <c r="F4664" s="6" t="s">
        <v>18</v>
      </c>
      <c r="G4664" s="7">
        <v>0.4</v>
      </c>
      <c r="H4664" s="6" t="s">
        <v>3369</v>
      </c>
      <c r="I4664" s="6" t="s">
        <v>20</v>
      </c>
      <c r="J4664" s="6">
        <v>2003.0</v>
      </c>
      <c r="L4664" s="6">
        <v>1.0</v>
      </c>
      <c r="M4664" s="8">
        <f t="shared" si="4"/>
        <v>0.4</v>
      </c>
      <c r="P4664" s="9"/>
    </row>
    <row r="4665">
      <c r="A4665" s="6" t="s">
        <v>10214</v>
      </c>
      <c r="B4665" s="6" t="s">
        <v>138</v>
      </c>
      <c r="C4665" s="6" t="s">
        <v>43</v>
      </c>
      <c r="D4665" s="6" t="s">
        <v>10215</v>
      </c>
      <c r="E4665" s="6" t="s">
        <v>107</v>
      </c>
      <c r="F4665" s="6" t="s">
        <v>18</v>
      </c>
      <c r="G4665" s="7">
        <v>0.09</v>
      </c>
      <c r="H4665" s="6" t="s">
        <v>1687</v>
      </c>
      <c r="I4665" s="6" t="s">
        <v>20</v>
      </c>
      <c r="J4665" s="6">
        <v>2001.0</v>
      </c>
      <c r="L4665" s="6">
        <v>1.0</v>
      </c>
      <c r="M4665" s="8">
        <f t="shared" si="4"/>
        <v>0.09</v>
      </c>
      <c r="P4665" s="9"/>
    </row>
    <row r="4666">
      <c r="A4666" s="6" t="s">
        <v>9733</v>
      </c>
      <c r="B4666" s="6" t="s">
        <v>74</v>
      </c>
      <c r="C4666" s="6" t="s">
        <v>43</v>
      </c>
      <c r="D4666" s="6" t="s">
        <v>9734</v>
      </c>
      <c r="E4666" s="6" t="s">
        <v>98</v>
      </c>
      <c r="F4666" s="6" t="s">
        <v>18</v>
      </c>
      <c r="G4666" s="7">
        <v>0.02</v>
      </c>
      <c r="H4666" s="6" t="s">
        <v>3038</v>
      </c>
      <c r="I4666" s="6" t="s">
        <v>20</v>
      </c>
      <c r="J4666" s="6">
        <v>2006.0</v>
      </c>
      <c r="L4666" s="6">
        <v>1.0</v>
      </c>
      <c r="M4666" s="8">
        <f t="shared" si="4"/>
        <v>0.02</v>
      </c>
      <c r="P4666" s="9"/>
    </row>
    <row r="4667">
      <c r="A4667" s="6" t="s">
        <v>10216</v>
      </c>
      <c r="B4667" s="6" t="s">
        <v>74</v>
      </c>
      <c r="C4667" s="6" t="s">
        <v>37</v>
      </c>
      <c r="D4667" s="6" t="s">
        <v>10217</v>
      </c>
      <c r="E4667" s="6" t="s">
        <v>98</v>
      </c>
      <c r="F4667" s="6" t="s">
        <v>18</v>
      </c>
      <c r="G4667" s="7">
        <v>0.99</v>
      </c>
      <c r="H4667" s="6" t="s">
        <v>7434</v>
      </c>
      <c r="I4667" s="6" t="s">
        <v>20</v>
      </c>
      <c r="J4667" s="6">
        <v>2010.0</v>
      </c>
      <c r="L4667" s="6">
        <v>1.0</v>
      </c>
      <c r="M4667" s="8">
        <f t="shared" si="4"/>
        <v>0.99</v>
      </c>
      <c r="N4667" s="6" t="s">
        <v>122</v>
      </c>
      <c r="P4667" s="9"/>
    </row>
    <row r="4668">
      <c r="A4668" s="6" t="s">
        <v>5955</v>
      </c>
      <c r="B4668" s="6" t="s">
        <v>74</v>
      </c>
      <c r="C4668" s="6" t="s">
        <v>43</v>
      </c>
      <c r="D4668" s="6" t="s">
        <v>5956</v>
      </c>
      <c r="E4668" s="6" t="s">
        <v>190</v>
      </c>
      <c r="F4668" s="6" t="s">
        <v>18</v>
      </c>
      <c r="G4668" s="7">
        <v>0.04</v>
      </c>
      <c r="H4668" s="6" t="s">
        <v>1511</v>
      </c>
      <c r="I4668" s="6" t="s">
        <v>20</v>
      </c>
      <c r="J4668" s="6">
        <v>2014.0</v>
      </c>
      <c r="L4668" s="6">
        <v>1.0</v>
      </c>
      <c r="M4668" s="8">
        <f t="shared" si="4"/>
        <v>0.04</v>
      </c>
      <c r="P4668" s="9"/>
    </row>
    <row r="4669">
      <c r="A4669" s="6" t="s">
        <v>10218</v>
      </c>
      <c r="B4669" s="6" t="s">
        <v>3932</v>
      </c>
      <c r="C4669" s="6" t="s">
        <v>43</v>
      </c>
      <c r="D4669" s="6" t="s">
        <v>10219</v>
      </c>
      <c r="E4669" s="6" t="s">
        <v>107</v>
      </c>
      <c r="F4669" s="6" t="s">
        <v>18</v>
      </c>
      <c r="G4669" s="7">
        <v>0.05</v>
      </c>
      <c r="H4669" s="6" t="s">
        <v>464</v>
      </c>
      <c r="I4669" s="6" t="s">
        <v>20</v>
      </c>
      <c r="J4669" s="6">
        <v>2002.0</v>
      </c>
      <c r="L4669" s="6">
        <v>1.0</v>
      </c>
      <c r="M4669" s="8">
        <f t="shared" si="4"/>
        <v>0.05</v>
      </c>
      <c r="P4669" s="9"/>
    </row>
    <row r="4670">
      <c r="A4670" s="6" t="s">
        <v>6924</v>
      </c>
      <c r="B4670" s="6" t="s">
        <v>494</v>
      </c>
      <c r="C4670" s="6" t="s">
        <v>43</v>
      </c>
      <c r="D4670" s="6" t="s">
        <v>6925</v>
      </c>
      <c r="E4670" s="6" t="s">
        <v>107</v>
      </c>
      <c r="F4670" s="6" t="s">
        <v>18</v>
      </c>
      <c r="G4670" s="7">
        <v>0.05</v>
      </c>
      <c r="H4670" s="6" t="s">
        <v>1511</v>
      </c>
      <c r="I4670" s="6" t="s">
        <v>20</v>
      </c>
      <c r="J4670" s="6">
        <v>2014.0</v>
      </c>
      <c r="L4670" s="6">
        <v>2.0</v>
      </c>
      <c r="M4670" s="8">
        <f t="shared" si="4"/>
        <v>0.1</v>
      </c>
      <c r="P4670" s="9"/>
    </row>
    <row r="4671">
      <c r="A4671" s="6" t="s">
        <v>10220</v>
      </c>
      <c r="B4671" s="6" t="s">
        <v>10221</v>
      </c>
      <c r="C4671" s="6" t="s">
        <v>43</v>
      </c>
      <c r="D4671" s="6" t="s">
        <v>10222</v>
      </c>
      <c r="E4671" s="6" t="s">
        <v>98</v>
      </c>
      <c r="F4671" s="6" t="s">
        <v>18</v>
      </c>
      <c r="G4671" s="7">
        <v>0.03</v>
      </c>
      <c r="H4671" s="6" t="s">
        <v>1511</v>
      </c>
      <c r="I4671" s="6" t="s">
        <v>20</v>
      </c>
      <c r="J4671" s="6">
        <v>2014.0</v>
      </c>
      <c r="K4671" s="10">
        <v>46083.0</v>
      </c>
      <c r="L4671" s="6">
        <v>1.0</v>
      </c>
      <c r="M4671" s="8">
        <f t="shared" si="4"/>
        <v>0.03</v>
      </c>
      <c r="P4671" s="9"/>
    </row>
    <row r="4672">
      <c r="A4672" s="6" t="s">
        <v>10223</v>
      </c>
      <c r="B4672" s="6" t="s">
        <v>146</v>
      </c>
      <c r="C4672" s="6" t="s">
        <v>30</v>
      </c>
      <c r="D4672" s="6" t="s">
        <v>10224</v>
      </c>
      <c r="E4672" s="6" t="s">
        <v>190</v>
      </c>
      <c r="F4672" s="6" t="s">
        <v>18</v>
      </c>
      <c r="G4672" s="7">
        <v>32.95</v>
      </c>
      <c r="H4672" s="6" t="s">
        <v>6398</v>
      </c>
      <c r="I4672" s="6" t="s">
        <v>20</v>
      </c>
      <c r="J4672" s="6">
        <v>2010.0</v>
      </c>
      <c r="L4672" s="6">
        <v>1.0</v>
      </c>
      <c r="M4672" s="8">
        <f t="shared" si="4"/>
        <v>32.95</v>
      </c>
      <c r="P4672" s="9"/>
    </row>
    <row r="4673">
      <c r="A4673" s="6" t="s">
        <v>9707</v>
      </c>
      <c r="B4673" s="6" t="s">
        <v>494</v>
      </c>
      <c r="C4673" s="6" t="s">
        <v>43</v>
      </c>
      <c r="D4673" s="6" t="s">
        <v>9708</v>
      </c>
      <c r="E4673" s="6" t="s">
        <v>210</v>
      </c>
      <c r="F4673" s="6" t="s">
        <v>18</v>
      </c>
      <c r="G4673" s="7">
        <v>0.06</v>
      </c>
      <c r="H4673" s="6" t="s">
        <v>10225</v>
      </c>
      <c r="I4673" s="6" t="s">
        <v>20</v>
      </c>
      <c r="J4673" s="6">
        <v>2011.0</v>
      </c>
      <c r="L4673" s="6">
        <v>1.0</v>
      </c>
      <c r="M4673" s="8">
        <f t="shared" si="4"/>
        <v>0.06</v>
      </c>
      <c r="P4673" s="9"/>
    </row>
    <row r="4674">
      <c r="A4674" s="6" t="s">
        <v>10226</v>
      </c>
      <c r="B4674" s="6" t="s">
        <v>494</v>
      </c>
      <c r="C4674" s="6" t="s">
        <v>37</v>
      </c>
      <c r="D4674" s="6" t="s">
        <v>10227</v>
      </c>
      <c r="E4674" s="6" t="s">
        <v>2366</v>
      </c>
      <c r="F4674" s="6" t="s">
        <v>18</v>
      </c>
      <c r="G4674" s="7">
        <v>0.05</v>
      </c>
      <c r="H4674" s="6" t="s">
        <v>1511</v>
      </c>
      <c r="I4674" s="6" t="s">
        <v>20</v>
      </c>
      <c r="J4674" s="6">
        <v>2014.0</v>
      </c>
      <c r="L4674" s="6">
        <v>1.0</v>
      </c>
      <c r="M4674" s="8">
        <f t="shared" si="4"/>
        <v>0.05</v>
      </c>
      <c r="P4674" s="9"/>
    </row>
    <row r="4675">
      <c r="A4675" s="6" t="s">
        <v>10228</v>
      </c>
      <c r="B4675" s="6" t="s">
        <v>146</v>
      </c>
      <c r="C4675" s="6" t="s">
        <v>37</v>
      </c>
      <c r="D4675" s="6" t="s">
        <v>10229</v>
      </c>
      <c r="E4675" s="6" t="s">
        <v>1147</v>
      </c>
      <c r="F4675" s="6" t="s">
        <v>18</v>
      </c>
      <c r="G4675" s="7">
        <v>0.23</v>
      </c>
      <c r="H4675" s="6" t="s">
        <v>4519</v>
      </c>
      <c r="I4675" s="6" t="s">
        <v>20</v>
      </c>
      <c r="J4675" s="6">
        <v>2009.0</v>
      </c>
      <c r="L4675" s="6">
        <v>1.0</v>
      </c>
      <c r="M4675" s="8">
        <f t="shared" si="4"/>
        <v>0.23</v>
      </c>
      <c r="P4675" s="9"/>
    </row>
    <row r="4676">
      <c r="A4676" s="6" t="s">
        <v>10230</v>
      </c>
      <c r="B4676" s="6" t="s">
        <v>322</v>
      </c>
      <c r="C4676" s="6" t="s">
        <v>37</v>
      </c>
      <c r="D4676" s="6" t="s">
        <v>10231</v>
      </c>
      <c r="E4676" s="6" t="s">
        <v>107</v>
      </c>
      <c r="F4676" s="6" t="s">
        <v>18</v>
      </c>
      <c r="G4676" s="7">
        <v>0.37</v>
      </c>
      <c r="H4676" s="6" t="s">
        <v>10232</v>
      </c>
      <c r="I4676" s="6" t="s">
        <v>20</v>
      </c>
      <c r="J4676" s="6">
        <v>1997.0</v>
      </c>
      <c r="K4676" s="10">
        <v>46023.0</v>
      </c>
      <c r="L4676" s="6">
        <v>1.0</v>
      </c>
      <c r="M4676" s="8">
        <f t="shared" si="4"/>
        <v>0.37</v>
      </c>
      <c r="P4676" s="9"/>
    </row>
    <row r="4677">
      <c r="A4677" s="6" t="s">
        <v>10233</v>
      </c>
      <c r="B4677" s="6" t="s">
        <v>440</v>
      </c>
      <c r="C4677" s="6" t="s">
        <v>43</v>
      </c>
      <c r="D4677" s="6" t="s">
        <v>10234</v>
      </c>
      <c r="E4677" s="6" t="s">
        <v>1859</v>
      </c>
      <c r="F4677" s="6" t="s">
        <v>18</v>
      </c>
      <c r="G4677" s="7">
        <v>0.25</v>
      </c>
      <c r="H4677" s="6" t="s">
        <v>324</v>
      </c>
      <c r="I4677" s="6" t="s">
        <v>20</v>
      </c>
      <c r="J4677" s="6">
        <v>1995.0</v>
      </c>
      <c r="L4677" s="6">
        <v>1.0</v>
      </c>
      <c r="M4677" s="8">
        <f t="shared" si="4"/>
        <v>0.25</v>
      </c>
      <c r="P4677" s="9"/>
    </row>
    <row r="4678">
      <c r="A4678" s="6" t="s">
        <v>9721</v>
      </c>
      <c r="B4678" s="6" t="s">
        <v>494</v>
      </c>
      <c r="C4678" s="6" t="s">
        <v>43</v>
      </c>
      <c r="D4678" s="6" t="s">
        <v>9722</v>
      </c>
      <c r="E4678" s="6" t="s">
        <v>98</v>
      </c>
      <c r="F4678" s="6" t="s">
        <v>18</v>
      </c>
      <c r="G4678" s="7">
        <v>0.05</v>
      </c>
      <c r="H4678" s="6" t="s">
        <v>4265</v>
      </c>
      <c r="I4678" s="6" t="s">
        <v>20</v>
      </c>
      <c r="J4678" s="6">
        <v>2009.0</v>
      </c>
      <c r="L4678" s="6">
        <v>1.0</v>
      </c>
      <c r="M4678" s="8">
        <f t="shared" si="4"/>
        <v>0.05</v>
      </c>
      <c r="P4678" s="9"/>
    </row>
    <row r="4679">
      <c r="A4679" s="6" t="s">
        <v>10226</v>
      </c>
      <c r="B4679" s="6" t="s">
        <v>494</v>
      </c>
      <c r="C4679" s="6" t="s">
        <v>43</v>
      </c>
      <c r="D4679" s="6" t="s">
        <v>10227</v>
      </c>
      <c r="E4679" s="6" t="s">
        <v>2366</v>
      </c>
      <c r="F4679" s="6" t="s">
        <v>18</v>
      </c>
      <c r="G4679" s="7">
        <v>0.02</v>
      </c>
      <c r="H4679" s="6" t="s">
        <v>3038</v>
      </c>
      <c r="I4679" s="6" t="s">
        <v>20</v>
      </c>
      <c r="J4679" s="6">
        <v>2006.0</v>
      </c>
      <c r="L4679" s="6">
        <v>1.0</v>
      </c>
      <c r="M4679" s="8">
        <f t="shared" si="4"/>
        <v>0.02</v>
      </c>
      <c r="P4679" s="9"/>
    </row>
    <row r="4680">
      <c r="A4680" s="6" t="s">
        <v>10235</v>
      </c>
      <c r="B4680" s="6" t="s">
        <v>254</v>
      </c>
      <c r="C4680" s="6" t="s">
        <v>43</v>
      </c>
      <c r="D4680" s="6" t="s">
        <v>10236</v>
      </c>
      <c r="E4680" s="6" t="s">
        <v>98</v>
      </c>
      <c r="F4680" s="6" t="s">
        <v>18</v>
      </c>
      <c r="G4680" s="7">
        <v>0.1</v>
      </c>
      <c r="H4680" s="6" t="s">
        <v>421</v>
      </c>
      <c r="I4680" s="6" t="s">
        <v>20</v>
      </c>
      <c r="J4680" s="6">
        <v>2000.0</v>
      </c>
      <c r="L4680" s="6">
        <v>1.0</v>
      </c>
      <c r="M4680" s="8">
        <f t="shared" si="4"/>
        <v>0.1</v>
      </c>
      <c r="P4680" s="9"/>
    </row>
    <row r="4681">
      <c r="A4681" s="6" t="s">
        <v>10237</v>
      </c>
      <c r="B4681" s="6" t="s">
        <v>3932</v>
      </c>
      <c r="C4681" s="6" t="s">
        <v>43</v>
      </c>
      <c r="D4681" s="6" t="s">
        <v>10238</v>
      </c>
      <c r="E4681" s="6" t="s">
        <v>107</v>
      </c>
      <c r="F4681" s="6" t="s">
        <v>18</v>
      </c>
      <c r="G4681" s="7">
        <v>0.05</v>
      </c>
      <c r="H4681" s="6" t="s">
        <v>464</v>
      </c>
      <c r="I4681" s="6" t="s">
        <v>20</v>
      </c>
      <c r="J4681" s="6">
        <v>2002.0</v>
      </c>
      <c r="L4681" s="6">
        <v>1.0</v>
      </c>
      <c r="M4681" s="8">
        <f t="shared" si="4"/>
        <v>0.05</v>
      </c>
      <c r="P4681" s="9"/>
    </row>
    <row r="4682">
      <c r="A4682" s="6" t="s">
        <v>10239</v>
      </c>
      <c r="B4682" s="6" t="s">
        <v>10240</v>
      </c>
      <c r="C4682" s="6" t="s">
        <v>43</v>
      </c>
      <c r="D4682" s="6" t="s">
        <v>10241</v>
      </c>
      <c r="E4682" s="6" t="s">
        <v>107</v>
      </c>
      <c r="F4682" s="6" t="s">
        <v>18</v>
      </c>
      <c r="G4682" s="7">
        <v>3.0</v>
      </c>
      <c r="H4682" s="6" t="s">
        <v>1028</v>
      </c>
      <c r="I4682" s="6" t="s">
        <v>20</v>
      </c>
      <c r="J4682" s="6">
        <v>2011.0</v>
      </c>
      <c r="K4682" s="10">
        <v>46023.0</v>
      </c>
      <c r="L4682" s="6">
        <v>1.0</v>
      </c>
      <c r="M4682" s="8">
        <f t="shared" si="4"/>
        <v>3</v>
      </c>
      <c r="N4682" s="6" t="s">
        <v>122</v>
      </c>
      <c r="P4682" s="9"/>
    </row>
    <row r="4683">
      <c r="A4683" s="6" t="s">
        <v>10242</v>
      </c>
      <c r="B4683" s="6" t="s">
        <v>685</v>
      </c>
      <c r="C4683" s="6" t="s">
        <v>37</v>
      </c>
      <c r="D4683" s="6" t="s">
        <v>10243</v>
      </c>
      <c r="E4683" s="6" t="s">
        <v>224</v>
      </c>
      <c r="F4683" s="6" t="s">
        <v>18</v>
      </c>
      <c r="G4683" s="7">
        <v>0.03</v>
      </c>
      <c r="H4683" s="6" t="s">
        <v>1511</v>
      </c>
      <c r="I4683" s="6" t="s">
        <v>20</v>
      </c>
      <c r="J4683" s="6">
        <v>2014.0</v>
      </c>
      <c r="K4683" s="10">
        <v>46114.0</v>
      </c>
      <c r="L4683" s="6">
        <v>1.0</v>
      </c>
      <c r="M4683" s="8">
        <f t="shared" si="4"/>
        <v>0.03</v>
      </c>
      <c r="P4683" s="9"/>
    </row>
    <row r="4684">
      <c r="A4684" s="6" t="s">
        <v>207</v>
      </c>
      <c r="B4684" s="6" t="s">
        <v>208</v>
      </c>
      <c r="C4684" s="6" t="s">
        <v>43</v>
      </c>
      <c r="D4684" s="6" t="s">
        <v>209</v>
      </c>
      <c r="E4684" s="6" t="s">
        <v>210</v>
      </c>
      <c r="F4684" s="6" t="s">
        <v>18</v>
      </c>
      <c r="G4684" s="7">
        <v>0.08</v>
      </c>
      <c r="H4684" s="6" t="s">
        <v>211</v>
      </c>
      <c r="I4684" s="6" t="s">
        <v>20</v>
      </c>
      <c r="J4684" s="6">
        <v>2010.0</v>
      </c>
      <c r="K4684" s="10">
        <v>46055.0</v>
      </c>
      <c r="L4684" s="6">
        <v>2.0</v>
      </c>
      <c r="M4684" s="8">
        <f t="shared" si="4"/>
        <v>0.16</v>
      </c>
      <c r="P4684" s="9"/>
    </row>
    <row r="4685">
      <c r="A4685" s="6" t="s">
        <v>10244</v>
      </c>
      <c r="B4685" s="6" t="s">
        <v>208</v>
      </c>
      <c r="C4685" s="6" t="s">
        <v>30</v>
      </c>
      <c r="D4685" s="6" t="s">
        <v>10245</v>
      </c>
      <c r="E4685" s="6" t="s">
        <v>1859</v>
      </c>
      <c r="F4685" s="6" t="s">
        <v>18</v>
      </c>
      <c r="G4685" s="7">
        <v>0.14</v>
      </c>
      <c r="H4685" s="6" t="s">
        <v>1511</v>
      </c>
      <c r="I4685" s="6" t="s">
        <v>20</v>
      </c>
      <c r="J4685" s="6">
        <v>2014.0</v>
      </c>
      <c r="K4685" s="10">
        <v>46024.0</v>
      </c>
      <c r="L4685" s="6">
        <v>1.0</v>
      </c>
      <c r="M4685" s="8">
        <f t="shared" si="4"/>
        <v>0.14</v>
      </c>
      <c r="P4685" s="9"/>
    </row>
    <row r="4686">
      <c r="A4686" s="6" t="s">
        <v>10246</v>
      </c>
      <c r="B4686" s="6" t="s">
        <v>10247</v>
      </c>
      <c r="C4686" s="6" t="s">
        <v>43</v>
      </c>
      <c r="D4686" s="6" t="s">
        <v>10248</v>
      </c>
      <c r="E4686" s="6" t="s">
        <v>1840</v>
      </c>
      <c r="F4686" s="6" t="s">
        <v>18</v>
      </c>
      <c r="G4686" s="7">
        <v>0.04</v>
      </c>
      <c r="H4686" s="6" t="s">
        <v>1442</v>
      </c>
      <c r="I4686" s="6" t="s">
        <v>20</v>
      </c>
      <c r="J4686" s="6">
        <v>2001.0</v>
      </c>
      <c r="K4686" s="10">
        <v>46084.0</v>
      </c>
      <c r="L4686" s="6">
        <v>1.0</v>
      </c>
      <c r="M4686" s="8">
        <f t="shared" si="4"/>
        <v>0.04</v>
      </c>
      <c r="P4686" s="9"/>
    </row>
    <row r="4687">
      <c r="A4687" s="6" t="s">
        <v>10249</v>
      </c>
      <c r="B4687" s="6" t="s">
        <v>208</v>
      </c>
      <c r="C4687" s="6" t="s">
        <v>43</v>
      </c>
      <c r="D4687" s="6" t="s">
        <v>10250</v>
      </c>
      <c r="E4687" s="6" t="s">
        <v>1147</v>
      </c>
      <c r="F4687" s="6" t="s">
        <v>18</v>
      </c>
      <c r="G4687" s="7">
        <v>0.24</v>
      </c>
      <c r="H4687" s="6" t="s">
        <v>1071</v>
      </c>
      <c r="I4687" s="6" t="s">
        <v>20</v>
      </c>
      <c r="J4687" s="6">
        <v>2012.0</v>
      </c>
      <c r="K4687" s="10">
        <v>46054.0</v>
      </c>
      <c r="L4687" s="6">
        <v>1.0</v>
      </c>
      <c r="M4687" s="8">
        <f t="shared" si="4"/>
        <v>0.24</v>
      </c>
      <c r="P4687" s="9"/>
    </row>
    <row r="4688">
      <c r="A4688" s="6" t="s">
        <v>10251</v>
      </c>
      <c r="B4688" s="6" t="s">
        <v>208</v>
      </c>
      <c r="C4688" s="6" t="s">
        <v>43</v>
      </c>
      <c r="D4688" s="6" t="s">
        <v>10252</v>
      </c>
      <c r="E4688" s="6" t="s">
        <v>107</v>
      </c>
      <c r="F4688" s="6" t="s">
        <v>18</v>
      </c>
      <c r="G4688" s="7">
        <v>0.05</v>
      </c>
      <c r="H4688" s="6" t="s">
        <v>496</v>
      </c>
      <c r="I4688" s="6" t="s">
        <v>20</v>
      </c>
      <c r="J4688" s="6">
        <v>2013.0</v>
      </c>
      <c r="K4688" s="10">
        <v>46082.0</v>
      </c>
      <c r="L4688" s="6">
        <v>1.0</v>
      </c>
      <c r="M4688" s="8">
        <f t="shared" si="4"/>
        <v>0.05</v>
      </c>
      <c r="P4688" s="9"/>
    </row>
    <row r="4689">
      <c r="A4689" s="6" t="s">
        <v>10253</v>
      </c>
      <c r="B4689" s="6" t="s">
        <v>208</v>
      </c>
      <c r="C4689" s="6" t="s">
        <v>43</v>
      </c>
      <c r="D4689" s="6" t="s">
        <v>10254</v>
      </c>
      <c r="E4689" s="6" t="s">
        <v>98</v>
      </c>
      <c r="F4689" s="6" t="s">
        <v>18</v>
      </c>
      <c r="G4689" s="7">
        <v>0.04</v>
      </c>
      <c r="H4689" s="6" t="s">
        <v>6398</v>
      </c>
      <c r="I4689" s="6" t="s">
        <v>20</v>
      </c>
      <c r="J4689" s="6">
        <v>2010.0</v>
      </c>
      <c r="K4689" s="10">
        <v>46055.0</v>
      </c>
      <c r="L4689" s="6">
        <v>1.0</v>
      </c>
      <c r="M4689" s="8">
        <f t="shared" si="4"/>
        <v>0.04</v>
      </c>
      <c r="P4689" s="9"/>
    </row>
    <row r="4690">
      <c r="A4690" s="6" t="s">
        <v>10255</v>
      </c>
      <c r="B4690" s="6" t="s">
        <v>4395</v>
      </c>
      <c r="C4690" s="6" t="s">
        <v>43</v>
      </c>
      <c r="D4690" s="6" t="s">
        <v>10256</v>
      </c>
      <c r="E4690" s="6" t="s">
        <v>190</v>
      </c>
      <c r="F4690" s="6" t="s">
        <v>18</v>
      </c>
      <c r="G4690" s="7">
        <v>0.05</v>
      </c>
      <c r="H4690" s="6" t="s">
        <v>421</v>
      </c>
      <c r="I4690" s="6" t="s">
        <v>20</v>
      </c>
      <c r="J4690" s="6">
        <v>2000.0</v>
      </c>
      <c r="K4690" s="10">
        <v>46023.0</v>
      </c>
      <c r="L4690" s="6">
        <v>1.0</v>
      </c>
      <c r="M4690" s="8">
        <f t="shared" si="4"/>
        <v>0.05</v>
      </c>
      <c r="P4690" s="9"/>
    </row>
    <row r="4691">
      <c r="A4691" s="6" t="s">
        <v>9912</v>
      </c>
      <c r="B4691" s="6" t="s">
        <v>208</v>
      </c>
      <c r="C4691" s="6" t="s">
        <v>43</v>
      </c>
      <c r="E4691" s="6" t="s">
        <v>190</v>
      </c>
      <c r="F4691" s="6" t="s">
        <v>18</v>
      </c>
      <c r="G4691" s="7">
        <v>0.04</v>
      </c>
      <c r="H4691" s="6" t="s">
        <v>350</v>
      </c>
      <c r="I4691" s="6" t="s">
        <v>45</v>
      </c>
      <c r="J4691" s="6">
        <v>2003.0</v>
      </c>
      <c r="K4691" s="10">
        <v>46023.0</v>
      </c>
      <c r="L4691" s="6">
        <v>1.0</v>
      </c>
      <c r="M4691" s="8">
        <f t="shared" si="4"/>
        <v>0.04</v>
      </c>
      <c r="P4691" s="9"/>
    </row>
    <row r="4692">
      <c r="A4692" s="6" t="s">
        <v>10257</v>
      </c>
      <c r="B4692" s="6" t="s">
        <v>9887</v>
      </c>
      <c r="C4692" s="6" t="s">
        <v>43</v>
      </c>
      <c r="D4692" s="6" t="s">
        <v>10258</v>
      </c>
      <c r="E4692" s="6" t="s">
        <v>107</v>
      </c>
      <c r="F4692" s="6" t="s">
        <v>18</v>
      </c>
      <c r="G4692" s="7">
        <v>0.12</v>
      </c>
      <c r="H4692" s="6" t="s">
        <v>3366</v>
      </c>
      <c r="I4692" s="6" t="s">
        <v>20</v>
      </c>
      <c r="J4692" s="6">
        <v>2004.0</v>
      </c>
      <c r="K4692" s="10">
        <v>46023.0</v>
      </c>
      <c r="L4692" s="6">
        <v>1.0</v>
      </c>
      <c r="M4692" s="8">
        <f t="shared" si="4"/>
        <v>0.12</v>
      </c>
      <c r="P4692" s="9"/>
    </row>
    <row r="4693">
      <c r="A4693" s="6" t="s">
        <v>10259</v>
      </c>
      <c r="B4693" s="6" t="s">
        <v>371</v>
      </c>
      <c r="C4693" s="6" t="s">
        <v>43</v>
      </c>
      <c r="D4693" s="6" t="s">
        <v>10260</v>
      </c>
      <c r="E4693" s="6" t="s">
        <v>224</v>
      </c>
      <c r="F4693" s="6" t="s">
        <v>18</v>
      </c>
      <c r="G4693" s="7">
        <v>0.09</v>
      </c>
      <c r="H4693" s="6" t="s">
        <v>444</v>
      </c>
      <c r="I4693" s="6" t="s">
        <v>20</v>
      </c>
      <c r="J4693" s="6">
        <v>2012.0</v>
      </c>
      <c r="K4693" s="10">
        <v>46083.0</v>
      </c>
      <c r="L4693" s="6">
        <v>1.0</v>
      </c>
      <c r="M4693" s="8">
        <f t="shared" si="4"/>
        <v>0.09</v>
      </c>
      <c r="P4693" s="9"/>
    </row>
    <row r="4694">
      <c r="A4694" s="6" t="s">
        <v>10261</v>
      </c>
      <c r="B4694" s="6" t="s">
        <v>208</v>
      </c>
      <c r="C4694" s="6" t="s">
        <v>43</v>
      </c>
      <c r="D4694" s="6" t="s">
        <v>10262</v>
      </c>
      <c r="E4694" s="6" t="s">
        <v>98</v>
      </c>
      <c r="F4694" s="6" t="s">
        <v>18</v>
      </c>
      <c r="G4694" s="7">
        <v>0.06</v>
      </c>
      <c r="H4694" s="6" t="s">
        <v>464</v>
      </c>
      <c r="I4694" s="6" t="s">
        <v>20</v>
      </c>
      <c r="J4694" s="6">
        <v>2002.0</v>
      </c>
      <c r="K4694" s="10">
        <v>46023.0</v>
      </c>
      <c r="L4694" s="6">
        <v>1.0</v>
      </c>
      <c r="M4694" s="8">
        <f t="shared" si="4"/>
        <v>0.06</v>
      </c>
      <c r="P4694" s="9"/>
    </row>
    <row r="4695">
      <c r="A4695" s="6" t="s">
        <v>10263</v>
      </c>
      <c r="B4695" s="6" t="s">
        <v>10264</v>
      </c>
      <c r="C4695" s="6" t="s">
        <v>204</v>
      </c>
      <c r="D4695" s="6" t="s">
        <v>10265</v>
      </c>
      <c r="E4695" s="6" t="s">
        <v>107</v>
      </c>
      <c r="F4695" s="6" t="s">
        <v>18</v>
      </c>
      <c r="G4695" s="7">
        <v>0.05</v>
      </c>
      <c r="H4695" s="6" t="s">
        <v>1442</v>
      </c>
      <c r="I4695" s="6" t="s">
        <v>20</v>
      </c>
      <c r="J4695" s="6">
        <v>2001.0</v>
      </c>
      <c r="K4695" s="10">
        <v>46023.0</v>
      </c>
      <c r="L4695" s="6">
        <v>1.0</v>
      </c>
      <c r="M4695" s="8">
        <f t="shared" si="4"/>
        <v>0.05</v>
      </c>
      <c r="P4695" s="9"/>
    </row>
    <row r="4696">
      <c r="A4696" s="6" t="s">
        <v>9946</v>
      </c>
      <c r="B4696" s="6" t="s">
        <v>96</v>
      </c>
      <c r="C4696" s="6" t="s">
        <v>43</v>
      </c>
      <c r="D4696" s="6" t="s">
        <v>9947</v>
      </c>
      <c r="E4696" s="6" t="s">
        <v>654</v>
      </c>
      <c r="F4696" s="6" t="s">
        <v>18</v>
      </c>
      <c r="G4696" s="7">
        <v>0.05</v>
      </c>
      <c r="H4696" s="6" t="s">
        <v>496</v>
      </c>
      <c r="I4696" s="6" t="s">
        <v>20</v>
      </c>
      <c r="J4696" s="6">
        <v>2013.0</v>
      </c>
      <c r="K4696" s="6" t="s">
        <v>445</v>
      </c>
      <c r="L4696" s="6">
        <v>1.0</v>
      </c>
      <c r="M4696" s="8">
        <f t="shared" si="4"/>
        <v>0.05</v>
      </c>
      <c r="P4696" s="9"/>
    </row>
    <row r="4697">
      <c r="A4697" s="6" t="s">
        <v>10266</v>
      </c>
      <c r="B4697" s="6" t="s">
        <v>10267</v>
      </c>
      <c r="C4697" s="6" t="s">
        <v>43</v>
      </c>
      <c r="D4697" s="6" t="s">
        <v>10268</v>
      </c>
      <c r="E4697" s="6" t="s">
        <v>98</v>
      </c>
      <c r="F4697" s="6" t="s">
        <v>18</v>
      </c>
      <c r="G4697" s="7">
        <v>0.05</v>
      </c>
      <c r="H4697" s="6" t="s">
        <v>464</v>
      </c>
      <c r="I4697" s="6" t="s">
        <v>20</v>
      </c>
      <c r="J4697" s="6">
        <v>2002.0</v>
      </c>
      <c r="K4697" s="10">
        <v>46113.0</v>
      </c>
      <c r="L4697" s="6">
        <v>1.0</v>
      </c>
      <c r="M4697" s="8">
        <f t="shared" si="4"/>
        <v>0.05</v>
      </c>
      <c r="P4697" s="9"/>
    </row>
    <row r="4698">
      <c r="A4698" s="6" t="s">
        <v>10269</v>
      </c>
      <c r="B4698" s="6" t="s">
        <v>96</v>
      </c>
      <c r="C4698" s="6" t="s">
        <v>37</v>
      </c>
      <c r="D4698" s="6" t="s">
        <v>10270</v>
      </c>
      <c r="E4698" s="6" t="s">
        <v>107</v>
      </c>
      <c r="F4698" s="6" t="s">
        <v>18</v>
      </c>
      <c r="G4698" s="7">
        <v>0.15</v>
      </c>
      <c r="H4698" s="6" t="s">
        <v>9885</v>
      </c>
      <c r="I4698" s="6" t="s">
        <v>20</v>
      </c>
      <c r="J4698" s="6">
        <v>2014.0</v>
      </c>
      <c r="K4698" s="6" t="s">
        <v>100</v>
      </c>
      <c r="L4698" s="6">
        <v>1.0</v>
      </c>
      <c r="M4698" s="8">
        <f t="shared" si="4"/>
        <v>0.15</v>
      </c>
      <c r="P4698" s="9"/>
    </row>
    <row r="4699">
      <c r="A4699" s="6" t="s">
        <v>10271</v>
      </c>
      <c r="B4699" s="6" t="s">
        <v>10272</v>
      </c>
      <c r="C4699" s="6" t="s">
        <v>30</v>
      </c>
      <c r="E4699" s="6" t="s">
        <v>7368</v>
      </c>
      <c r="F4699" s="6" t="s">
        <v>18</v>
      </c>
      <c r="G4699" s="7">
        <v>0.14</v>
      </c>
      <c r="H4699" s="6" t="s">
        <v>6238</v>
      </c>
      <c r="I4699" s="6" t="s">
        <v>45</v>
      </c>
      <c r="J4699" s="6">
        <v>2001.0</v>
      </c>
      <c r="K4699" s="10">
        <v>46179.0</v>
      </c>
      <c r="L4699" s="6">
        <v>1.0</v>
      </c>
      <c r="M4699" s="8">
        <f t="shared" si="4"/>
        <v>0.14</v>
      </c>
      <c r="P4699" s="9"/>
    </row>
    <row r="4700">
      <c r="A4700" s="6" t="s">
        <v>10273</v>
      </c>
      <c r="B4700" s="6" t="s">
        <v>6101</v>
      </c>
      <c r="C4700" s="6" t="s">
        <v>43</v>
      </c>
      <c r="D4700" s="6" t="s">
        <v>10274</v>
      </c>
      <c r="E4700" s="6" t="s">
        <v>654</v>
      </c>
      <c r="F4700" s="6" t="s">
        <v>18</v>
      </c>
      <c r="G4700" s="7">
        <v>0.05</v>
      </c>
      <c r="H4700" s="6" t="s">
        <v>10205</v>
      </c>
      <c r="I4700" s="6" t="s">
        <v>20</v>
      </c>
      <c r="J4700" s="6">
        <v>2001.0</v>
      </c>
      <c r="K4700" s="10">
        <v>46084.0</v>
      </c>
      <c r="L4700" s="6">
        <v>1.0</v>
      </c>
      <c r="M4700" s="8">
        <f t="shared" si="4"/>
        <v>0.05</v>
      </c>
      <c r="P4700" s="9"/>
    </row>
    <row r="4701">
      <c r="A4701" s="6" t="s">
        <v>10275</v>
      </c>
      <c r="B4701" s="6" t="s">
        <v>504</v>
      </c>
      <c r="C4701" s="6" t="s">
        <v>43</v>
      </c>
      <c r="E4701" s="6" t="s">
        <v>1859</v>
      </c>
      <c r="F4701" s="6" t="s">
        <v>18</v>
      </c>
      <c r="G4701" s="7">
        <v>0.06</v>
      </c>
      <c r="H4701" s="6" t="s">
        <v>3124</v>
      </c>
      <c r="I4701" s="6" t="s">
        <v>20</v>
      </c>
      <c r="J4701" s="6">
        <v>2010.0</v>
      </c>
      <c r="K4701" s="10">
        <v>46113.0</v>
      </c>
      <c r="L4701" s="6">
        <v>1.0</v>
      </c>
      <c r="M4701" s="8">
        <f t="shared" si="4"/>
        <v>0.06</v>
      </c>
      <c r="P4701" s="9"/>
    </row>
    <row r="4702">
      <c r="A4702" s="6" t="s">
        <v>10276</v>
      </c>
      <c r="B4702" s="6" t="s">
        <v>10277</v>
      </c>
      <c r="C4702" s="6" t="s">
        <v>37</v>
      </c>
      <c r="D4702" s="6" t="s">
        <v>10278</v>
      </c>
      <c r="E4702" s="6" t="s">
        <v>98</v>
      </c>
      <c r="F4702" s="6" t="s">
        <v>18</v>
      </c>
      <c r="G4702" s="7">
        <v>0.06</v>
      </c>
      <c r="H4702" s="6" t="s">
        <v>7053</v>
      </c>
      <c r="I4702" s="6" t="s">
        <v>20</v>
      </c>
      <c r="J4702" s="6">
        <v>2002.0</v>
      </c>
      <c r="K4702" s="10">
        <v>46114.0</v>
      </c>
      <c r="L4702" s="6">
        <v>1.0</v>
      </c>
      <c r="M4702" s="8">
        <f t="shared" si="4"/>
        <v>0.06</v>
      </c>
      <c r="P4702" s="9"/>
    </row>
    <row r="4703">
      <c r="A4703" s="6" t="s">
        <v>10279</v>
      </c>
      <c r="B4703" s="6" t="s">
        <v>10280</v>
      </c>
      <c r="C4703" s="6" t="s">
        <v>43</v>
      </c>
      <c r="D4703" s="6" t="s">
        <v>10281</v>
      </c>
      <c r="E4703" s="6" t="s">
        <v>107</v>
      </c>
      <c r="F4703" s="6" t="s">
        <v>18</v>
      </c>
      <c r="G4703" s="7">
        <v>0.06</v>
      </c>
      <c r="H4703" s="6" t="s">
        <v>7053</v>
      </c>
      <c r="I4703" s="6" t="s">
        <v>20</v>
      </c>
      <c r="J4703" s="6">
        <v>2002.0</v>
      </c>
      <c r="K4703" s="10">
        <v>46055.0</v>
      </c>
      <c r="L4703" s="6">
        <v>1.0</v>
      </c>
      <c r="M4703" s="8">
        <f t="shared" si="4"/>
        <v>0.06</v>
      </c>
      <c r="P4703" s="9"/>
    </row>
    <row r="4704">
      <c r="A4704" s="6" t="s">
        <v>10282</v>
      </c>
      <c r="B4704" s="6" t="s">
        <v>10283</v>
      </c>
      <c r="C4704" s="6" t="s">
        <v>43</v>
      </c>
      <c r="D4704" s="6" t="s">
        <v>10284</v>
      </c>
      <c r="E4704" s="6" t="s">
        <v>654</v>
      </c>
      <c r="F4704" s="6" t="s">
        <v>18</v>
      </c>
      <c r="G4704" s="7">
        <v>0.05</v>
      </c>
      <c r="H4704" s="6" t="s">
        <v>232</v>
      </c>
      <c r="I4704" s="6" t="s">
        <v>20</v>
      </c>
      <c r="J4704" s="6">
        <v>2010.0</v>
      </c>
      <c r="K4704" s="10">
        <v>46084.0</v>
      </c>
      <c r="L4704" s="6">
        <v>3.0</v>
      </c>
      <c r="M4704" s="8">
        <f t="shared" si="4"/>
        <v>0.15</v>
      </c>
      <c r="P4704" s="9"/>
    </row>
    <row r="4705">
      <c r="A4705" s="6" t="s">
        <v>10285</v>
      </c>
      <c r="B4705" s="6" t="s">
        <v>3664</v>
      </c>
      <c r="C4705" s="6" t="s">
        <v>43</v>
      </c>
      <c r="D4705" s="6" t="s">
        <v>10286</v>
      </c>
      <c r="E4705" s="6" t="s">
        <v>654</v>
      </c>
      <c r="F4705" s="6" t="s">
        <v>18</v>
      </c>
      <c r="G4705" s="7">
        <v>0.09</v>
      </c>
      <c r="H4705" s="6" t="s">
        <v>6398</v>
      </c>
      <c r="I4705" s="6" t="s">
        <v>20</v>
      </c>
      <c r="J4705" s="6">
        <v>2010.0</v>
      </c>
      <c r="K4705" s="10">
        <v>46084.0</v>
      </c>
      <c r="L4705" s="6">
        <v>1.0</v>
      </c>
      <c r="M4705" s="8">
        <f t="shared" si="4"/>
        <v>0.09</v>
      </c>
      <c r="P4705" s="9"/>
    </row>
    <row r="4706">
      <c r="A4706" s="6" t="s">
        <v>9944</v>
      </c>
      <c r="B4706" s="6" t="s">
        <v>1831</v>
      </c>
      <c r="C4706" s="6" t="s">
        <v>43</v>
      </c>
      <c r="D4706" s="6" t="s">
        <v>9945</v>
      </c>
      <c r="E4706" s="6" t="s">
        <v>2366</v>
      </c>
      <c r="F4706" s="6" t="s">
        <v>18</v>
      </c>
      <c r="G4706" s="7">
        <v>0.05</v>
      </c>
      <c r="H4706" s="6" t="s">
        <v>586</v>
      </c>
      <c r="I4706" s="6" t="s">
        <v>20</v>
      </c>
      <c r="J4706" s="6">
        <v>2012.0</v>
      </c>
      <c r="K4706" s="10">
        <v>46084.0</v>
      </c>
      <c r="L4706" s="6">
        <v>2.0</v>
      </c>
      <c r="M4706" s="8">
        <f t="shared" si="4"/>
        <v>0.1</v>
      </c>
      <c r="P4706" s="9"/>
    </row>
    <row r="4707">
      <c r="A4707" s="6" t="s">
        <v>10287</v>
      </c>
      <c r="B4707" s="6" t="s">
        <v>2532</v>
      </c>
      <c r="C4707" s="6" t="s">
        <v>43</v>
      </c>
      <c r="D4707" s="6" t="s">
        <v>10288</v>
      </c>
      <c r="E4707" s="6" t="s">
        <v>224</v>
      </c>
      <c r="F4707" s="6" t="s">
        <v>18</v>
      </c>
      <c r="G4707" s="7">
        <v>0.02</v>
      </c>
      <c r="H4707" s="6" t="s">
        <v>3038</v>
      </c>
      <c r="I4707" s="6" t="s">
        <v>20</v>
      </c>
      <c r="J4707" s="6">
        <v>2006.0</v>
      </c>
      <c r="K4707" s="10">
        <v>46025.0</v>
      </c>
      <c r="L4707" s="6">
        <v>1.0</v>
      </c>
      <c r="M4707" s="8">
        <f t="shared" si="4"/>
        <v>0.02</v>
      </c>
      <c r="P4707" s="9"/>
    </row>
    <row r="4708">
      <c r="A4708" s="6" t="s">
        <v>5083</v>
      </c>
      <c r="B4708" s="6" t="s">
        <v>603</v>
      </c>
      <c r="C4708" s="6" t="s">
        <v>37</v>
      </c>
      <c r="D4708" s="6" t="s">
        <v>5084</v>
      </c>
      <c r="E4708" s="6" t="s">
        <v>1840</v>
      </c>
      <c r="F4708" s="6" t="s">
        <v>18</v>
      </c>
      <c r="G4708" s="7">
        <v>0.06</v>
      </c>
      <c r="H4708" s="6" t="s">
        <v>687</v>
      </c>
      <c r="I4708" s="6" t="s">
        <v>20</v>
      </c>
      <c r="J4708" s="6">
        <v>2011.0</v>
      </c>
      <c r="K4708" s="10">
        <v>46116.0</v>
      </c>
      <c r="L4708" s="6">
        <v>1.0</v>
      </c>
      <c r="M4708" s="8">
        <f t="shared" si="4"/>
        <v>0.06</v>
      </c>
      <c r="P4708" s="9"/>
    </row>
    <row r="4709">
      <c r="A4709" s="6" t="s">
        <v>10289</v>
      </c>
      <c r="B4709" s="6" t="s">
        <v>699</v>
      </c>
      <c r="C4709" s="6" t="s">
        <v>43</v>
      </c>
      <c r="D4709" s="6" t="s">
        <v>10290</v>
      </c>
      <c r="E4709" s="6" t="s">
        <v>224</v>
      </c>
      <c r="F4709" s="6" t="s">
        <v>18</v>
      </c>
      <c r="G4709" s="7">
        <v>0.04</v>
      </c>
      <c r="H4709" s="6" t="s">
        <v>1442</v>
      </c>
      <c r="I4709" s="6" t="s">
        <v>20</v>
      </c>
      <c r="J4709" s="6">
        <v>2001.0</v>
      </c>
      <c r="K4709" s="10">
        <v>46055.0</v>
      </c>
      <c r="L4709" s="6">
        <v>1.0</v>
      </c>
      <c r="M4709" s="8">
        <f t="shared" si="4"/>
        <v>0.04</v>
      </c>
      <c r="P4709" s="9"/>
    </row>
    <row r="4710">
      <c r="A4710" s="6" t="s">
        <v>10291</v>
      </c>
      <c r="B4710" s="6" t="s">
        <v>6028</v>
      </c>
      <c r="C4710" s="6" t="s">
        <v>43</v>
      </c>
      <c r="D4710" s="6" t="s">
        <v>10292</v>
      </c>
      <c r="E4710" s="6" t="s">
        <v>107</v>
      </c>
      <c r="F4710" s="6" t="s">
        <v>18</v>
      </c>
      <c r="G4710" s="7">
        <v>0.08</v>
      </c>
      <c r="H4710" s="6" t="s">
        <v>421</v>
      </c>
      <c r="I4710" s="6" t="s">
        <v>20</v>
      </c>
      <c r="J4710" s="6">
        <v>2000.0</v>
      </c>
      <c r="K4710" s="10">
        <v>46023.0</v>
      </c>
      <c r="L4710" s="6">
        <v>1.0</v>
      </c>
      <c r="M4710" s="8">
        <f t="shared" si="4"/>
        <v>0.08</v>
      </c>
      <c r="P4710" s="9"/>
    </row>
    <row r="4711">
      <c r="A4711" s="6" t="s">
        <v>10293</v>
      </c>
      <c r="B4711" s="6" t="s">
        <v>699</v>
      </c>
      <c r="C4711" s="6" t="s">
        <v>43</v>
      </c>
      <c r="D4711" s="6" t="s">
        <v>10294</v>
      </c>
      <c r="E4711" s="6" t="s">
        <v>224</v>
      </c>
      <c r="F4711" s="6" t="s">
        <v>18</v>
      </c>
      <c r="G4711" s="7">
        <v>0.06</v>
      </c>
      <c r="H4711" s="6" t="s">
        <v>1090</v>
      </c>
      <c r="I4711" s="6" t="s">
        <v>20</v>
      </c>
      <c r="J4711" s="6">
        <v>2011.0</v>
      </c>
      <c r="K4711" s="10">
        <v>46055.0</v>
      </c>
      <c r="L4711" s="6">
        <v>1.0</v>
      </c>
      <c r="M4711" s="8">
        <f t="shared" si="4"/>
        <v>0.06</v>
      </c>
      <c r="P4711" s="9"/>
    </row>
    <row r="4712">
      <c r="A4712" s="6" t="s">
        <v>10295</v>
      </c>
      <c r="B4712" s="6" t="s">
        <v>10296</v>
      </c>
      <c r="C4712" s="6" t="s">
        <v>43</v>
      </c>
      <c r="D4712" s="6" t="s">
        <v>1104</v>
      </c>
      <c r="E4712" s="6" t="s">
        <v>107</v>
      </c>
      <c r="F4712" s="6" t="s">
        <v>18</v>
      </c>
      <c r="G4712" s="7">
        <v>0.09</v>
      </c>
      <c r="H4712" s="6" t="s">
        <v>10297</v>
      </c>
      <c r="I4712" s="6" t="s">
        <v>20</v>
      </c>
      <c r="J4712" s="6">
        <v>2005.0</v>
      </c>
      <c r="K4712" s="10">
        <v>46054.0</v>
      </c>
      <c r="L4712" s="6">
        <v>1.0</v>
      </c>
      <c r="M4712" s="8">
        <f t="shared" si="4"/>
        <v>0.09</v>
      </c>
      <c r="P4712" s="9"/>
    </row>
    <row r="4713">
      <c r="A4713" s="6" t="s">
        <v>10298</v>
      </c>
      <c r="B4713" s="6" t="s">
        <v>8451</v>
      </c>
      <c r="C4713" s="6" t="s">
        <v>37</v>
      </c>
      <c r="D4713" s="6" t="s">
        <v>10299</v>
      </c>
      <c r="E4713" s="6" t="s">
        <v>1840</v>
      </c>
      <c r="F4713" s="6" t="s">
        <v>18</v>
      </c>
      <c r="G4713" s="7">
        <v>0.05</v>
      </c>
      <c r="H4713" s="6" t="s">
        <v>1511</v>
      </c>
      <c r="I4713" s="6" t="s">
        <v>20</v>
      </c>
      <c r="J4713" s="6">
        <v>2014.0</v>
      </c>
      <c r="K4713" s="10">
        <v>46023.0</v>
      </c>
      <c r="L4713" s="6">
        <v>1.0</v>
      </c>
      <c r="M4713" s="8">
        <f t="shared" si="4"/>
        <v>0.05</v>
      </c>
      <c r="P4713" s="9"/>
    </row>
    <row r="4714">
      <c r="A4714" s="6" t="s">
        <v>10300</v>
      </c>
      <c r="B4714" s="6" t="s">
        <v>2348</v>
      </c>
      <c r="C4714" s="6" t="s">
        <v>37</v>
      </c>
      <c r="D4714" s="6" t="s">
        <v>10301</v>
      </c>
      <c r="E4714" s="6" t="s">
        <v>1147</v>
      </c>
      <c r="F4714" s="6" t="s">
        <v>18</v>
      </c>
      <c r="G4714" s="7">
        <v>1.2</v>
      </c>
      <c r="H4714" s="6" t="s">
        <v>3038</v>
      </c>
      <c r="I4714" s="6" t="s">
        <v>20</v>
      </c>
      <c r="J4714" s="6">
        <v>2006.0</v>
      </c>
      <c r="K4714" s="10">
        <v>46055.0</v>
      </c>
      <c r="L4714" s="6">
        <v>1.0</v>
      </c>
      <c r="M4714" s="8">
        <f t="shared" si="4"/>
        <v>1.2</v>
      </c>
      <c r="N4714" s="6" t="s">
        <v>122</v>
      </c>
      <c r="P4714" s="9"/>
    </row>
    <row r="4715">
      <c r="A4715" s="6" t="s">
        <v>10302</v>
      </c>
      <c r="B4715" s="6" t="s">
        <v>10153</v>
      </c>
      <c r="C4715" s="6" t="s">
        <v>43</v>
      </c>
      <c r="E4715" s="6" t="s">
        <v>107</v>
      </c>
      <c r="F4715" s="6" t="s">
        <v>18</v>
      </c>
      <c r="G4715" s="7">
        <v>0.06</v>
      </c>
      <c r="H4715" s="6" t="s">
        <v>283</v>
      </c>
      <c r="I4715" s="6" t="s">
        <v>20</v>
      </c>
      <c r="J4715" s="6">
        <v>2013.0</v>
      </c>
      <c r="K4715" s="10">
        <v>46024.0</v>
      </c>
      <c r="L4715" s="6">
        <v>2.0</v>
      </c>
      <c r="M4715" s="8">
        <f t="shared" si="4"/>
        <v>0.12</v>
      </c>
      <c r="P4715" s="9"/>
    </row>
    <row r="4716">
      <c r="A4716" s="6" t="s">
        <v>9930</v>
      </c>
      <c r="B4716" s="6" t="s">
        <v>8327</v>
      </c>
      <c r="C4716" s="6" t="s">
        <v>43</v>
      </c>
      <c r="D4716" s="6" t="s">
        <v>9931</v>
      </c>
      <c r="E4716" s="6" t="s">
        <v>107</v>
      </c>
      <c r="F4716" s="6" t="s">
        <v>18</v>
      </c>
      <c r="G4716" s="7">
        <v>0.06</v>
      </c>
      <c r="H4716" s="6" t="s">
        <v>895</v>
      </c>
      <c r="I4716" s="6" t="s">
        <v>20</v>
      </c>
      <c r="J4716" s="6">
        <v>2018.0</v>
      </c>
      <c r="K4716" s="10">
        <v>46054.0</v>
      </c>
      <c r="L4716" s="6">
        <v>2.0</v>
      </c>
      <c r="M4716" s="8">
        <f t="shared" si="4"/>
        <v>0.12</v>
      </c>
      <c r="P4716" s="9"/>
    </row>
    <row r="4717">
      <c r="A4717" s="6" t="s">
        <v>8057</v>
      </c>
      <c r="B4717" s="6" t="s">
        <v>1844</v>
      </c>
      <c r="C4717" s="6" t="s">
        <v>43</v>
      </c>
      <c r="D4717" s="6" t="s">
        <v>1500</v>
      </c>
      <c r="E4717" s="6" t="s">
        <v>98</v>
      </c>
      <c r="F4717" s="6" t="s">
        <v>18</v>
      </c>
      <c r="G4717" s="7">
        <v>0.06</v>
      </c>
      <c r="H4717" s="6" t="s">
        <v>4785</v>
      </c>
      <c r="I4717" s="6" t="s">
        <v>20</v>
      </c>
      <c r="J4717" s="6">
        <v>2013.0</v>
      </c>
      <c r="K4717" s="10">
        <v>46055.0</v>
      </c>
      <c r="L4717" s="6">
        <v>1.0</v>
      </c>
      <c r="M4717" s="8">
        <f t="shared" si="4"/>
        <v>0.06</v>
      </c>
      <c r="P4717" s="9"/>
    </row>
    <row r="4718">
      <c r="A4718" s="6" t="s">
        <v>10303</v>
      </c>
      <c r="B4718" s="6" t="s">
        <v>10304</v>
      </c>
      <c r="C4718" s="6" t="s">
        <v>43</v>
      </c>
      <c r="E4718" s="6" t="s">
        <v>107</v>
      </c>
      <c r="F4718" s="6" t="s">
        <v>18</v>
      </c>
      <c r="G4718" s="7">
        <v>0.04</v>
      </c>
      <c r="H4718" s="6" t="s">
        <v>350</v>
      </c>
      <c r="I4718" s="6" t="s">
        <v>20</v>
      </c>
      <c r="J4718" s="6">
        <v>2003.0</v>
      </c>
      <c r="K4718" s="10">
        <v>46024.0</v>
      </c>
      <c r="L4718" s="6">
        <v>1.0</v>
      </c>
      <c r="M4718" s="8">
        <f t="shared" si="4"/>
        <v>0.04</v>
      </c>
      <c r="P4718" s="9"/>
    </row>
    <row r="4719">
      <c r="A4719" s="6" t="s">
        <v>10305</v>
      </c>
      <c r="B4719" s="6" t="s">
        <v>406</v>
      </c>
      <c r="C4719" s="6" t="s">
        <v>43</v>
      </c>
      <c r="E4719" s="6" t="s">
        <v>654</v>
      </c>
      <c r="F4719" s="6" t="s">
        <v>18</v>
      </c>
      <c r="G4719" s="7">
        <v>0.06</v>
      </c>
      <c r="H4719" s="6" t="s">
        <v>211</v>
      </c>
      <c r="I4719" s="6" t="s">
        <v>20</v>
      </c>
      <c r="J4719" s="6">
        <v>2010.0</v>
      </c>
      <c r="K4719" s="10">
        <v>46144.0</v>
      </c>
      <c r="L4719" s="6">
        <v>1.0</v>
      </c>
      <c r="M4719" s="8">
        <f t="shared" si="4"/>
        <v>0.06</v>
      </c>
      <c r="P4719" s="9"/>
    </row>
    <row r="4720">
      <c r="A4720" s="6" t="s">
        <v>10306</v>
      </c>
      <c r="B4720" s="6" t="s">
        <v>1803</v>
      </c>
      <c r="C4720" s="6" t="s">
        <v>43</v>
      </c>
      <c r="E4720" s="6" t="s">
        <v>190</v>
      </c>
      <c r="F4720" s="6" t="s">
        <v>18</v>
      </c>
      <c r="G4720" s="7">
        <v>0.03</v>
      </c>
      <c r="H4720" s="6" t="s">
        <v>496</v>
      </c>
      <c r="I4720" s="6" t="s">
        <v>20</v>
      </c>
      <c r="J4720" s="6">
        <v>2013.0</v>
      </c>
      <c r="K4720" s="10">
        <v>46054.0</v>
      </c>
      <c r="L4720" s="6">
        <v>1.0</v>
      </c>
      <c r="M4720" s="8">
        <f t="shared" si="4"/>
        <v>0.03</v>
      </c>
      <c r="P4720" s="9"/>
    </row>
    <row r="4721">
      <c r="A4721" s="6" t="s">
        <v>10307</v>
      </c>
      <c r="B4721" s="6" t="s">
        <v>3709</v>
      </c>
      <c r="C4721" s="6" t="s">
        <v>43</v>
      </c>
      <c r="D4721" s="6" t="s">
        <v>10308</v>
      </c>
      <c r="E4721" s="6" t="s">
        <v>98</v>
      </c>
      <c r="F4721" s="6" t="s">
        <v>18</v>
      </c>
      <c r="G4721" s="7">
        <v>0.05</v>
      </c>
      <c r="H4721" s="6" t="s">
        <v>687</v>
      </c>
      <c r="I4721" s="6" t="s">
        <v>20</v>
      </c>
      <c r="J4721" s="6">
        <v>2011.0</v>
      </c>
      <c r="K4721" s="10">
        <v>46113.0</v>
      </c>
      <c r="L4721" s="6">
        <v>1.0</v>
      </c>
      <c r="M4721" s="8">
        <f t="shared" si="4"/>
        <v>0.05</v>
      </c>
      <c r="P4721" s="9"/>
    </row>
    <row r="4722">
      <c r="A4722" s="6" t="s">
        <v>10309</v>
      </c>
      <c r="B4722" s="6" t="s">
        <v>10310</v>
      </c>
      <c r="C4722" s="6" t="s">
        <v>43</v>
      </c>
      <c r="D4722" s="6" t="s">
        <v>10311</v>
      </c>
      <c r="E4722" s="6" t="s">
        <v>107</v>
      </c>
      <c r="F4722" s="6" t="s">
        <v>18</v>
      </c>
      <c r="G4722" s="7">
        <v>0.03</v>
      </c>
      <c r="H4722" s="6" t="s">
        <v>6779</v>
      </c>
      <c r="I4722" s="6" t="s">
        <v>20</v>
      </c>
      <c r="J4722" s="6">
        <v>2011.0</v>
      </c>
      <c r="K4722" s="10">
        <v>46023.0</v>
      </c>
      <c r="L4722" s="6">
        <v>1.0</v>
      </c>
      <c r="M4722" s="8">
        <f t="shared" si="4"/>
        <v>0.03</v>
      </c>
      <c r="P4722" s="9"/>
    </row>
    <row r="4723">
      <c r="A4723" s="6" t="s">
        <v>10312</v>
      </c>
      <c r="B4723" s="6" t="s">
        <v>10313</v>
      </c>
      <c r="C4723" s="6" t="s">
        <v>43</v>
      </c>
      <c r="D4723" s="6" t="s">
        <v>986</v>
      </c>
      <c r="E4723" s="6" t="s">
        <v>224</v>
      </c>
      <c r="F4723" s="6" t="s">
        <v>18</v>
      </c>
      <c r="G4723" s="7">
        <v>0.06</v>
      </c>
      <c r="H4723" s="6" t="s">
        <v>1553</v>
      </c>
      <c r="I4723" s="6" t="s">
        <v>20</v>
      </c>
      <c r="J4723" s="6">
        <v>1998.0</v>
      </c>
      <c r="K4723" s="10">
        <v>46056.0</v>
      </c>
      <c r="L4723" s="6">
        <v>1.0</v>
      </c>
      <c r="M4723" s="8">
        <f t="shared" si="4"/>
        <v>0.06</v>
      </c>
      <c r="P4723" s="9"/>
    </row>
    <row r="4724">
      <c r="A4724" s="6" t="s">
        <v>10314</v>
      </c>
      <c r="B4724" s="6" t="s">
        <v>10315</v>
      </c>
      <c r="C4724" s="6" t="s">
        <v>43</v>
      </c>
      <c r="D4724" s="6" t="s">
        <v>10316</v>
      </c>
      <c r="E4724" s="6" t="s">
        <v>98</v>
      </c>
      <c r="F4724" s="6" t="s">
        <v>18</v>
      </c>
      <c r="G4724" s="7">
        <v>0.08</v>
      </c>
      <c r="H4724" s="6" t="s">
        <v>1442</v>
      </c>
      <c r="I4724" s="6" t="s">
        <v>20</v>
      </c>
      <c r="J4724" s="6">
        <v>2001.0</v>
      </c>
      <c r="K4724" s="10">
        <v>46024.0</v>
      </c>
      <c r="L4724" s="6">
        <v>2.0</v>
      </c>
      <c r="M4724" s="8">
        <f t="shared" si="4"/>
        <v>0.16</v>
      </c>
      <c r="P4724" s="9"/>
    </row>
    <row r="4725">
      <c r="A4725" s="6" t="s">
        <v>10317</v>
      </c>
      <c r="B4725" s="6" t="s">
        <v>1844</v>
      </c>
      <c r="C4725" s="6" t="s">
        <v>43</v>
      </c>
      <c r="D4725" s="6" t="s">
        <v>1500</v>
      </c>
      <c r="E4725" s="6" t="s">
        <v>107</v>
      </c>
      <c r="F4725" s="6" t="s">
        <v>18</v>
      </c>
      <c r="G4725" s="7">
        <v>0.08</v>
      </c>
      <c r="H4725" s="6" t="s">
        <v>283</v>
      </c>
      <c r="I4725" s="6" t="s">
        <v>20</v>
      </c>
      <c r="J4725" s="6">
        <v>2013.0</v>
      </c>
      <c r="K4725" s="10">
        <v>46082.0</v>
      </c>
      <c r="L4725" s="6">
        <v>1.0</v>
      </c>
      <c r="M4725" s="8">
        <f t="shared" si="4"/>
        <v>0.08</v>
      </c>
      <c r="P4725" s="9"/>
    </row>
    <row r="4726">
      <c r="A4726" s="6" t="s">
        <v>10318</v>
      </c>
      <c r="B4726" s="6" t="s">
        <v>10153</v>
      </c>
      <c r="C4726" s="6" t="s">
        <v>43</v>
      </c>
      <c r="E4726" s="6" t="s">
        <v>190</v>
      </c>
      <c r="F4726" s="6" t="s">
        <v>18</v>
      </c>
      <c r="G4726" s="7">
        <v>0.04</v>
      </c>
      <c r="H4726" s="6" t="s">
        <v>1071</v>
      </c>
      <c r="I4726" s="6" t="s">
        <v>20</v>
      </c>
      <c r="J4726" s="6">
        <v>2012.0</v>
      </c>
      <c r="K4726" s="10">
        <v>46023.0</v>
      </c>
      <c r="L4726" s="6">
        <v>1.0</v>
      </c>
      <c r="M4726" s="8">
        <f t="shared" si="4"/>
        <v>0.04</v>
      </c>
      <c r="P4726" s="9"/>
    </row>
    <row r="4727">
      <c r="A4727" s="6" t="s">
        <v>10319</v>
      </c>
      <c r="B4727" s="6" t="s">
        <v>1803</v>
      </c>
      <c r="C4727" s="6" t="s">
        <v>43</v>
      </c>
      <c r="D4727" s="6" t="s">
        <v>10320</v>
      </c>
      <c r="E4727" s="6" t="s">
        <v>98</v>
      </c>
      <c r="F4727" s="6" t="s">
        <v>18</v>
      </c>
      <c r="G4727" s="7">
        <v>0.06</v>
      </c>
      <c r="H4727" s="6" t="s">
        <v>283</v>
      </c>
      <c r="I4727" s="6" t="s">
        <v>20</v>
      </c>
      <c r="J4727" s="6">
        <v>2013.0</v>
      </c>
      <c r="K4727" s="10">
        <v>46082.0</v>
      </c>
      <c r="L4727" s="6">
        <v>2.0</v>
      </c>
      <c r="M4727" s="8">
        <f t="shared" si="4"/>
        <v>0.12</v>
      </c>
      <c r="P4727" s="9"/>
    </row>
    <row r="4728">
      <c r="A4728" s="6" t="s">
        <v>10321</v>
      </c>
      <c r="B4728" s="6" t="s">
        <v>10322</v>
      </c>
      <c r="C4728" s="6" t="s">
        <v>43</v>
      </c>
      <c r="D4728" s="6" t="s">
        <v>10323</v>
      </c>
      <c r="E4728" s="6" t="s">
        <v>654</v>
      </c>
      <c r="F4728" s="6" t="s">
        <v>18</v>
      </c>
      <c r="G4728" s="7">
        <v>0.05</v>
      </c>
      <c r="H4728" s="6" t="s">
        <v>1442</v>
      </c>
      <c r="I4728" s="6" t="s">
        <v>20</v>
      </c>
      <c r="J4728" s="6">
        <v>2001.0</v>
      </c>
      <c r="K4728" s="10">
        <v>46055.0</v>
      </c>
      <c r="L4728" s="6">
        <v>2.0</v>
      </c>
      <c r="M4728" s="8">
        <f t="shared" si="4"/>
        <v>0.1</v>
      </c>
      <c r="P4728" s="9"/>
    </row>
    <row r="4729">
      <c r="A4729" s="6" t="s">
        <v>10302</v>
      </c>
      <c r="B4729" s="6" t="s">
        <v>10153</v>
      </c>
      <c r="C4729" s="6" t="s">
        <v>43</v>
      </c>
      <c r="E4729" s="6" t="s">
        <v>107</v>
      </c>
      <c r="F4729" s="6" t="s">
        <v>18</v>
      </c>
      <c r="G4729" s="7">
        <v>0.05</v>
      </c>
      <c r="H4729" s="6" t="s">
        <v>10324</v>
      </c>
      <c r="I4729" s="6" t="s">
        <v>20</v>
      </c>
      <c r="J4729" s="6">
        <v>2017.0</v>
      </c>
      <c r="K4729" s="10">
        <v>46024.0</v>
      </c>
      <c r="L4729" s="6">
        <v>2.0</v>
      </c>
      <c r="M4729" s="8">
        <f t="shared" si="4"/>
        <v>0.1</v>
      </c>
      <c r="P4729" s="9"/>
    </row>
    <row r="4730">
      <c r="A4730" s="6" t="s">
        <v>10302</v>
      </c>
      <c r="B4730" s="6" t="s">
        <v>10153</v>
      </c>
      <c r="C4730" s="6" t="s">
        <v>43</v>
      </c>
      <c r="E4730" s="6" t="s">
        <v>107</v>
      </c>
      <c r="F4730" s="6" t="s">
        <v>18</v>
      </c>
      <c r="G4730" s="7">
        <v>0.09</v>
      </c>
      <c r="H4730" s="6" t="s">
        <v>1388</v>
      </c>
      <c r="I4730" s="6" t="s">
        <v>20</v>
      </c>
      <c r="J4730" s="6">
        <v>1998.0</v>
      </c>
      <c r="K4730" s="10">
        <v>46024.0</v>
      </c>
      <c r="L4730" s="6">
        <v>1.0</v>
      </c>
      <c r="M4730" s="8">
        <f t="shared" si="4"/>
        <v>0.09</v>
      </c>
      <c r="P4730" s="9"/>
    </row>
    <row r="4731">
      <c r="A4731" s="6" t="s">
        <v>10325</v>
      </c>
      <c r="B4731" s="6" t="s">
        <v>10326</v>
      </c>
      <c r="C4731" s="6" t="s">
        <v>43</v>
      </c>
      <c r="D4731" s="6" t="s">
        <v>10327</v>
      </c>
      <c r="E4731" s="6" t="s">
        <v>224</v>
      </c>
      <c r="F4731" s="6" t="s">
        <v>18</v>
      </c>
      <c r="G4731" s="7">
        <v>0.06</v>
      </c>
      <c r="H4731" s="6" t="s">
        <v>1048</v>
      </c>
      <c r="I4731" s="6" t="s">
        <v>20</v>
      </c>
      <c r="J4731" s="6">
        <v>2008.0</v>
      </c>
      <c r="K4731" s="10">
        <v>46055.0</v>
      </c>
      <c r="L4731" s="6">
        <v>1.0</v>
      </c>
      <c r="M4731" s="8">
        <f t="shared" si="4"/>
        <v>0.06</v>
      </c>
      <c r="P4731" s="9"/>
    </row>
    <row r="4732">
      <c r="A4732" s="6" t="s">
        <v>10328</v>
      </c>
      <c r="B4732" s="6" t="s">
        <v>1002</v>
      </c>
      <c r="C4732" s="6" t="s">
        <v>43</v>
      </c>
      <c r="D4732" s="6" t="s">
        <v>10329</v>
      </c>
      <c r="E4732" s="6" t="s">
        <v>654</v>
      </c>
      <c r="F4732" s="6" t="s">
        <v>18</v>
      </c>
      <c r="G4732" s="7">
        <v>0.05</v>
      </c>
      <c r="H4732" s="6" t="s">
        <v>1048</v>
      </c>
      <c r="I4732" s="6" t="s">
        <v>20</v>
      </c>
      <c r="J4732" s="6">
        <v>2008.0</v>
      </c>
      <c r="K4732" s="10">
        <v>46118.0</v>
      </c>
      <c r="L4732" s="6">
        <v>1.0</v>
      </c>
      <c r="M4732" s="8">
        <f t="shared" si="4"/>
        <v>0.05</v>
      </c>
      <c r="P4732" s="9"/>
    </row>
    <row r="4733">
      <c r="A4733" s="6" t="s">
        <v>9800</v>
      </c>
      <c r="B4733" s="6" t="s">
        <v>1844</v>
      </c>
      <c r="C4733" s="6" t="s">
        <v>43</v>
      </c>
      <c r="D4733" s="6" t="s">
        <v>9801</v>
      </c>
      <c r="E4733" s="6" t="s">
        <v>224</v>
      </c>
      <c r="F4733" s="6" t="s">
        <v>18</v>
      </c>
      <c r="G4733" s="7">
        <v>0.05</v>
      </c>
      <c r="H4733" s="6" t="s">
        <v>4519</v>
      </c>
      <c r="I4733" s="6" t="s">
        <v>20</v>
      </c>
      <c r="J4733" s="6">
        <v>2009.0</v>
      </c>
      <c r="K4733" s="10">
        <v>46056.0</v>
      </c>
      <c r="L4733" s="6">
        <v>1.0</v>
      </c>
      <c r="M4733" s="8">
        <f t="shared" si="4"/>
        <v>0.05</v>
      </c>
      <c r="P4733" s="9"/>
    </row>
    <row r="4734">
      <c r="A4734" s="6" t="s">
        <v>10330</v>
      </c>
      <c r="B4734" s="6" t="s">
        <v>1002</v>
      </c>
      <c r="C4734" s="6" t="s">
        <v>43</v>
      </c>
      <c r="D4734" s="6" t="s">
        <v>10331</v>
      </c>
      <c r="E4734" s="6" t="s">
        <v>2366</v>
      </c>
      <c r="F4734" s="6" t="s">
        <v>18</v>
      </c>
      <c r="G4734" s="7">
        <v>0.08</v>
      </c>
      <c r="H4734" s="6" t="s">
        <v>3535</v>
      </c>
      <c r="I4734" s="6" t="s">
        <v>20</v>
      </c>
      <c r="J4734" s="6">
        <v>2011.0</v>
      </c>
      <c r="K4734" s="10">
        <v>46116.0</v>
      </c>
      <c r="L4734" s="6">
        <v>1.0</v>
      </c>
      <c r="M4734" s="8">
        <f t="shared" si="4"/>
        <v>0.08</v>
      </c>
      <c r="P4734" s="9"/>
    </row>
    <row r="4735">
      <c r="A4735" s="6" t="s">
        <v>10332</v>
      </c>
      <c r="B4735" s="6" t="s">
        <v>1844</v>
      </c>
      <c r="C4735" s="6" t="s">
        <v>43</v>
      </c>
      <c r="D4735" s="6" t="s">
        <v>10333</v>
      </c>
      <c r="E4735" s="6" t="s">
        <v>224</v>
      </c>
      <c r="F4735" s="6" t="s">
        <v>18</v>
      </c>
      <c r="G4735" s="7">
        <v>0.06</v>
      </c>
      <c r="H4735" s="6" t="s">
        <v>3124</v>
      </c>
      <c r="I4735" s="6" t="s">
        <v>20</v>
      </c>
      <c r="J4735" s="6">
        <v>2010.0</v>
      </c>
      <c r="K4735" s="10">
        <v>46055.0</v>
      </c>
      <c r="L4735" s="6">
        <v>1.0</v>
      </c>
      <c r="M4735" s="8">
        <f t="shared" si="4"/>
        <v>0.06</v>
      </c>
      <c r="P4735" s="9"/>
    </row>
    <row r="4736">
      <c r="A4736" s="6" t="s">
        <v>10334</v>
      </c>
      <c r="B4736" s="6" t="s">
        <v>10335</v>
      </c>
      <c r="C4736" s="6" t="s">
        <v>43</v>
      </c>
      <c r="D4736" s="6" t="s">
        <v>10336</v>
      </c>
      <c r="E4736" s="6" t="s">
        <v>210</v>
      </c>
      <c r="F4736" s="6" t="s">
        <v>18</v>
      </c>
      <c r="G4736" s="7">
        <v>0.06</v>
      </c>
      <c r="H4736" s="6" t="s">
        <v>4519</v>
      </c>
      <c r="I4736" s="6" t="s">
        <v>20</v>
      </c>
      <c r="J4736" s="6">
        <v>2009.0</v>
      </c>
      <c r="K4736" s="10">
        <v>46115.0</v>
      </c>
      <c r="L4736" s="6">
        <v>1.0</v>
      </c>
      <c r="M4736" s="8">
        <f t="shared" si="4"/>
        <v>0.06</v>
      </c>
      <c r="P4736" s="9"/>
    </row>
    <row r="4737">
      <c r="A4737" s="6" t="s">
        <v>10337</v>
      </c>
      <c r="B4737" s="6" t="s">
        <v>9883</v>
      </c>
      <c r="C4737" s="6" t="s">
        <v>43</v>
      </c>
      <c r="D4737" s="6" t="s">
        <v>10338</v>
      </c>
      <c r="E4737" s="6" t="s">
        <v>210</v>
      </c>
      <c r="F4737" s="6" t="s">
        <v>18</v>
      </c>
      <c r="G4737" s="7">
        <v>0.02</v>
      </c>
      <c r="H4737" s="6" t="s">
        <v>434</v>
      </c>
      <c r="I4737" s="6" t="s">
        <v>20</v>
      </c>
      <c r="J4737" s="6">
        <v>2000.0</v>
      </c>
      <c r="K4737" s="10">
        <v>46083.0</v>
      </c>
      <c r="L4737" s="6">
        <v>1.0</v>
      </c>
      <c r="M4737" s="8">
        <f t="shared" si="4"/>
        <v>0.02</v>
      </c>
      <c r="P4737" s="9"/>
    </row>
    <row r="4738">
      <c r="A4738" s="6" t="s">
        <v>10339</v>
      </c>
      <c r="B4738" s="6" t="s">
        <v>5111</v>
      </c>
      <c r="C4738" s="6" t="s">
        <v>43</v>
      </c>
      <c r="D4738" s="6" t="s">
        <v>10340</v>
      </c>
      <c r="E4738" s="6" t="s">
        <v>190</v>
      </c>
      <c r="F4738" s="6" t="s">
        <v>18</v>
      </c>
      <c r="G4738" s="7">
        <v>0.28</v>
      </c>
      <c r="H4738" s="6" t="s">
        <v>7434</v>
      </c>
      <c r="I4738" s="6" t="s">
        <v>20</v>
      </c>
      <c r="J4738" s="6">
        <v>2010.0</v>
      </c>
      <c r="K4738" s="10">
        <v>46023.0</v>
      </c>
      <c r="L4738" s="6">
        <v>1.0</v>
      </c>
      <c r="M4738" s="8">
        <f t="shared" si="4"/>
        <v>0.28</v>
      </c>
      <c r="P4738" s="9"/>
    </row>
    <row r="4739">
      <c r="A4739" s="6" t="s">
        <v>10341</v>
      </c>
      <c r="B4739" s="6" t="s">
        <v>10342</v>
      </c>
      <c r="C4739" s="6" t="s">
        <v>37</v>
      </c>
      <c r="D4739" s="6" t="s">
        <v>10343</v>
      </c>
      <c r="E4739" s="6" t="s">
        <v>3201</v>
      </c>
      <c r="F4739" s="6" t="s">
        <v>18</v>
      </c>
      <c r="G4739" s="7">
        <v>0.06</v>
      </c>
      <c r="H4739" s="6" t="s">
        <v>1511</v>
      </c>
      <c r="I4739" s="6" t="s">
        <v>20</v>
      </c>
      <c r="J4739" s="6">
        <v>2014.0</v>
      </c>
      <c r="K4739" s="10">
        <v>46179.0</v>
      </c>
      <c r="L4739" s="6">
        <v>1.0</v>
      </c>
      <c r="M4739" s="8">
        <f t="shared" si="4"/>
        <v>0.06</v>
      </c>
      <c r="P4739" s="9"/>
    </row>
    <row r="4740">
      <c r="A4740" s="6" t="s">
        <v>10344</v>
      </c>
      <c r="B4740" s="6" t="s">
        <v>1803</v>
      </c>
      <c r="C4740" s="6" t="s">
        <v>43</v>
      </c>
      <c r="D4740" s="6" t="s">
        <v>10345</v>
      </c>
      <c r="E4740" s="6" t="s">
        <v>190</v>
      </c>
      <c r="F4740" s="6" t="s">
        <v>18</v>
      </c>
      <c r="G4740" s="7">
        <v>0.04</v>
      </c>
      <c r="H4740" s="6" t="s">
        <v>211</v>
      </c>
      <c r="I4740" s="6" t="s">
        <v>20</v>
      </c>
      <c r="J4740" s="6">
        <v>2010.0</v>
      </c>
      <c r="K4740" s="10">
        <v>46023.0</v>
      </c>
      <c r="L4740" s="6">
        <v>1.0</v>
      </c>
      <c r="M4740" s="8">
        <f t="shared" si="4"/>
        <v>0.04</v>
      </c>
      <c r="P4740" s="9"/>
    </row>
    <row r="4741">
      <c r="A4741" s="6" t="s">
        <v>10346</v>
      </c>
      <c r="B4741" s="6" t="s">
        <v>1844</v>
      </c>
      <c r="C4741" s="6" t="s">
        <v>37</v>
      </c>
      <c r="D4741" s="6" t="s">
        <v>1500</v>
      </c>
      <c r="E4741" s="6" t="s">
        <v>224</v>
      </c>
      <c r="F4741" s="6" t="s">
        <v>18</v>
      </c>
      <c r="G4741" s="7">
        <v>0.06</v>
      </c>
      <c r="H4741" s="6" t="s">
        <v>211</v>
      </c>
      <c r="I4741" s="6" t="s">
        <v>20</v>
      </c>
      <c r="J4741" s="6">
        <v>2010.0</v>
      </c>
      <c r="K4741" s="10">
        <v>46114.0</v>
      </c>
      <c r="L4741" s="6">
        <v>1.0</v>
      </c>
      <c r="M4741" s="8">
        <f t="shared" si="4"/>
        <v>0.06</v>
      </c>
      <c r="P4741" s="9"/>
    </row>
    <row r="4742">
      <c r="A4742" s="6" t="s">
        <v>10347</v>
      </c>
      <c r="B4742" s="6" t="s">
        <v>3664</v>
      </c>
      <c r="C4742" s="6" t="s">
        <v>43</v>
      </c>
      <c r="D4742" s="6" t="s">
        <v>10348</v>
      </c>
      <c r="E4742" s="6" t="s">
        <v>107</v>
      </c>
      <c r="F4742" s="6" t="s">
        <v>18</v>
      </c>
      <c r="G4742" s="7">
        <v>0.03</v>
      </c>
      <c r="H4742" s="6" t="s">
        <v>1511</v>
      </c>
      <c r="I4742" s="6" t="s">
        <v>20</v>
      </c>
      <c r="J4742" s="6">
        <v>2014.0</v>
      </c>
      <c r="K4742" s="10">
        <v>46024.0</v>
      </c>
      <c r="L4742" s="6">
        <v>2.0</v>
      </c>
      <c r="M4742" s="8">
        <f t="shared" si="4"/>
        <v>0.06</v>
      </c>
      <c r="P4742" s="9"/>
    </row>
    <row r="4743">
      <c r="A4743" s="6" t="s">
        <v>10349</v>
      </c>
      <c r="B4743" s="6" t="s">
        <v>10350</v>
      </c>
      <c r="C4743" s="6" t="s">
        <v>37</v>
      </c>
      <c r="D4743" s="6" t="s">
        <v>10351</v>
      </c>
      <c r="E4743" s="6" t="s">
        <v>210</v>
      </c>
      <c r="F4743" s="6" t="s">
        <v>18</v>
      </c>
      <c r="G4743" s="7">
        <v>0.09</v>
      </c>
      <c r="H4743" s="6" t="s">
        <v>4519</v>
      </c>
      <c r="I4743" s="6" t="s">
        <v>20</v>
      </c>
      <c r="J4743" s="6">
        <v>2009.0</v>
      </c>
      <c r="K4743" s="10">
        <v>46055.0</v>
      </c>
      <c r="L4743" s="6">
        <v>1.0</v>
      </c>
      <c r="M4743" s="8">
        <f t="shared" si="4"/>
        <v>0.09</v>
      </c>
      <c r="P4743" s="9"/>
    </row>
    <row r="4744">
      <c r="A4744" s="6" t="s">
        <v>10352</v>
      </c>
      <c r="B4744" s="6" t="s">
        <v>10353</v>
      </c>
      <c r="C4744" s="6" t="s">
        <v>37</v>
      </c>
      <c r="D4744" s="6" t="s">
        <v>10354</v>
      </c>
      <c r="E4744" s="6" t="s">
        <v>98</v>
      </c>
      <c r="F4744" s="6" t="s">
        <v>18</v>
      </c>
      <c r="G4744" s="7">
        <v>0.08</v>
      </c>
      <c r="H4744" s="6" t="s">
        <v>10355</v>
      </c>
      <c r="I4744" s="6" t="s">
        <v>20</v>
      </c>
      <c r="J4744" s="6">
        <v>2010.0</v>
      </c>
      <c r="K4744" s="10">
        <v>46085.0</v>
      </c>
      <c r="L4744" s="6">
        <v>1.0</v>
      </c>
      <c r="M4744" s="8">
        <f t="shared" si="4"/>
        <v>0.08</v>
      </c>
      <c r="P4744" s="9"/>
    </row>
    <row r="4745">
      <c r="A4745" s="6" t="s">
        <v>10356</v>
      </c>
      <c r="B4745" s="6" t="s">
        <v>1002</v>
      </c>
      <c r="C4745" s="6" t="s">
        <v>43</v>
      </c>
      <c r="D4745" s="6" t="s">
        <v>10357</v>
      </c>
      <c r="E4745" s="6" t="s">
        <v>2366</v>
      </c>
      <c r="F4745" s="6" t="s">
        <v>18</v>
      </c>
      <c r="G4745" s="7">
        <v>0.04</v>
      </c>
      <c r="H4745" s="6" t="s">
        <v>2157</v>
      </c>
      <c r="I4745" s="6" t="s">
        <v>20</v>
      </c>
      <c r="J4745" s="6">
        <v>2008.0</v>
      </c>
      <c r="K4745" s="6" t="s">
        <v>527</v>
      </c>
      <c r="L4745" s="6">
        <v>1.0</v>
      </c>
      <c r="M4745" s="8">
        <f t="shared" si="4"/>
        <v>0.04</v>
      </c>
      <c r="P4745" s="9"/>
    </row>
    <row r="4746">
      <c r="A4746" s="6" t="s">
        <v>10358</v>
      </c>
      <c r="B4746" s="6" t="s">
        <v>6909</v>
      </c>
      <c r="C4746" s="6" t="s">
        <v>43</v>
      </c>
      <c r="D4746" s="6" t="s">
        <v>10359</v>
      </c>
      <c r="E4746" s="6" t="s">
        <v>1840</v>
      </c>
      <c r="F4746" s="6" t="s">
        <v>18</v>
      </c>
      <c r="G4746" s="7">
        <v>0.05</v>
      </c>
      <c r="H4746" s="6" t="s">
        <v>1475</v>
      </c>
      <c r="I4746" s="6" t="s">
        <v>20</v>
      </c>
      <c r="J4746" s="6">
        <v>2020.0</v>
      </c>
      <c r="K4746" s="10">
        <v>46115.0</v>
      </c>
      <c r="L4746" s="6">
        <v>1.0</v>
      </c>
      <c r="M4746" s="8">
        <f t="shared" si="4"/>
        <v>0.05</v>
      </c>
      <c r="P4746" s="9"/>
    </row>
    <row r="4747">
      <c r="A4747" s="6" t="s">
        <v>10360</v>
      </c>
      <c r="B4747" s="6" t="s">
        <v>2537</v>
      </c>
      <c r="C4747" s="6" t="s">
        <v>43</v>
      </c>
      <c r="D4747" s="6" t="s">
        <v>10361</v>
      </c>
      <c r="E4747" s="6" t="s">
        <v>107</v>
      </c>
      <c r="F4747" s="6" t="s">
        <v>18</v>
      </c>
      <c r="G4747" s="7">
        <v>0.1</v>
      </c>
      <c r="H4747" s="6" t="s">
        <v>259</v>
      </c>
      <c r="I4747" s="6" t="s">
        <v>20</v>
      </c>
      <c r="J4747" s="6">
        <v>1996.0</v>
      </c>
      <c r="K4747" s="10">
        <v>46083.0</v>
      </c>
      <c r="L4747" s="6">
        <v>1.0</v>
      </c>
      <c r="M4747" s="8">
        <f t="shared" si="4"/>
        <v>0.1</v>
      </c>
      <c r="P4747" s="9"/>
    </row>
    <row r="4748">
      <c r="A4748" s="6" t="s">
        <v>10344</v>
      </c>
      <c r="B4748" s="6" t="s">
        <v>1803</v>
      </c>
      <c r="C4748" s="6" t="s">
        <v>43</v>
      </c>
      <c r="D4748" s="6" t="s">
        <v>10345</v>
      </c>
      <c r="E4748" s="6" t="s">
        <v>190</v>
      </c>
      <c r="F4748" s="6" t="s">
        <v>18</v>
      </c>
      <c r="G4748" s="7">
        <v>0.06</v>
      </c>
      <c r="H4748" s="6" t="s">
        <v>283</v>
      </c>
      <c r="I4748" s="6" t="s">
        <v>20</v>
      </c>
      <c r="J4748" s="6">
        <v>2013.0</v>
      </c>
      <c r="K4748" s="10">
        <v>46023.0</v>
      </c>
      <c r="L4748" s="6">
        <v>1.0</v>
      </c>
      <c r="M4748" s="8">
        <f t="shared" si="4"/>
        <v>0.06</v>
      </c>
      <c r="P4748" s="9"/>
    </row>
    <row r="4749">
      <c r="A4749" s="6" t="s">
        <v>9860</v>
      </c>
      <c r="B4749" s="6" t="s">
        <v>1803</v>
      </c>
      <c r="C4749" s="6" t="s">
        <v>43</v>
      </c>
      <c r="D4749" s="6" t="s">
        <v>9861</v>
      </c>
      <c r="E4749" s="6" t="s">
        <v>107</v>
      </c>
      <c r="F4749" s="6" t="s">
        <v>18</v>
      </c>
      <c r="G4749" s="7">
        <v>0.06</v>
      </c>
      <c r="H4749" s="6" t="s">
        <v>6398</v>
      </c>
      <c r="I4749" s="6" t="s">
        <v>20</v>
      </c>
      <c r="J4749" s="6">
        <v>2010.0</v>
      </c>
      <c r="K4749" s="10">
        <v>46024.0</v>
      </c>
      <c r="L4749" s="6">
        <v>1.0</v>
      </c>
      <c r="M4749" s="8">
        <f t="shared" si="4"/>
        <v>0.06</v>
      </c>
      <c r="P4749" s="9"/>
    </row>
    <row r="4750">
      <c r="A4750" s="6" t="s">
        <v>10362</v>
      </c>
      <c r="B4750" s="6" t="s">
        <v>10335</v>
      </c>
      <c r="C4750" s="6" t="s">
        <v>30</v>
      </c>
      <c r="D4750" s="6" t="s">
        <v>10363</v>
      </c>
      <c r="E4750" s="6" t="s">
        <v>98</v>
      </c>
      <c r="F4750" s="6" t="s">
        <v>18</v>
      </c>
      <c r="G4750" s="7">
        <v>0.35</v>
      </c>
      <c r="H4750" s="6" t="s">
        <v>6238</v>
      </c>
      <c r="I4750" s="6" t="s">
        <v>20</v>
      </c>
      <c r="J4750" s="6">
        <v>2001.0</v>
      </c>
      <c r="K4750" s="10">
        <v>46024.0</v>
      </c>
      <c r="L4750" s="6">
        <v>1.0</v>
      </c>
      <c r="M4750" s="8">
        <f t="shared" si="4"/>
        <v>0.35</v>
      </c>
      <c r="P4750" s="9"/>
    </row>
    <row r="4751">
      <c r="A4751" s="6" t="s">
        <v>10364</v>
      </c>
      <c r="B4751" s="6" t="s">
        <v>1002</v>
      </c>
      <c r="C4751" s="6" t="s">
        <v>43</v>
      </c>
      <c r="D4751" s="6" t="s">
        <v>10365</v>
      </c>
      <c r="E4751" s="6" t="s">
        <v>98</v>
      </c>
      <c r="F4751" s="6" t="s">
        <v>18</v>
      </c>
      <c r="G4751" s="7">
        <v>0.06</v>
      </c>
      <c r="H4751" s="6" t="s">
        <v>211</v>
      </c>
      <c r="I4751" s="6" t="s">
        <v>20</v>
      </c>
      <c r="J4751" s="6">
        <v>2010.0</v>
      </c>
      <c r="K4751" s="10">
        <v>46083.0</v>
      </c>
      <c r="L4751" s="6">
        <v>1.0</v>
      </c>
      <c r="M4751" s="8">
        <f t="shared" si="4"/>
        <v>0.06</v>
      </c>
      <c r="P4751" s="9"/>
    </row>
    <row r="4752">
      <c r="A4752" s="6" t="s">
        <v>10366</v>
      </c>
      <c r="B4752" s="6" t="s">
        <v>1844</v>
      </c>
      <c r="C4752" s="6" t="s">
        <v>43</v>
      </c>
      <c r="D4752" s="6" t="s">
        <v>10367</v>
      </c>
      <c r="E4752" s="6" t="s">
        <v>654</v>
      </c>
      <c r="F4752" s="6" t="s">
        <v>18</v>
      </c>
      <c r="G4752" s="7">
        <v>0.04</v>
      </c>
      <c r="H4752" s="6" t="s">
        <v>1090</v>
      </c>
      <c r="I4752" s="6" t="s">
        <v>20</v>
      </c>
      <c r="J4752" s="6">
        <v>2011.0</v>
      </c>
      <c r="K4752" s="10">
        <v>46084.0</v>
      </c>
      <c r="L4752" s="6">
        <v>1.0</v>
      </c>
      <c r="M4752" s="8">
        <f t="shared" si="4"/>
        <v>0.04</v>
      </c>
      <c r="P4752" s="9"/>
    </row>
    <row r="4753">
      <c r="A4753" s="6" t="s">
        <v>10368</v>
      </c>
      <c r="B4753" s="6" t="s">
        <v>1095</v>
      </c>
      <c r="C4753" s="6" t="s">
        <v>37</v>
      </c>
      <c r="D4753" s="6" t="s">
        <v>10369</v>
      </c>
      <c r="E4753" s="6" t="s">
        <v>329</v>
      </c>
      <c r="F4753" s="6" t="s">
        <v>112</v>
      </c>
      <c r="G4753" s="7">
        <v>9.29</v>
      </c>
      <c r="H4753" s="6" t="s">
        <v>3855</v>
      </c>
      <c r="I4753" s="6" t="s">
        <v>20</v>
      </c>
      <c r="J4753" s="6">
        <v>2007.0</v>
      </c>
      <c r="K4753" s="10">
        <v>46054.0</v>
      </c>
      <c r="L4753" s="6">
        <v>1.0</v>
      </c>
      <c r="M4753" s="8">
        <f t="shared" si="4"/>
        <v>9.29</v>
      </c>
      <c r="N4753" s="6" t="s">
        <v>122</v>
      </c>
      <c r="P4753" s="9"/>
    </row>
    <row r="4754">
      <c r="G4754" s="8"/>
      <c r="M4754" s="8">
        <f t="shared" si="4"/>
        <v>0</v>
      </c>
      <c r="P4754" s="9"/>
    </row>
    <row r="4755">
      <c r="G4755" s="8"/>
      <c r="M4755" s="8">
        <f t="shared" si="4"/>
        <v>0</v>
      </c>
      <c r="P4755" s="9"/>
    </row>
    <row r="4756">
      <c r="G4756" s="8"/>
      <c r="M4756" s="8">
        <f t="shared" si="4"/>
        <v>0</v>
      </c>
      <c r="P4756" s="9"/>
    </row>
    <row r="4757">
      <c r="G4757" s="8"/>
      <c r="M4757" s="8">
        <f t="shared" si="4"/>
        <v>0</v>
      </c>
      <c r="P4757" s="9"/>
    </row>
    <row r="4758">
      <c r="G4758" s="8"/>
      <c r="M4758" s="8">
        <f t="shared" si="4"/>
        <v>0</v>
      </c>
      <c r="P4758" s="9"/>
    </row>
    <row r="4759">
      <c r="G4759" s="8"/>
      <c r="M4759" s="8">
        <f t="shared" si="4"/>
        <v>0</v>
      </c>
      <c r="P4759" s="9"/>
    </row>
    <row r="4760">
      <c r="G4760" s="8"/>
      <c r="M4760" s="8">
        <f t="shared" si="4"/>
        <v>0</v>
      </c>
      <c r="P4760" s="9"/>
    </row>
    <row r="4761">
      <c r="G4761" s="8"/>
      <c r="M4761" s="8">
        <f t="shared" si="4"/>
        <v>0</v>
      </c>
      <c r="P4761" s="9"/>
    </row>
    <row r="4762">
      <c r="G4762" s="8"/>
      <c r="M4762" s="8">
        <f t="shared" si="4"/>
        <v>0</v>
      </c>
      <c r="P4762" s="9"/>
    </row>
    <row r="4763">
      <c r="G4763" s="8"/>
      <c r="M4763" s="8">
        <f t="shared" si="4"/>
        <v>0</v>
      </c>
      <c r="P4763" s="9"/>
    </row>
    <row r="4764">
      <c r="G4764" s="8"/>
      <c r="M4764" s="8">
        <f t="shared" si="4"/>
        <v>0</v>
      </c>
      <c r="P4764" s="9"/>
    </row>
    <row r="4765">
      <c r="G4765" s="8"/>
      <c r="M4765" s="8">
        <f t="shared" si="4"/>
        <v>0</v>
      </c>
      <c r="P4765" s="9"/>
    </row>
    <row r="4766">
      <c r="G4766" s="8"/>
      <c r="M4766" s="8">
        <f t="shared" si="4"/>
        <v>0</v>
      </c>
      <c r="P4766" s="9"/>
    </row>
    <row r="4767">
      <c r="G4767" s="8"/>
      <c r="M4767" s="8">
        <f t="shared" si="4"/>
        <v>0</v>
      </c>
      <c r="P4767" s="9"/>
    </row>
    <row r="4768">
      <c r="G4768" s="8"/>
      <c r="M4768" s="8">
        <f t="shared" si="4"/>
        <v>0</v>
      </c>
      <c r="P4768" s="9"/>
    </row>
    <row r="4769">
      <c r="G4769" s="8"/>
      <c r="M4769" s="8">
        <f t="shared" si="4"/>
        <v>0</v>
      </c>
      <c r="P4769" s="9"/>
    </row>
    <row r="4770">
      <c r="G4770" s="8"/>
      <c r="M4770" s="8">
        <f t="shared" si="4"/>
        <v>0</v>
      </c>
      <c r="P4770" s="9"/>
    </row>
    <row r="4771">
      <c r="G4771" s="8"/>
      <c r="M4771" s="8">
        <f t="shared" si="4"/>
        <v>0</v>
      </c>
      <c r="P4771" s="9"/>
    </row>
    <row r="4772">
      <c r="G4772" s="8"/>
      <c r="M4772" s="8">
        <f t="shared" si="4"/>
        <v>0</v>
      </c>
      <c r="P4772" s="9"/>
    </row>
    <row r="4773">
      <c r="G4773" s="8"/>
      <c r="M4773" s="8">
        <f t="shared" si="4"/>
        <v>0</v>
      </c>
      <c r="P4773" s="9"/>
    </row>
    <row r="4774">
      <c r="G4774" s="8"/>
      <c r="M4774" s="8">
        <f t="shared" si="4"/>
        <v>0</v>
      </c>
      <c r="P4774" s="9"/>
    </row>
    <row r="4775">
      <c r="G4775" s="8"/>
      <c r="M4775" s="8">
        <f t="shared" si="4"/>
        <v>0</v>
      </c>
      <c r="P4775" s="9"/>
    </row>
    <row r="4776">
      <c r="G4776" s="8"/>
      <c r="M4776" s="8">
        <f t="shared" si="4"/>
        <v>0</v>
      </c>
      <c r="P4776" s="9"/>
    </row>
    <row r="4777">
      <c r="G4777" s="8"/>
      <c r="M4777" s="8">
        <f t="shared" si="4"/>
        <v>0</v>
      </c>
      <c r="P4777" s="9"/>
    </row>
    <row r="4778">
      <c r="G4778" s="8"/>
      <c r="M4778" s="8">
        <f t="shared" si="4"/>
        <v>0</v>
      </c>
      <c r="P4778" s="9"/>
    </row>
    <row r="4779">
      <c r="G4779" s="8"/>
      <c r="M4779" s="8">
        <f t="shared" si="4"/>
        <v>0</v>
      </c>
      <c r="P4779" s="9"/>
    </row>
    <row r="4780">
      <c r="G4780" s="8"/>
      <c r="M4780" s="8">
        <f t="shared" si="4"/>
        <v>0</v>
      </c>
      <c r="P4780" s="9"/>
    </row>
    <row r="4781">
      <c r="G4781" s="8"/>
      <c r="M4781" s="8">
        <f t="shared" si="4"/>
        <v>0</v>
      </c>
      <c r="P4781" s="9"/>
    </row>
    <row r="4782">
      <c r="G4782" s="8"/>
      <c r="M4782" s="8">
        <f t="shared" si="4"/>
        <v>0</v>
      </c>
      <c r="P4782" s="9"/>
    </row>
    <row r="4783">
      <c r="G4783" s="8"/>
      <c r="M4783" s="8">
        <f t="shared" si="4"/>
        <v>0</v>
      </c>
      <c r="P4783" s="9"/>
    </row>
    <row r="4784">
      <c r="G4784" s="8"/>
      <c r="M4784" s="8">
        <f t="shared" si="4"/>
        <v>0</v>
      </c>
      <c r="P4784" s="9"/>
    </row>
    <row r="4785">
      <c r="G4785" s="8"/>
      <c r="M4785" s="8">
        <f t="shared" si="4"/>
        <v>0</v>
      </c>
      <c r="P4785" s="9"/>
    </row>
    <row r="4786">
      <c r="G4786" s="8"/>
      <c r="M4786" s="8">
        <f t="shared" si="4"/>
        <v>0</v>
      </c>
      <c r="P4786" s="9"/>
    </row>
    <row r="4787">
      <c r="G4787" s="8"/>
      <c r="M4787" s="8">
        <f t="shared" si="4"/>
        <v>0</v>
      </c>
      <c r="P4787" s="9"/>
    </row>
    <row r="4788">
      <c r="G4788" s="8"/>
      <c r="M4788" s="8">
        <f t="shared" si="4"/>
        <v>0</v>
      </c>
      <c r="P4788" s="9"/>
    </row>
    <row r="4789">
      <c r="G4789" s="8"/>
      <c r="M4789" s="8">
        <f t="shared" si="4"/>
        <v>0</v>
      </c>
      <c r="P4789" s="9"/>
    </row>
    <row r="4790">
      <c r="G4790" s="8"/>
      <c r="M4790" s="8">
        <f t="shared" si="4"/>
        <v>0</v>
      </c>
      <c r="P4790" s="9"/>
    </row>
    <row r="4791">
      <c r="G4791" s="8"/>
      <c r="M4791" s="8">
        <f t="shared" si="4"/>
        <v>0</v>
      </c>
      <c r="P4791" s="9"/>
    </row>
    <row r="4792">
      <c r="G4792" s="8"/>
      <c r="M4792" s="8">
        <f t="shared" si="4"/>
        <v>0</v>
      </c>
      <c r="P4792" s="9"/>
    </row>
    <row r="4793">
      <c r="G4793" s="8"/>
      <c r="M4793" s="8">
        <f t="shared" si="4"/>
        <v>0</v>
      </c>
      <c r="P4793" s="9"/>
    </row>
    <row r="4794">
      <c r="G4794" s="8"/>
      <c r="M4794" s="8">
        <f t="shared" si="4"/>
        <v>0</v>
      </c>
      <c r="P4794" s="9"/>
    </row>
    <row r="4795">
      <c r="G4795" s="8"/>
      <c r="M4795" s="8">
        <f t="shared" si="4"/>
        <v>0</v>
      </c>
      <c r="P4795" s="9"/>
    </row>
    <row r="4796">
      <c r="G4796" s="8"/>
      <c r="M4796" s="8">
        <f t="shared" si="4"/>
        <v>0</v>
      </c>
      <c r="P4796" s="9"/>
    </row>
    <row r="4797">
      <c r="G4797" s="8"/>
      <c r="M4797" s="8">
        <f t="shared" si="4"/>
        <v>0</v>
      </c>
      <c r="P4797" s="9"/>
    </row>
    <row r="4798">
      <c r="G4798" s="8"/>
      <c r="M4798" s="8">
        <f t="shared" si="4"/>
        <v>0</v>
      </c>
      <c r="P4798" s="9"/>
    </row>
    <row r="4799">
      <c r="G4799" s="8"/>
      <c r="M4799" s="8">
        <f t="shared" si="4"/>
        <v>0</v>
      </c>
      <c r="P4799" s="9"/>
    </row>
    <row r="4800">
      <c r="G4800" s="8"/>
      <c r="M4800" s="8">
        <f t="shared" si="4"/>
        <v>0</v>
      </c>
      <c r="P4800" s="9"/>
    </row>
    <row r="4801">
      <c r="G4801" s="8"/>
      <c r="M4801" s="8">
        <f t="shared" si="4"/>
        <v>0</v>
      </c>
      <c r="P4801" s="9"/>
    </row>
    <row r="4802">
      <c r="G4802" s="8"/>
      <c r="M4802" s="8">
        <f t="shared" si="4"/>
        <v>0</v>
      </c>
      <c r="P4802" s="9"/>
    </row>
    <row r="4803">
      <c r="G4803" s="8"/>
      <c r="M4803" s="8">
        <f t="shared" si="4"/>
        <v>0</v>
      </c>
      <c r="P4803" s="9"/>
    </row>
    <row r="4804">
      <c r="G4804" s="8"/>
      <c r="M4804" s="8">
        <f t="shared" si="4"/>
        <v>0</v>
      </c>
      <c r="P4804" s="9"/>
    </row>
    <row r="4805">
      <c r="G4805" s="8"/>
      <c r="M4805" s="8">
        <f t="shared" si="4"/>
        <v>0</v>
      </c>
      <c r="P4805" s="9"/>
    </row>
    <row r="4806">
      <c r="G4806" s="8"/>
      <c r="M4806" s="8">
        <f t="shared" si="4"/>
        <v>0</v>
      </c>
      <c r="P4806" s="9"/>
    </row>
    <row r="4807">
      <c r="G4807" s="8"/>
      <c r="M4807" s="8">
        <f t="shared" si="4"/>
        <v>0</v>
      </c>
      <c r="P4807" s="9"/>
    </row>
    <row r="4808">
      <c r="G4808" s="8"/>
      <c r="M4808" s="8">
        <f t="shared" si="4"/>
        <v>0</v>
      </c>
      <c r="P4808" s="9"/>
    </row>
    <row r="4809">
      <c r="G4809" s="8"/>
      <c r="M4809" s="8">
        <f t="shared" si="4"/>
        <v>0</v>
      </c>
      <c r="P4809" s="9"/>
    </row>
    <row r="4810">
      <c r="G4810" s="8"/>
      <c r="M4810" s="8">
        <f t="shared" si="4"/>
        <v>0</v>
      </c>
      <c r="P4810" s="9"/>
    </row>
    <row r="4811">
      <c r="G4811" s="8"/>
      <c r="M4811" s="8">
        <f t="shared" si="4"/>
        <v>0</v>
      </c>
      <c r="P4811" s="9"/>
    </row>
    <row r="4812">
      <c r="G4812" s="8"/>
      <c r="M4812" s="8">
        <f t="shared" si="4"/>
        <v>0</v>
      </c>
      <c r="P4812" s="9"/>
    </row>
    <row r="4813">
      <c r="G4813" s="8"/>
      <c r="M4813" s="8">
        <f t="shared" si="4"/>
        <v>0</v>
      </c>
      <c r="P4813" s="9"/>
    </row>
    <row r="4814">
      <c r="G4814" s="8"/>
      <c r="M4814" s="8">
        <f t="shared" si="4"/>
        <v>0</v>
      </c>
      <c r="P4814" s="9"/>
    </row>
    <row r="4815">
      <c r="G4815" s="8"/>
      <c r="M4815" s="8">
        <f t="shared" si="4"/>
        <v>0</v>
      </c>
      <c r="P4815" s="9"/>
    </row>
    <row r="4816">
      <c r="G4816" s="8"/>
      <c r="M4816" s="8">
        <f t="shared" si="4"/>
        <v>0</v>
      </c>
      <c r="P4816" s="9"/>
    </row>
    <row r="4817">
      <c r="G4817" s="8"/>
      <c r="M4817" s="8">
        <f t="shared" si="4"/>
        <v>0</v>
      </c>
      <c r="P4817" s="9"/>
    </row>
    <row r="4818">
      <c r="G4818" s="8"/>
      <c r="M4818" s="8">
        <f t="shared" si="4"/>
        <v>0</v>
      </c>
      <c r="P4818" s="9"/>
    </row>
    <row r="4819">
      <c r="G4819" s="8"/>
      <c r="M4819" s="8">
        <f t="shared" si="4"/>
        <v>0</v>
      </c>
      <c r="P4819" s="9"/>
    </row>
    <row r="4820">
      <c r="G4820" s="8"/>
      <c r="M4820" s="8">
        <f t="shared" si="4"/>
        <v>0</v>
      </c>
      <c r="P4820" s="9"/>
    </row>
    <row r="4821">
      <c r="G4821" s="8"/>
      <c r="M4821" s="8">
        <f t="shared" si="4"/>
        <v>0</v>
      </c>
      <c r="P4821" s="9"/>
    </row>
    <row r="4822">
      <c r="G4822" s="8"/>
      <c r="M4822" s="8">
        <f t="shared" si="4"/>
        <v>0</v>
      </c>
      <c r="P4822" s="9"/>
    </row>
    <row r="4823">
      <c r="G4823" s="8"/>
      <c r="M4823" s="8">
        <f t="shared" si="4"/>
        <v>0</v>
      </c>
      <c r="P4823" s="9"/>
    </row>
    <row r="4824">
      <c r="G4824" s="8"/>
      <c r="M4824" s="8">
        <f t="shared" si="4"/>
        <v>0</v>
      </c>
      <c r="P4824" s="9"/>
    </row>
    <row r="4825">
      <c r="G4825" s="8"/>
      <c r="M4825" s="8">
        <f t="shared" si="4"/>
        <v>0</v>
      </c>
      <c r="P4825" s="9"/>
    </row>
    <row r="4826">
      <c r="G4826" s="8"/>
      <c r="M4826" s="8">
        <f t="shared" si="4"/>
        <v>0</v>
      </c>
      <c r="P4826" s="9"/>
    </row>
    <row r="4827">
      <c r="G4827" s="8"/>
      <c r="M4827" s="8">
        <f t="shared" si="4"/>
        <v>0</v>
      </c>
      <c r="P4827" s="9"/>
    </row>
    <row r="4828">
      <c r="G4828" s="8"/>
      <c r="M4828" s="8">
        <f t="shared" si="4"/>
        <v>0</v>
      </c>
      <c r="P4828" s="9"/>
    </row>
    <row r="4829">
      <c r="G4829" s="8"/>
      <c r="M4829" s="8">
        <f t="shared" si="4"/>
        <v>0</v>
      </c>
      <c r="P4829" s="9"/>
    </row>
    <row r="4830">
      <c r="G4830" s="8"/>
      <c r="M4830" s="8">
        <f t="shared" si="4"/>
        <v>0</v>
      </c>
      <c r="P4830" s="9"/>
    </row>
    <row r="4831">
      <c r="G4831" s="8"/>
      <c r="M4831" s="8">
        <f t="shared" si="4"/>
        <v>0</v>
      </c>
      <c r="P4831" s="9"/>
    </row>
    <row r="4832">
      <c r="G4832" s="8"/>
      <c r="M4832" s="8">
        <f t="shared" si="4"/>
        <v>0</v>
      </c>
      <c r="P4832" s="9"/>
    </row>
    <row r="4833">
      <c r="G4833" s="8"/>
      <c r="M4833" s="8">
        <f t="shared" si="4"/>
        <v>0</v>
      </c>
      <c r="P4833" s="9"/>
    </row>
    <row r="4834">
      <c r="G4834" s="8"/>
      <c r="M4834" s="8">
        <f t="shared" si="4"/>
        <v>0</v>
      </c>
      <c r="P4834" s="9"/>
    </row>
    <row r="4835">
      <c r="G4835" s="8"/>
      <c r="M4835" s="8">
        <f t="shared" si="4"/>
        <v>0</v>
      </c>
      <c r="P4835" s="9"/>
    </row>
    <row r="4836">
      <c r="G4836" s="8"/>
      <c r="M4836" s="8">
        <f t="shared" si="4"/>
        <v>0</v>
      </c>
      <c r="P4836" s="9"/>
    </row>
    <row r="4837">
      <c r="G4837" s="8"/>
      <c r="M4837" s="8">
        <f t="shared" si="4"/>
        <v>0</v>
      </c>
      <c r="P4837" s="9"/>
    </row>
    <row r="4838">
      <c r="G4838" s="8"/>
      <c r="M4838" s="8">
        <f t="shared" si="4"/>
        <v>0</v>
      </c>
      <c r="P4838" s="9"/>
    </row>
    <row r="4839">
      <c r="G4839" s="8"/>
      <c r="M4839" s="8">
        <f t="shared" si="4"/>
        <v>0</v>
      </c>
      <c r="P4839" s="9"/>
    </row>
    <row r="4840">
      <c r="G4840" s="8"/>
      <c r="M4840" s="8">
        <f t="shared" si="4"/>
        <v>0</v>
      </c>
      <c r="P4840" s="9"/>
    </row>
    <row r="4841">
      <c r="G4841" s="8"/>
      <c r="M4841" s="8">
        <f t="shared" si="4"/>
        <v>0</v>
      </c>
      <c r="P4841" s="9"/>
    </row>
    <row r="4842">
      <c r="G4842" s="8"/>
      <c r="M4842" s="8">
        <f t="shared" si="4"/>
        <v>0</v>
      </c>
      <c r="P4842" s="9"/>
    </row>
    <row r="4843">
      <c r="G4843" s="8"/>
      <c r="M4843" s="8">
        <f t="shared" si="4"/>
        <v>0</v>
      </c>
      <c r="P4843" s="9"/>
    </row>
    <row r="4844">
      <c r="G4844" s="8"/>
      <c r="M4844" s="8">
        <f t="shared" si="4"/>
        <v>0</v>
      </c>
      <c r="P4844" s="9"/>
    </row>
    <row r="4845">
      <c r="G4845" s="8"/>
      <c r="M4845" s="8">
        <f t="shared" si="4"/>
        <v>0</v>
      </c>
      <c r="P4845" s="9"/>
    </row>
    <row r="4846">
      <c r="G4846" s="8"/>
      <c r="M4846" s="8">
        <f t="shared" si="4"/>
        <v>0</v>
      </c>
      <c r="P4846" s="9"/>
    </row>
    <row r="4847">
      <c r="G4847" s="8"/>
      <c r="M4847" s="8">
        <f t="shared" si="4"/>
        <v>0</v>
      </c>
      <c r="P4847" s="9"/>
    </row>
    <row r="4848">
      <c r="G4848" s="8"/>
      <c r="M4848" s="8">
        <f t="shared" si="4"/>
        <v>0</v>
      </c>
      <c r="P4848" s="9"/>
    </row>
    <row r="4849">
      <c r="G4849" s="8"/>
      <c r="M4849" s="8">
        <f t="shared" si="4"/>
        <v>0</v>
      </c>
      <c r="P4849" s="9"/>
    </row>
    <row r="4850">
      <c r="G4850" s="8"/>
      <c r="M4850" s="8">
        <f t="shared" si="4"/>
        <v>0</v>
      </c>
      <c r="P4850" s="9"/>
    </row>
    <row r="4851">
      <c r="G4851" s="8"/>
      <c r="M4851" s="8">
        <f t="shared" si="4"/>
        <v>0</v>
      </c>
      <c r="P4851" s="9"/>
    </row>
    <row r="4852">
      <c r="G4852" s="8"/>
      <c r="M4852" s="8">
        <f t="shared" si="4"/>
        <v>0</v>
      </c>
      <c r="P4852" s="9"/>
    </row>
    <row r="4853">
      <c r="G4853" s="8"/>
      <c r="M4853" s="8">
        <f t="shared" si="4"/>
        <v>0</v>
      </c>
      <c r="P4853" s="9"/>
    </row>
    <row r="4854">
      <c r="G4854" s="8"/>
      <c r="M4854" s="8">
        <f t="shared" si="4"/>
        <v>0</v>
      </c>
      <c r="P4854" s="9"/>
    </row>
    <row r="4855">
      <c r="G4855" s="8"/>
      <c r="M4855" s="8">
        <f t="shared" si="4"/>
        <v>0</v>
      </c>
      <c r="P4855" s="9"/>
    </row>
    <row r="4856">
      <c r="G4856" s="8"/>
      <c r="M4856" s="8">
        <f t="shared" si="4"/>
        <v>0</v>
      </c>
      <c r="P4856" s="9"/>
    </row>
    <row r="4857">
      <c r="G4857" s="8"/>
      <c r="M4857" s="8">
        <f t="shared" si="4"/>
        <v>0</v>
      </c>
      <c r="P4857" s="9"/>
    </row>
    <row r="4858">
      <c r="G4858" s="8"/>
      <c r="M4858" s="8">
        <f t="shared" si="4"/>
        <v>0</v>
      </c>
      <c r="P4858" s="9"/>
    </row>
    <row r="4859">
      <c r="G4859" s="8"/>
      <c r="M4859" s="8">
        <f t="shared" si="4"/>
        <v>0</v>
      </c>
      <c r="P4859" s="9"/>
    </row>
    <row r="4860">
      <c r="G4860" s="8"/>
      <c r="M4860" s="8">
        <f t="shared" si="4"/>
        <v>0</v>
      </c>
      <c r="P4860" s="9"/>
    </row>
    <row r="4861">
      <c r="G4861" s="8"/>
      <c r="M4861" s="8">
        <f t="shared" si="4"/>
        <v>0</v>
      </c>
      <c r="P4861" s="9"/>
    </row>
    <row r="4862">
      <c r="G4862" s="8"/>
      <c r="M4862" s="8">
        <f t="shared" si="4"/>
        <v>0</v>
      </c>
      <c r="P4862" s="9"/>
    </row>
    <row r="4863">
      <c r="G4863" s="8"/>
      <c r="M4863" s="8">
        <f t="shared" si="4"/>
        <v>0</v>
      </c>
      <c r="P4863" s="9"/>
    </row>
    <row r="4864">
      <c r="G4864" s="8"/>
      <c r="M4864" s="8">
        <f t="shared" si="4"/>
        <v>0</v>
      </c>
      <c r="P4864" s="9"/>
    </row>
    <row r="4865">
      <c r="G4865" s="8"/>
      <c r="M4865" s="8">
        <f t="shared" si="4"/>
        <v>0</v>
      </c>
      <c r="P4865" s="9"/>
    </row>
    <row r="4866">
      <c r="G4866" s="8"/>
      <c r="M4866" s="8">
        <f t="shared" si="4"/>
        <v>0</v>
      </c>
      <c r="P4866" s="9"/>
    </row>
    <row r="4867">
      <c r="G4867" s="8"/>
      <c r="M4867" s="8">
        <f t="shared" si="4"/>
        <v>0</v>
      </c>
      <c r="P4867" s="9"/>
    </row>
    <row r="4868">
      <c r="G4868" s="8"/>
      <c r="M4868" s="8">
        <f t="shared" si="4"/>
        <v>0</v>
      </c>
      <c r="P4868" s="9"/>
    </row>
    <row r="4869">
      <c r="G4869" s="8"/>
      <c r="M4869" s="8">
        <f t="shared" si="4"/>
        <v>0</v>
      </c>
      <c r="P4869" s="9"/>
    </row>
    <row r="4870">
      <c r="G4870" s="8"/>
      <c r="M4870" s="8">
        <f t="shared" si="4"/>
        <v>0</v>
      </c>
      <c r="P4870" s="9"/>
    </row>
    <row r="4871">
      <c r="G4871" s="8"/>
      <c r="M4871" s="8">
        <f t="shared" si="4"/>
        <v>0</v>
      </c>
      <c r="P4871" s="9"/>
    </row>
    <row r="4872">
      <c r="G4872" s="8"/>
      <c r="M4872" s="8">
        <f t="shared" si="4"/>
        <v>0</v>
      </c>
      <c r="P4872" s="9"/>
    </row>
    <row r="4873">
      <c r="G4873" s="8"/>
      <c r="M4873" s="8">
        <f t="shared" si="4"/>
        <v>0</v>
      </c>
      <c r="P4873" s="9"/>
    </row>
    <row r="4874">
      <c r="G4874" s="8"/>
      <c r="M4874" s="8">
        <f t="shared" si="4"/>
        <v>0</v>
      </c>
      <c r="P4874" s="9"/>
    </row>
    <row r="4875">
      <c r="G4875" s="8"/>
      <c r="M4875" s="8">
        <f t="shared" si="4"/>
        <v>0</v>
      </c>
      <c r="P4875" s="9"/>
    </row>
    <row r="4876">
      <c r="G4876" s="8"/>
      <c r="M4876" s="8">
        <f t="shared" si="4"/>
        <v>0</v>
      </c>
      <c r="P4876" s="9"/>
    </row>
    <row r="4877">
      <c r="G4877" s="8"/>
      <c r="M4877" s="8">
        <f t="shared" si="4"/>
        <v>0</v>
      </c>
      <c r="P4877" s="9"/>
    </row>
    <row r="4878">
      <c r="G4878" s="8"/>
      <c r="M4878" s="8">
        <f t="shared" si="4"/>
        <v>0</v>
      </c>
      <c r="P4878" s="9"/>
    </row>
    <row r="4879">
      <c r="G4879" s="8"/>
      <c r="M4879" s="8">
        <f t="shared" si="4"/>
        <v>0</v>
      </c>
      <c r="P4879" s="9"/>
    </row>
    <row r="4880">
      <c r="G4880" s="8"/>
      <c r="M4880" s="8">
        <f t="shared" si="4"/>
        <v>0</v>
      </c>
      <c r="P4880" s="9"/>
    </row>
    <row r="4881">
      <c r="G4881" s="8"/>
      <c r="M4881" s="8">
        <f t="shared" si="4"/>
        <v>0</v>
      </c>
      <c r="P4881" s="9"/>
    </row>
    <row r="4882">
      <c r="G4882" s="8"/>
      <c r="M4882" s="8">
        <f t="shared" si="4"/>
        <v>0</v>
      </c>
      <c r="P4882" s="9"/>
    </row>
    <row r="4883">
      <c r="G4883" s="8"/>
      <c r="M4883" s="8">
        <f t="shared" si="4"/>
        <v>0</v>
      </c>
      <c r="P4883" s="9"/>
    </row>
    <row r="4884">
      <c r="G4884" s="8"/>
      <c r="M4884" s="8">
        <f t="shared" si="4"/>
        <v>0</v>
      </c>
      <c r="P4884" s="9"/>
    </row>
    <row r="4885">
      <c r="G4885" s="8"/>
      <c r="M4885" s="8">
        <f t="shared" si="4"/>
        <v>0</v>
      </c>
      <c r="P4885" s="9"/>
    </row>
    <row r="4886">
      <c r="G4886" s="8"/>
      <c r="M4886" s="8">
        <f t="shared" si="4"/>
        <v>0</v>
      </c>
      <c r="P4886" s="9"/>
    </row>
    <row r="4887">
      <c r="G4887" s="8"/>
      <c r="M4887" s="8">
        <f t="shared" si="4"/>
        <v>0</v>
      </c>
      <c r="P4887" s="9"/>
    </row>
    <row r="4888">
      <c r="G4888" s="8"/>
      <c r="M4888" s="8">
        <f t="shared" si="4"/>
        <v>0</v>
      </c>
      <c r="P4888" s="9"/>
    </row>
    <row r="4889">
      <c r="G4889" s="8"/>
      <c r="M4889" s="8">
        <f t="shared" si="4"/>
        <v>0</v>
      </c>
      <c r="P4889" s="9"/>
    </row>
    <row r="4890">
      <c r="G4890" s="8"/>
      <c r="M4890" s="8">
        <f t="shared" si="4"/>
        <v>0</v>
      </c>
      <c r="P4890" s="9"/>
    </row>
    <row r="4891">
      <c r="G4891" s="8"/>
      <c r="M4891" s="8">
        <f t="shared" si="4"/>
        <v>0</v>
      </c>
      <c r="P4891" s="9"/>
    </row>
    <row r="4892">
      <c r="G4892" s="8"/>
      <c r="M4892" s="8">
        <f t="shared" si="4"/>
        <v>0</v>
      </c>
      <c r="P4892" s="9"/>
    </row>
    <row r="4893">
      <c r="G4893" s="8"/>
      <c r="M4893" s="8">
        <f t="shared" si="4"/>
        <v>0</v>
      </c>
      <c r="P4893" s="9"/>
    </row>
    <row r="4894">
      <c r="G4894" s="8"/>
      <c r="M4894" s="8">
        <f t="shared" si="4"/>
        <v>0</v>
      </c>
      <c r="P4894" s="9"/>
    </row>
    <row r="4895">
      <c r="G4895" s="8"/>
      <c r="M4895" s="8">
        <f t="shared" si="4"/>
        <v>0</v>
      </c>
      <c r="P4895" s="9"/>
    </row>
    <row r="4896">
      <c r="G4896" s="8"/>
      <c r="M4896" s="8">
        <f t="shared" si="4"/>
        <v>0</v>
      </c>
      <c r="P4896" s="9"/>
    </row>
    <row r="4897">
      <c r="G4897" s="8"/>
      <c r="M4897" s="8">
        <f t="shared" si="4"/>
        <v>0</v>
      </c>
      <c r="P4897" s="9"/>
    </row>
    <row r="4898">
      <c r="G4898" s="8"/>
      <c r="M4898" s="8">
        <f t="shared" si="4"/>
        <v>0</v>
      </c>
      <c r="P4898" s="9"/>
    </row>
    <row r="4899">
      <c r="G4899" s="8"/>
      <c r="M4899" s="8">
        <f t="shared" si="4"/>
        <v>0</v>
      </c>
      <c r="P4899" s="9"/>
    </row>
    <row r="4900">
      <c r="G4900" s="8"/>
      <c r="M4900" s="8">
        <f t="shared" si="4"/>
        <v>0</v>
      </c>
      <c r="P4900" s="9"/>
    </row>
    <row r="4901">
      <c r="G4901" s="8"/>
      <c r="M4901" s="8">
        <f t="shared" si="4"/>
        <v>0</v>
      </c>
      <c r="P4901" s="9"/>
    </row>
    <row r="4902">
      <c r="G4902" s="8"/>
      <c r="M4902" s="8">
        <f t="shared" si="4"/>
        <v>0</v>
      </c>
      <c r="P4902" s="9"/>
    </row>
    <row r="4903">
      <c r="G4903" s="8"/>
      <c r="M4903" s="8">
        <f t="shared" si="4"/>
        <v>0</v>
      </c>
      <c r="P4903" s="9"/>
    </row>
    <row r="4904">
      <c r="G4904" s="8"/>
      <c r="M4904" s="8">
        <f t="shared" si="4"/>
        <v>0</v>
      </c>
      <c r="P4904" s="9"/>
    </row>
    <row r="4905">
      <c r="G4905" s="8"/>
      <c r="M4905" s="8">
        <f t="shared" si="4"/>
        <v>0</v>
      </c>
      <c r="P4905" s="9"/>
    </row>
    <row r="4906">
      <c r="G4906" s="8"/>
      <c r="M4906" s="8">
        <f t="shared" si="4"/>
        <v>0</v>
      </c>
      <c r="P4906" s="9"/>
    </row>
    <row r="4907">
      <c r="G4907" s="8"/>
      <c r="M4907" s="8">
        <f t="shared" si="4"/>
        <v>0</v>
      </c>
      <c r="P4907" s="9"/>
    </row>
    <row r="4908">
      <c r="G4908" s="8"/>
      <c r="M4908" s="8">
        <f t="shared" si="4"/>
        <v>0</v>
      </c>
      <c r="P4908" s="9"/>
    </row>
    <row r="4909">
      <c r="G4909" s="8"/>
      <c r="M4909" s="8">
        <f t="shared" si="4"/>
        <v>0</v>
      </c>
      <c r="P4909" s="9"/>
    </row>
    <row r="4910">
      <c r="G4910" s="8"/>
      <c r="M4910" s="8">
        <f t="shared" si="4"/>
        <v>0</v>
      </c>
      <c r="P4910" s="9"/>
    </row>
    <row r="4911">
      <c r="G4911" s="8"/>
      <c r="M4911" s="8">
        <f t="shared" si="4"/>
        <v>0</v>
      </c>
      <c r="P4911" s="9"/>
    </row>
    <row r="4912">
      <c r="G4912" s="8"/>
      <c r="M4912" s="8">
        <f t="shared" si="4"/>
        <v>0</v>
      </c>
      <c r="P4912" s="9"/>
    </row>
    <row r="4913">
      <c r="G4913" s="8"/>
      <c r="M4913" s="8">
        <f t="shared" si="4"/>
        <v>0</v>
      </c>
      <c r="P4913" s="9"/>
    </row>
    <row r="4914">
      <c r="G4914" s="8"/>
      <c r="M4914" s="8">
        <f t="shared" si="4"/>
        <v>0</v>
      </c>
      <c r="P4914" s="9"/>
    </row>
    <row r="4915">
      <c r="G4915" s="8"/>
      <c r="M4915" s="8">
        <f t="shared" si="4"/>
        <v>0</v>
      </c>
      <c r="P4915" s="9"/>
    </row>
    <row r="4916">
      <c r="G4916" s="8"/>
      <c r="M4916" s="8">
        <f t="shared" si="4"/>
        <v>0</v>
      </c>
      <c r="P4916" s="9"/>
    </row>
    <row r="4917">
      <c r="G4917" s="8"/>
      <c r="M4917" s="8">
        <f t="shared" si="4"/>
        <v>0</v>
      </c>
      <c r="P4917" s="9"/>
    </row>
    <row r="4918">
      <c r="G4918" s="8"/>
      <c r="M4918" s="8">
        <f t="shared" si="4"/>
        <v>0</v>
      </c>
      <c r="P4918" s="9"/>
    </row>
    <row r="4919">
      <c r="G4919" s="8"/>
      <c r="M4919" s="8">
        <f t="shared" si="4"/>
        <v>0</v>
      </c>
      <c r="P4919" s="9"/>
    </row>
    <row r="4920">
      <c r="G4920" s="8"/>
      <c r="M4920" s="8">
        <f t="shared" si="4"/>
        <v>0</v>
      </c>
      <c r="P4920" s="9"/>
    </row>
    <row r="4921">
      <c r="G4921" s="8"/>
      <c r="M4921" s="8">
        <f t="shared" si="4"/>
        <v>0</v>
      </c>
      <c r="P4921" s="9"/>
    </row>
    <row r="4922">
      <c r="G4922" s="8"/>
      <c r="M4922" s="8">
        <f t="shared" si="4"/>
        <v>0</v>
      </c>
      <c r="P4922" s="9"/>
    </row>
    <row r="4923">
      <c r="G4923" s="8"/>
      <c r="M4923" s="8">
        <f t="shared" si="4"/>
        <v>0</v>
      </c>
      <c r="P4923" s="9"/>
    </row>
    <row r="4924">
      <c r="G4924" s="8"/>
      <c r="M4924" s="8">
        <f t="shared" si="4"/>
        <v>0</v>
      </c>
      <c r="P4924" s="9"/>
    </row>
    <row r="4925">
      <c r="G4925" s="8"/>
      <c r="M4925" s="8">
        <f t="shared" si="4"/>
        <v>0</v>
      </c>
      <c r="P4925" s="9"/>
    </row>
    <row r="4926">
      <c r="G4926" s="8"/>
      <c r="M4926" s="8">
        <f t="shared" si="4"/>
        <v>0</v>
      </c>
      <c r="P4926" s="9"/>
    </row>
    <row r="4927">
      <c r="G4927" s="8"/>
      <c r="M4927" s="8">
        <f t="shared" si="4"/>
        <v>0</v>
      </c>
      <c r="P4927" s="9"/>
    </row>
    <row r="4928">
      <c r="G4928" s="8"/>
      <c r="M4928" s="8">
        <f t="shared" si="4"/>
        <v>0</v>
      </c>
      <c r="P4928" s="9"/>
    </row>
    <row r="4929">
      <c r="G4929" s="8"/>
      <c r="M4929" s="8">
        <f t="shared" si="4"/>
        <v>0</v>
      </c>
      <c r="P4929" s="9"/>
    </row>
    <row r="4930">
      <c r="G4930" s="8"/>
      <c r="M4930" s="8">
        <f t="shared" si="4"/>
        <v>0</v>
      </c>
      <c r="P4930" s="9"/>
    </row>
    <row r="4931">
      <c r="G4931" s="8"/>
      <c r="M4931" s="8">
        <f t="shared" si="4"/>
        <v>0</v>
      </c>
      <c r="P4931" s="9"/>
    </row>
    <row r="4932">
      <c r="G4932" s="8"/>
      <c r="M4932" s="8">
        <f t="shared" si="4"/>
        <v>0</v>
      </c>
      <c r="P4932" s="9"/>
    </row>
    <row r="4933">
      <c r="G4933" s="8"/>
      <c r="M4933" s="8">
        <f t="shared" si="4"/>
        <v>0</v>
      </c>
      <c r="P4933" s="9"/>
    </row>
    <row r="4934">
      <c r="G4934" s="8"/>
      <c r="M4934" s="8">
        <f t="shared" si="4"/>
        <v>0</v>
      </c>
      <c r="P4934" s="9"/>
    </row>
    <row r="4935">
      <c r="G4935" s="8"/>
      <c r="M4935" s="8">
        <f t="shared" si="4"/>
        <v>0</v>
      </c>
      <c r="P4935" s="9"/>
    </row>
    <row r="4936">
      <c r="G4936" s="8"/>
      <c r="M4936" s="8">
        <f t="shared" si="4"/>
        <v>0</v>
      </c>
      <c r="P4936" s="9"/>
    </row>
    <row r="4937">
      <c r="G4937" s="8"/>
      <c r="M4937" s="8">
        <f t="shared" si="4"/>
        <v>0</v>
      </c>
      <c r="P4937" s="9"/>
    </row>
    <row r="4938">
      <c r="G4938" s="8"/>
      <c r="M4938" s="8">
        <f t="shared" si="4"/>
        <v>0</v>
      </c>
      <c r="P4938" s="9"/>
    </row>
    <row r="4939">
      <c r="G4939" s="8"/>
      <c r="M4939" s="8">
        <f t="shared" si="4"/>
        <v>0</v>
      </c>
      <c r="P4939" s="9"/>
    </row>
    <row r="4940">
      <c r="G4940" s="8"/>
      <c r="M4940" s="8">
        <f t="shared" si="4"/>
        <v>0</v>
      </c>
      <c r="P4940" s="9"/>
    </row>
    <row r="4941">
      <c r="G4941" s="8"/>
      <c r="M4941" s="8">
        <f t="shared" si="4"/>
        <v>0</v>
      </c>
      <c r="P4941" s="9"/>
    </row>
    <row r="4942">
      <c r="G4942" s="8"/>
      <c r="M4942" s="8">
        <f t="shared" si="4"/>
        <v>0</v>
      </c>
      <c r="P4942" s="9"/>
    </row>
    <row r="4943">
      <c r="G4943" s="8"/>
      <c r="M4943" s="8">
        <f t="shared" si="4"/>
        <v>0</v>
      </c>
      <c r="P4943" s="9"/>
    </row>
    <row r="4944">
      <c r="G4944" s="8"/>
      <c r="M4944" s="8">
        <f t="shared" si="4"/>
        <v>0</v>
      </c>
      <c r="P4944" s="9"/>
    </row>
    <row r="4945">
      <c r="G4945" s="8"/>
      <c r="M4945" s="8">
        <f t="shared" si="4"/>
        <v>0</v>
      </c>
      <c r="P4945" s="9"/>
    </row>
    <row r="4946">
      <c r="G4946" s="8"/>
      <c r="M4946" s="8">
        <f t="shared" si="4"/>
        <v>0</v>
      </c>
      <c r="P4946" s="9"/>
    </row>
    <row r="4947">
      <c r="G4947" s="8"/>
      <c r="M4947" s="8">
        <f t="shared" si="4"/>
        <v>0</v>
      </c>
      <c r="P4947" s="9"/>
    </row>
    <row r="4948">
      <c r="G4948" s="8"/>
      <c r="M4948" s="8">
        <f t="shared" si="4"/>
        <v>0</v>
      </c>
      <c r="P4948" s="9"/>
    </row>
    <row r="4949">
      <c r="G4949" s="8"/>
      <c r="M4949" s="8">
        <f t="shared" si="4"/>
        <v>0</v>
      </c>
      <c r="P4949" s="9"/>
    </row>
    <row r="4950">
      <c r="G4950" s="8"/>
      <c r="M4950" s="8">
        <f t="shared" si="4"/>
        <v>0</v>
      </c>
      <c r="P4950" s="9"/>
    </row>
    <row r="4951">
      <c r="G4951" s="8"/>
      <c r="M4951" s="8">
        <f t="shared" si="4"/>
        <v>0</v>
      </c>
      <c r="P4951" s="9"/>
    </row>
    <row r="4952">
      <c r="G4952" s="8"/>
      <c r="M4952" s="8">
        <f t="shared" si="4"/>
        <v>0</v>
      </c>
      <c r="P4952" s="9"/>
    </row>
    <row r="4953">
      <c r="G4953" s="8"/>
      <c r="M4953" s="8">
        <f t="shared" si="4"/>
        <v>0</v>
      </c>
      <c r="P4953" s="9"/>
    </row>
    <row r="4954">
      <c r="G4954" s="8"/>
      <c r="M4954" s="8">
        <f t="shared" si="4"/>
        <v>0</v>
      </c>
      <c r="P4954" s="9"/>
    </row>
    <row r="4955">
      <c r="G4955" s="8"/>
      <c r="M4955" s="8">
        <f t="shared" si="4"/>
        <v>0</v>
      </c>
      <c r="P4955" s="9"/>
    </row>
    <row r="4956">
      <c r="G4956" s="8"/>
      <c r="M4956" s="8">
        <f t="shared" si="4"/>
        <v>0</v>
      </c>
      <c r="P4956" s="9"/>
    </row>
    <row r="4957">
      <c r="G4957" s="8"/>
      <c r="M4957" s="8">
        <f t="shared" si="4"/>
        <v>0</v>
      </c>
      <c r="P4957" s="9"/>
    </row>
    <row r="4958">
      <c r="G4958" s="8"/>
      <c r="M4958" s="8">
        <f t="shared" si="4"/>
        <v>0</v>
      </c>
      <c r="P4958" s="9"/>
    </row>
    <row r="4959">
      <c r="G4959" s="8"/>
      <c r="M4959" s="8">
        <f t="shared" si="4"/>
        <v>0</v>
      </c>
      <c r="P4959" s="9"/>
    </row>
    <row r="4960">
      <c r="G4960" s="8"/>
      <c r="M4960" s="8">
        <f t="shared" si="4"/>
        <v>0</v>
      </c>
      <c r="P4960" s="9"/>
    </row>
    <row r="4961">
      <c r="G4961" s="8"/>
      <c r="M4961" s="8">
        <f t="shared" si="4"/>
        <v>0</v>
      </c>
      <c r="P4961" s="9"/>
    </row>
    <row r="4962">
      <c r="G4962" s="8"/>
      <c r="M4962" s="8">
        <f t="shared" si="4"/>
        <v>0</v>
      </c>
      <c r="P4962" s="9"/>
    </row>
    <row r="4963">
      <c r="G4963" s="8"/>
      <c r="M4963" s="8">
        <f t="shared" si="4"/>
        <v>0</v>
      </c>
      <c r="P4963" s="9"/>
    </row>
    <row r="4964">
      <c r="G4964" s="8"/>
      <c r="M4964" s="8">
        <f t="shared" si="4"/>
        <v>0</v>
      </c>
      <c r="P4964" s="9"/>
    </row>
    <row r="4965">
      <c r="G4965" s="8"/>
      <c r="M4965" s="8">
        <f t="shared" si="4"/>
        <v>0</v>
      </c>
      <c r="P4965" s="9"/>
    </row>
    <row r="4966">
      <c r="G4966" s="8"/>
      <c r="M4966" s="8">
        <f t="shared" si="4"/>
        <v>0</v>
      </c>
      <c r="P4966" s="9"/>
    </row>
    <row r="4967">
      <c r="G4967" s="8"/>
      <c r="M4967" s="8">
        <f t="shared" si="4"/>
        <v>0</v>
      </c>
      <c r="P4967" s="9"/>
    </row>
    <row r="4968">
      <c r="G4968" s="8"/>
      <c r="M4968" s="8">
        <f t="shared" si="4"/>
        <v>0</v>
      </c>
      <c r="P4968" s="9"/>
    </row>
    <row r="4969">
      <c r="G4969" s="8"/>
      <c r="M4969" s="8">
        <f t="shared" si="4"/>
        <v>0</v>
      </c>
      <c r="P4969" s="9"/>
    </row>
    <row r="4970">
      <c r="G4970" s="8"/>
      <c r="M4970" s="8">
        <f t="shared" si="4"/>
        <v>0</v>
      </c>
      <c r="P4970" s="9"/>
    </row>
    <row r="4971">
      <c r="G4971" s="8"/>
      <c r="M4971" s="8">
        <f t="shared" si="4"/>
        <v>0</v>
      </c>
      <c r="P4971" s="9"/>
    </row>
    <row r="4972">
      <c r="G4972" s="8"/>
      <c r="M4972" s="8">
        <f t="shared" si="4"/>
        <v>0</v>
      </c>
      <c r="P4972" s="9"/>
    </row>
    <row r="4973">
      <c r="G4973" s="8"/>
      <c r="M4973" s="8">
        <f t="shared" si="4"/>
        <v>0</v>
      </c>
      <c r="P4973" s="9"/>
    </row>
    <row r="4974">
      <c r="G4974" s="8"/>
      <c r="M4974" s="8">
        <f t="shared" si="4"/>
        <v>0</v>
      </c>
      <c r="P4974" s="9"/>
    </row>
    <row r="4975">
      <c r="G4975" s="8"/>
      <c r="M4975" s="8">
        <f t="shared" si="4"/>
        <v>0</v>
      </c>
      <c r="P4975" s="9"/>
    </row>
    <row r="4976">
      <c r="G4976" s="8"/>
      <c r="M4976" s="8">
        <f t="shared" si="4"/>
        <v>0</v>
      </c>
      <c r="P4976" s="9"/>
    </row>
    <row r="4977">
      <c r="G4977" s="8"/>
      <c r="M4977" s="8">
        <f t="shared" si="4"/>
        <v>0</v>
      </c>
      <c r="P4977" s="9"/>
    </row>
    <row r="4978">
      <c r="G4978" s="8"/>
      <c r="M4978" s="8">
        <f t="shared" si="4"/>
        <v>0</v>
      </c>
      <c r="P4978" s="9"/>
    </row>
    <row r="4979">
      <c r="G4979" s="8"/>
      <c r="M4979" s="8">
        <f t="shared" si="4"/>
        <v>0</v>
      </c>
      <c r="P4979" s="9"/>
    </row>
    <row r="4980">
      <c r="G4980" s="8"/>
      <c r="M4980" s="8">
        <f t="shared" si="4"/>
        <v>0</v>
      </c>
      <c r="P4980" s="9"/>
    </row>
    <row r="4981">
      <c r="G4981" s="8"/>
      <c r="M4981" s="8">
        <f t="shared" si="4"/>
        <v>0</v>
      </c>
      <c r="P4981" s="9"/>
    </row>
    <row r="4982">
      <c r="G4982" s="8"/>
      <c r="M4982" s="8">
        <f t="shared" si="4"/>
        <v>0</v>
      </c>
      <c r="P4982" s="9"/>
    </row>
    <row r="4983">
      <c r="G4983" s="8"/>
      <c r="M4983" s="8">
        <f t="shared" si="4"/>
        <v>0</v>
      </c>
      <c r="P4983" s="9"/>
    </row>
    <row r="4984">
      <c r="G4984" s="8"/>
      <c r="M4984" s="8">
        <f t="shared" si="4"/>
        <v>0</v>
      </c>
      <c r="P4984" s="9"/>
    </row>
    <row r="4985">
      <c r="G4985" s="8"/>
      <c r="M4985" s="8">
        <f t="shared" si="4"/>
        <v>0</v>
      </c>
      <c r="P4985" s="9"/>
    </row>
    <row r="4986">
      <c r="G4986" s="8"/>
      <c r="M4986" s="8">
        <f t="shared" si="4"/>
        <v>0</v>
      </c>
      <c r="P4986" s="9"/>
    </row>
    <row r="4987">
      <c r="G4987" s="8"/>
      <c r="M4987" s="8">
        <f t="shared" si="4"/>
        <v>0</v>
      </c>
      <c r="P4987" s="9"/>
    </row>
    <row r="4988">
      <c r="G4988" s="8"/>
      <c r="M4988" s="8">
        <f t="shared" si="4"/>
        <v>0</v>
      </c>
      <c r="P4988" s="9"/>
    </row>
    <row r="4989">
      <c r="G4989" s="8"/>
      <c r="M4989" s="8">
        <f t="shared" si="4"/>
        <v>0</v>
      </c>
      <c r="P4989" s="9"/>
    </row>
    <row r="4990">
      <c r="G4990" s="8"/>
      <c r="M4990" s="8">
        <f t="shared" si="4"/>
        <v>0</v>
      </c>
      <c r="P4990" s="9"/>
    </row>
    <row r="4991">
      <c r="G4991" s="8"/>
      <c r="M4991" s="8">
        <f t="shared" si="4"/>
        <v>0</v>
      </c>
      <c r="P4991" s="9"/>
    </row>
    <row r="4992">
      <c r="G4992" s="8"/>
      <c r="M4992" s="8">
        <f t="shared" si="4"/>
        <v>0</v>
      </c>
      <c r="P4992" s="9"/>
    </row>
    <row r="4993">
      <c r="G4993" s="8"/>
      <c r="M4993" s="8">
        <f t="shared" si="4"/>
        <v>0</v>
      </c>
      <c r="P4993" s="9"/>
    </row>
    <row r="4994">
      <c r="G4994" s="8"/>
      <c r="M4994" s="8">
        <f t="shared" si="4"/>
        <v>0</v>
      </c>
      <c r="P4994" s="9"/>
    </row>
    <row r="4995">
      <c r="G4995" s="8"/>
      <c r="M4995" s="8">
        <f t="shared" si="4"/>
        <v>0</v>
      </c>
      <c r="P4995" s="9"/>
    </row>
    <row r="4996">
      <c r="G4996" s="8"/>
      <c r="M4996" s="8">
        <f t="shared" si="4"/>
        <v>0</v>
      </c>
      <c r="P4996" s="9"/>
    </row>
    <row r="4997">
      <c r="G4997" s="8"/>
      <c r="M4997" s="8">
        <f t="shared" si="4"/>
        <v>0</v>
      </c>
      <c r="P4997" s="9"/>
    </row>
    <row r="4998">
      <c r="G4998" s="8"/>
      <c r="M4998" s="8">
        <f t="shared" si="4"/>
        <v>0</v>
      </c>
      <c r="P4998" s="9"/>
    </row>
    <row r="4999">
      <c r="G4999" s="8"/>
      <c r="M4999" s="8">
        <f t="shared" si="4"/>
        <v>0</v>
      </c>
      <c r="P4999" s="9"/>
    </row>
    <row r="5000">
      <c r="G5000" s="8"/>
      <c r="M5000" s="8">
        <f t="shared" si="4"/>
        <v>0</v>
      </c>
      <c r="P5000" s="9"/>
    </row>
    <row r="5001">
      <c r="G5001" s="8"/>
      <c r="M5001" s="8">
        <f t="shared" si="4"/>
        <v>0</v>
      </c>
      <c r="P5001" s="9"/>
    </row>
    <row r="5002">
      <c r="G5002" s="8"/>
      <c r="M5002" s="8">
        <f t="shared" si="4"/>
        <v>0</v>
      </c>
      <c r="P5002" s="9"/>
    </row>
    <row r="5003">
      <c r="G5003" s="8"/>
      <c r="M5003" s="8">
        <f t="shared" si="4"/>
        <v>0</v>
      </c>
      <c r="P5003" s="9"/>
    </row>
    <row r="5004">
      <c r="G5004" s="8"/>
      <c r="M5004" s="8">
        <f t="shared" si="4"/>
        <v>0</v>
      </c>
      <c r="P5004" s="9"/>
    </row>
    <row r="5005">
      <c r="G5005" s="8"/>
      <c r="M5005" s="8">
        <f t="shared" si="4"/>
        <v>0</v>
      </c>
      <c r="P5005" s="9"/>
    </row>
    <row r="5006">
      <c r="G5006" s="8"/>
      <c r="M5006" s="8">
        <f t="shared" si="4"/>
        <v>0</v>
      </c>
      <c r="P5006" s="9"/>
    </row>
    <row r="5007">
      <c r="G5007" s="8"/>
      <c r="M5007" s="8">
        <f t="shared" si="4"/>
        <v>0</v>
      </c>
      <c r="P5007" s="9"/>
    </row>
    <row r="5008">
      <c r="G5008" s="8"/>
      <c r="M5008" s="8">
        <f t="shared" si="4"/>
        <v>0</v>
      </c>
      <c r="P5008" s="9"/>
    </row>
    <row r="5009">
      <c r="G5009" s="8"/>
      <c r="M5009" s="8">
        <f t="shared" si="4"/>
        <v>0</v>
      </c>
      <c r="P5009" s="9"/>
    </row>
    <row r="5010">
      <c r="G5010" s="8"/>
      <c r="M5010" s="8">
        <f t="shared" si="4"/>
        <v>0</v>
      </c>
      <c r="P5010" s="9"/>
    </row>
    <row r="5011">
      <c r="G5011" s="8"/>
      <c r="M5011" s="8">
        <f t="shared" si="4"/>
        <v>0</v>
      </c>
      <c r="P5011" s="9"/>
    </row>
    <row r="5012">
      <c r="G5012" s="8"/>
      <c r="M5012" s="8">
        <f t="shared" si="4"/>
        <v>0</v>
      </c>
      <c r="P5012" s="9"/>
    </row>
    <row r="5013">
      <c r="G5013" s="8"/>
      <c r="M5013" s="8">
        <f t="shared" si="4"/>
        <v>0</v>
      </c>
      <c r="P5013" s="9"/>
    </row>
    <row r="5014">
      <c r="G5014" s="8"/>
      <c r="M5014" s="8">
        <f t="shared" si="4"/>
        <v>0</v>
      </c>
      <c r="P5014" s="9"/>
    </row>
    <row r="5015">
      <c r="G5015" s="8"/>
      <c r="M5015" s="8">
        <f t="shared" si="4"/>
        <v>0</v>
      </c>
      <c r="P5015" s="9"/>
    </row>
    <row r="5016">
      <c r="G5016" s="8"/>
      <c r="M5016" s="8">
        <f t="shared" si="4"/>
        <v>0</v>
      </c>
      <c r="P5016" s="9"/>
    </row>
    <row r="5017">
      <c r="G5017" s="8"/>
      <c r="M5017" s="8">
        <f t="shared" si="4"/>
        <v>0</v>
      </c>
      <c r="P5017" s="9"/>
    </row>
    <row r="5018">
      <c r="G5018" s="8"/>
      <c r="M5018" s="8">
        <f t="shared" si="4"/>
        <v>0</v>
      </c>
      <c r="P5018" s="9"/>
    </row>
    <row r="5019">
      <c r="G5019" s="8"/>
      <c r="M5019" s="8">
        <f t="shared" si="4"/>
        <v>0</v>
      </c>
      <c r="P5019" s="9"/>
    </row>
    <row r="5020">
      <c r="G5020" s="8"/>
      <c r="M5020" s="8">
        <f t="shared" si="4"/>
        <v>0</v>
      </c>
      <c r="P5020" s="9"/>
    </row>
    <row r="5021">
      <c r="G5021" s="8"/>
      <c r="M5021" s="8">
        <f t="shared" si="4"/>
        <v>0</v>
      </c>
      <c r="P5021" s="9"/>
    </row>
    <row r="5022">
      <c r="G5022" s="8"/>
      <c r="M5022" s="8">
        <f t="shared" si="4"/>
        <v>0</v>
      </c>
      <c r="P5022" s="9"/>
    </row>
    <row r="5023">
      <c r="G5023" s="8"/>
      <c r="M5023" s="8">
        <f t="shared" si="4"/>
        <v>0</v>
      </c>
      <c r="P5023" s="9"/>
    </row>
    <row r="5024">
      <c r="G5024" s="8"/>
      <c r="M5024" s="8">
        <f t="shared" si="4"/>
        <v>0</v>
      </c>
      <c r="P5024" s="9"/>
    </row>
    <row r="5025">
      <c r="G5025" s="8"/>
      <c r="M5025" s="8">
        <f t="shared" si="4"/>
        <v>0</v>
      </c>
      <c r="P5025" s="9"/>
    </row>
    <row r="5026">
      <c r="G5026" s="8"/>
      <c r="M5026" s="8">
        <f t="shared" si="4"/>
        <v>0</v>
      </c>
      <c r="P5026" s="9"/>
    </row>
    <row r="5027">
      <c r="G5027" s="8"/>
      <c r="M5027" s="8">
        <f t="shared" si="4"/>
        <v>0</v>
      </c>
      <c r="P5027" s="9"/>
    </row>
  </sheetData>
  <autoFilter ref="$A$1:$Y$5027"/>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25"/>
    <col customWidth="1" min="2" max="2" width="5.13"/>
    <col customWidth="1" min="3" max="3" width="6.13"/>
    <col customWidth="1" min="4" max="4" width="5.88"/>
    <col customWidth="1" min="5" max="6" width="5.13"/>
    <col customWidth="1" min="7" max="7" width="4.25"/>
    <col customWidth="1" min="8" max="8" width="5.13"/>
    <col customWidth="1" min="9" max="9" width="4.25"/>
    <col customWidth="1" min="10" max="10" width="8.75"/>
  </cols>
  <sheetData>
    <row r="1">
      <c r="A1" s="6" t="s">
        <v>10370</v>
      </c>
      <c r="B1" s="6">
        <v>95.06</v>
      </c>
      <c r="C1" s="6">
        <f>161.28+0.08+0.17</f>
        <v>161.53</v>
      </c>
      <c r="D1" s="6">
        <v>111.07</v>
      </c>
      <c r="E1" s="6">
        <v>22.35</v>
      </c>
      <c r="F1" s="6">
        <v>54.76</v>
      </c>
      <c r="G1" s="6">
        <v>4.23</v>
      </c>
      <c r="H1" s="6">
        <v>39.32</v>
      </c>
      <c r="I1" s="6">
        <v>6.44</v>
      </c>
      <c r="J1" s="3">
        <f t="shared" ref="J1:J10" si="1">sum(B1:I1)</f>
        <v>494.76</v>
      </c>
    </row>
    <row r="2">
      <c r="A2" s="6" t="s">
        <v>10371</v>
      </c>
      <c r="B2" s="13">
        <f>39.93-0.5</f>
        <v>39.43</v>
      </c>
      <c r="C2" s="6">
        <v>8.35</v>
      </c>
      <c r="D2" s="6">
        <f>111.46+0.05+0.05+0.04</f>
        <v>111.6</v>
      </c>
      <c r="E2" s="6">
        <f>69.26+0.15+0.12+0.05+0.1+0.04+0.09+0.14</f>
        <v>69.95</v>
      </c>
      <c r="F2" s="6">
        <v>58.0</v>
      </c>
      <c r="J2" s="3">
        <f t="shared" si="1"/>
        <v>287.33</v>
      </c>
      <c r="K2" s="6" t="s">
        <v>10372</v>
      </c>
    </row>
    <row r="3">
      <c r="A3" s="6" t="s">
        <v>10373</v>
      </c>
      <c r="B3" s="6">
        <v>0.5</v>
      </c>
      <c r="C3" s="6">
        <f>6.81-0.15</f>
        <v>6.66</v>
      </c>
      <c r="D3" s="6">
        <v>34.86</v>
      </c>
      <c r="E3" s="6">
        <v>13.11</v>
      </c>
      <c r="F3" s="6">
        <v>28.07</v>
      </c>
      <c r="G3" s="6">
        <v>9.52</v>
      </c>
      <c r="H3" s="6">
        <v>31.72</v>
      </c>
      <c r="J3" s="3">
        <f t="shared" si="1"/>
        <v>124.44</v>
      </c>
      <c r="K3" s="6" t="s">
        <v>10372</v>
      </c>
    </row>
    <row r="4">
      <c r="A4" s="6" t="s">
        <v>10374</v>
      </c>
      <c r="B4" s="6">
        <v>5.36</v>
      </c>
      <c r="J4" s="3">
        <f t="shared" si="1"/>
        <v>5.36</v>
      </c>
    </row>
    <row r="5">
      <c r="A5" s="6" t="s">
        <v>10375</v>
      </c>
      <c r="B5" s="6">
        <v>5.32</v>
      </c>
      <c r="J5" s="3">
        <f t="shared" si="1"/>
        <v>5.32</v>
      </c>
    </row>
    <row r="6">
      <c r="A6" s="6" t="s">
        <v>10376</v>
      </c>
      <c r="B6" s="6">
        <v>168.0</v>
      </c>
      <c r="C6" s="6">
        <v>51.0</v>
      </c>
      <c r="J6" s="3">
        <f t="shared" si="1"/>
        <v>219</v>
      </c>
      <c r="K6" s="6" t="s">
        <v>10372</v>
      </c>
    </row>
    <row r="7">
      <c r="A7" s="6" t="s">
        <v>10377</v>
      </c>
      <c r="B7" s="6">
        <v>30.74</v>
      </c>
      <c r="J7" s="3">
        <f t="shared" si="1"/>
        <v>30.74</v>
      </c>
      <c r="K7" s="6" t="s">
        <v>10372</v>
      </c>
    </row>
    <row r="8">
      <c r="A8" s="6" t="s">
        <v>10378</v>
      </c>
      <c r="B8" s="6">
        <v>32.15</v>
      </c>
      <c r="C8" s="6">
        <f>15.05+0.06+0.06+0.06</f>
        <v>15.23</v>
      </c>
      <c r="D8" s="6">
        <f>64.23+9.29</f>
        <v>73.52</v>
      </c>
      <c r="J8" s="3">
        <f t="shared" si="1"/>
        <v>120.9</v>
      </c>
    </row>
    <row r="9">
      <c r="A9" s="6" t="s">
        <v>10379</v>
      </c>
      <c r="B9" s="6">
        <v>90.29</v>
      </c>
      <c r="J9" s="3">
        <f t="shared" si="1"/>
        <v>90.29</v>
      </c>
    </row>
    <row r="10">
      <c r="A10" s="6" t="s">
        <v>10380</v>
      </c>
      <c r="J10" s="3">
        <f t="shared" si="1"/>
        <v>0</v>
      </c>
    </row>
    <row r="11">
      <c r="J11" s="4"/>
    </row>
    <row r="12">
      <c r="J12" s="4"/>
    </row>
    <row r="13">
      <c r="J13" s="4"/>
    </row>
    <row r="14">
      <c r="J14" s="4"/>
    </row>
    <row r="15">
      <c r="J15" s="4"/>
    </row>
    <row r="16">
      <c r="J16" s="4"/>
    </row>
    <row r="17">
      <c r="J17" s="4"/>
    </row>
    <row r="18">
      <c r="J18" s="4"/>
    </row>
    <row r="19">
      <c r="J19" s="4"/>
    </row>
    <row r="20">
      <c r="J20" s="4"/>
    </row>
    <row r="21">
      <c r="J21" s="4"/>
    </row>
    <row r="22">
      <c r="J22" s="4"/>
    </row>
    <row r="23">
      <c r="J23" s="4"/>
    </row>
    <row r="24">
      <c r="J24" s="4"/>
    </row>
    <row r="25">
      <c r="J25" s="4"/>
    </row>
    <row r="26">
      <c r="J26" s="4"/>
    </row>
    <row r="27">
      <c r="J27" s="4"/>
    </row>
    <row r="28">
      <c r="J28" s="4"/>
    </row>
    <row r="29">
      <c r="J29" s="4"/>
    </row>
    <row r="30">
      <c r="J30" s="4"/>
    </row>
    <row r="31">
      <c r="J31" s="4"/>
    </row>
    <row r="32">
      <c r="J32" s="4"/>
    </row>
    <row r="33">
      <c r="J33" s="4"/>
    </row>
    <row r="34">
      <c r="J34" s="4"/>
    </row>
    <row r="35">
      <c r="J35" s="4"/>
    </row>
    <row r="36">
      <c r="J36" s="4"/>
    </row>
    <row r="37">
      <c r="J37" s="4"/>
    </row>
    <row r="38">
      <c r="J38" s="4"/>
    </row>
    <row r="39">
      <c r="J39" s="4"/>
    </row>
    <row r="40">
      <c r="J40" s="4"/>
    </row>
    <row r="41">
      <c r="J41" s="4"/>
    </row>
    <row r="42">
      <c r="J42" s="4"/>
    </row>
    <row r="43">
      <c r="J43" s="4"/>
    </row>
    <row r="44">
      <c r="J44" s="4"/>
    </row>
    <row r="45">
      <c r="J45" s="4"/>
    </row>
    <row r="46">
      <c r="J46" s="4"/>
    </row>
    <row r="47">
      <c r="J47" s="4"/>
    </row>
    <row r="48">
      <c r="J48" s="4"/>
    </row>
    <row r="49">
      <c r="J49" s="4"/>
    </row>
    <row r="50">
      <c r="J50" s="4"/>
    </row>
    <row r="51">
      <c r="J51" s="4"/>
    </row>
    <row r="52">
      <c r="J52" s="4"/>
    </row>
    <row r="53">
      <c r="J53" s="4"/>
    </row>
    <row r="54">
      <c r="J54" s="4"/>
    </row>
    <row r="55">
      <c r="J55" s="4"/>
    </row>
    <row r="56">
      <c r="J56" s="4"/>
    </row>
    <row r="57">
      <c r="J57" s="4"/>
    </row>
    <row r="58">
      <c r="J58" s="4"/>
    </row>
    <row r="59">
      <c r="J59" s="4"/>
    </row>
    <row r="60">
      <c r="J60" s="4"/>
    </row>
    <row r="61">
      <c r="J61" s="4"/>
    </row>
    <row r="62">
      <c r="J62" s="4"/>
    </row>
    <row r="63">
      <c r="J63" s="4"/>
    </row>
    <row r="64">
      <c r="J64" s="4"/>
    </row>
    <row r="65">
      <c r="J65" s="4"/>
    </row>
    <row r="66">
      <c r="J66" s="4"/>
    </row>
    <row r="67">
      <c r="J67" s="4"/>
    </row>
    <row r="68">
      <c r="J68" s="4"/>
    </row>
    <row r="69">
      <c r="J69" s="4"/>
    </row>
    <row r="70">
      <c r="J70" s="4"/>
    </row>
    <row r="71">
      <c r="J71" s="4"/>
    </row>
    <row r="72">
      <c r="J72" s="4"/>
    </row>
    <row r="73">
      <c r="J73" s="4"/>
    </row>
    <row r="74">
      <c r="J74" s="4"/>
    </row>
    <row r="75">
      <c r="J75" s="4"/>
    </row>
    <row r="76">
      <c r="J76" s="4"/>
    </row>
    <row r="77">
      <c r="J77" s="4"/>
    </row>
    <row r="78">
      <c r="J78" s="4"/>
    </row>
    <row r="79">
      <c r="J79" s="4"/>
    </row>
    <row r="80">
      <c r="J80" s="4"/>
    </row>
    <row r="81">
      <c r="J81" s="4"/>
    </row>
    <row r="82">
      <c r="J82" s="4"/>
    </row>
    <row r="83">
      <c r="J83" s="4"/>
    </row>
    <row r="84">
      <c r="J84" s="4"/>
    </row>
    <row r="85">
      <c r="J85" s="4"/>
    </row>
    <row r="86">
      <c r="J86" s="4"/>
    </row>
    <row r="87">
      <c r="J87" s="4"/>
    </row>
    <row r="88">
      <c r="J88" s="4"/>
    </row>
    <row r="89">
      <c r="J89" s="4"/>
    </row>
    <row r="90">
      <c r="J90" s="4"/>
    </row>
    <row r="91">
      <c r="J91" s="4"/>
    </row>
    <row r="92">
      <c r="J92" s="4"/>
    </row>
    <row r="93">
      <c r="J93" s="4"/>
    </row>
    <row r="94">
      <c r="J94" s="4"/>
    </row>
    <row r="95">
      <c r="J95" s="4"/>
    </row>
    <row r="96">
      <c r="J96" s="4"/>
    </row>
    <row r="97">
      <c r="J97" s="4"/>
    </row>
    <row r="98">
      <c r="J98" s="4"/>
    </row>
    <row r="99">
      <c r="J99" s="4"/>
    </row>
    <row r="100">
      <c r="J100" s="4"/>
    </row>
    <row r="101">
      <c r="J101" s="4"/>
    </row>
    <row r="102">
      <c r="J102" s="4"/>
    </row>
    <row r="103">
      <c r="J103" s="4"/>
    </row>
    <row r="104">
      <c r="J104" s="4"/>
    </row>
    <row r="105">
      <c r="J105" s="4"/>
    </row>
    <row r="106">
      <c r="J106" s="4"/>
    </row>
    <row r="107">
      <c r="J107" s="4"/>
    </row>
    <row r="108">
      <c r="J108" s="4"/>
    </row>
    <row r="109">
      <c r="J109" s="4"/>
    </row>
    <row r="110">
      <c r="J110" s="4"/>
    </row>
    <row r="111">
      <c r="J111" s="4"/>
    </row>
    <row r="112">
      <c r="J112" s="4"/>
    </row>
    <row r="113">
      <c r="J113" s="4"/>
    </row>
    <row r="114">
      <c r="J114" s="4"/>
    </row>
    <row r="115">
      <c r="J115" s="4"/>
    </row>
    <row r="116">
      <c r="J116" s="4"/>
    </row>
    <row r="117">
      <c r="J117" s="4"/>
    </row>
    <row r="118">
      <c r="J118" s="4"/>
    </row>
    <row r="119">
      <c r="J119" s="4"/>
    </row>
    <row r="120">
      <c r="J120" s="4"/>
    </row>
    <row r="121">
      <c r="J121" s="4"/>
    </row>
    <row r="122">
      <c r="J122" s="4"/>
    </row>
    <row r="123">
      <c r="J123" s="4"/>
    </row>
    <row r="124">
      <c r="J124" s="4"/>
    </row>
    <row r="125">
      <c r="J125" s="4"/>
    </row>
    <row r="126">
      <c r="J126" s="4"/>
    </row>
    <row r="127">
      <c r="J127" s="4"/>
    </row>
    <row r="128">
      <c r="J128" s="4"/>
    </row>
    <row r="129">
      <c r="J129" s="4"/>
    </row>
    <row r="130">
      <c r="J130" s="4"/>
    </row>
    <row r="131">
      <c r="J131" s="4"/>
    </row>
    <row r="132">
      <c r="J132" s="4"/>
    </row>
    <row r="133">
      <c r="J133" s="4"/>
    </row>
    <row r="134">
      <c r="J134" s="4"/>
    </row>
    <row r="135">
      <c r="J135" s="4"/>
    </row>
    <row r="136">
      <c r="J136" s="4"/>
    </row>
    <row r="137">
      <c r="J137" s="4"/>
    </row>
    <row r="138">
      <c r="J138" s="4"/>
    </row>
    <row r="139">
      <c r="J139" s="4"/>
    </row>
    <row r="140">
      <c r="J140" s="4"/>
    </row>
    <row r="141">
      <c r="J141" s="4"/>
    </row>
    <row r="142">
      <c r="J142" s="4"/>
    </row>
    <row r="143">
      <c r="J143" s="4"/>
    </row>
    <row r="144">
      <c r="J144" s="4"/>
    </row>
    <row r="145">
      <c r="J145" s="4"/>
    </row>
    <row r="146">
      <c r="J146" s="4"/>
    </row>
    <row r="147">
      <c r="J147" s="4"/>
    </row>
    <row r="148">
      <c r="J148" s="4"/>
    </row>
    <row r="149">
      <c r="J149" s="4"/>
    </row>
    <row r="150">
      <c r="J150" s="4"/>
    </row>
    <row r="151">
      <c r="J151" s="4"/>
    </row>
    <row r="152">
      <c r="J152" s="4"/>
    </row>
    <row r="153">
      <c r="J153" s="4"/>
    </row>
    <row r="154">
      <c r="J154" s="4"/>
    </row>
    <row r="155">
      <c r="J155" s="4"/>
    </row>
    <row r="156">
      <c r="J156" s="4"/>
    </row>
    <row r="157">
      <c r="J157" s="4"/>
    </row>
    <row r="158">
      <c r="J158" s="4"/>
    </row>
    <row r="159">
      <c r="J159" s="4"/>
    </row>
    <row r="160">
      <c r="J160" s="4"/>
    </row>
    <row r="161">
      <c r="J161" s="4"/>
    </row>
    <row r="162">
      <c r="J162" s="4"/>
    </row>
    <row r="163">
      <c r="J163" s="4"/>
    </row>
    <row r="164">
      <c r="J164" s="4"/>
    </row>
    <row r="165">
      <c r="J165" s="4"/>
    </row>
    <row r="166">
      <c r="J166" s="4"/>
    </row>
    <row r="167">
      <c r="J167" s="4"/>
    </row>
    <row r="168">
      <c r="J168" s="4"/>
    </row>
    <row r="169">
      <c r="J169" s="4"/>
    </row>
    <row r="170">
      <c r="J170" s="4"/>
    </row>
    <row r="171">
      <c r="J171" s="4"/>
    </row>
    <row r="172">
      <c r="J172" s="4"/>
    </row>
    <row r="173">
      <c r="J173" s="4"/>
    </row>
    <row r="174">
      <c r="J174" s="4"/>
    </row>
    <row r="175">
      <c r="J175" s="4"/>
    </row>
    <row r="176">
      <c r="J176" s="4"/>
    </row>
    <row r="177">
      <c r="J177" s="4"/>
    </row>
    <row r="178">
      <c r="J178" s="4"/>
    </row>
    <row r="179">
      <c r="J179" s="4"/>
    </row>
    <row r="180">
      <c r="J180" s="4"/>
    </row>
    <row r="181">
      <c r="J181" s="4"/>
    </row>
    <row r="182">
      <c r="J182" s="4"/>
    </row>
    <row r="183">
      <c r="J183" s="4"/>
    </row>
    <row r="184">
      <c r="J184" s="4"/>
    </row>
    <row r="185">
      <c r="J185" s="4"/>
    </row>
    <row r="186">
      <c r="J186" s="4"/>
    </row>
    <row r="187">
      <c r="J187" s="4"/>
    </row>
    <row r="188">
      <c r="J188" s="4"/>
    </row>
    <row r="189">
      <c r="J189" s="4"/>
    </row>
    <row r="190">
      <c r="J190" s="4"/>
    </row>
    <row r="191">
      <c r="J191" s="4"/>
    </row>
    <row r="192">
      <c r="J192" s="4"/>
    </row>
    <row r="193">
      <c r="J193" s="4"/>
    </row>
    <row r="194">
      <c r="J194" s="4"/>
    </row>
    <row r="195">
      <c r="J195" s="4"/>
    </row>
    <row r="196">
      <c r="J196" s="4"/>
    </row>
    <row r="197">
      <c r="J197" s="4"/>
    </row>
    <row r="198">
      <c r="J198" s="4"/>
    </row>
    <row r="199">
      <c r="J199" s="4"/>
    </row>
    <row r="200">
      <c r="J200" s="4"/>
    </row>
    <row r="201">
      <c r="J201" s="4"/>
    </row>
    <row r="202">
      <c r="J202" s="4"/>
    </row>
    <row r="203">
      <c r="J203" s="4"/>
    </row>
    <row r="204">
      <c r="J204" s="4"/>
    </row>
    <row r="205">
      <c r="J205" s="4"/>
    </row>
    <row r="206">
      <c r="J206" s="4"/>
    </row>
    <row r="207">
      <c r="J207" s="4"/>
    </row>
    <row r="208">
      <c r="J208" s="4"/>
    </row>
    <row r="209">
      <c r="J209" s="4"/>
    </row>
    <row r="210">
      <c r="J210" s="4"/>
    </row>
    <row r="211">
      <c r="J211" s="4"/>
    </row>
    <row r="212">
      <c r="J212" s="4"/>
    </row>
    <row r="213">
      <c r="J213" s="4"/>
    </row>
    <row r="214">
      <c r="J214" s="4"/>
    </row>
    <row r="215">
      <c r="J215" s="4"/>
    </row>
    <row r="216">
      <c r="J216" s="4"/>
    </row>
    <row r="217">
      <c r="J217" s="4"/>
    </row>
    <row r="218">
      <c r="J218" s="4"/>
    </row>
    <row r="219">
      <c r="J219" s="4"/>
    </row>
    <row r="220">
      <c r="J220" s="4"/>
    </row>
    <row r="221">
      <c r="J221" s="4"/>
    </row>
    <row r="222">
      <c r="J222" s="4"/>
    </row>
    <row r="223">
      <c r="J223" s="4"/>
    </row>
    <row r="224">
      <c r="J224" s="4"/>
    </row>
    <row r="225">
      <c r="J225" s="4"/>
    </row>
    <row r="226">
      <c r="J226" s="4"/>
    </row>
    <row r="227">
      <c r="J227" s="4"/>
    </row>
    <row r="228">
      <c r="J228" s="4"/>
    </row>
    <row r="229">
      <c r="J229" s="4"/>
    </row>
    <row r="230">
      <c r="J230" s="4"/>
    </row>
    <row r="231">
      <c r="J231" s="4"/>
    </row>
    <row r="232">
      <c r="J232" s="4"/>
    </row>
    <row r="233">
      <c r="J233" s="4"/>
    </row>
    <row r="234">
      <c r="J234" s="4"/>
    </row>
    <row r="235">
      <c r="J235" s="4"/>
    </row>
    <row r="236">
      <c r="J236" s="4"/>
    </row>
    <row r="237">
      <c r="J237" s="4"/>
    </row>
    <row r="238">
      <c r="J238" s="4"/>
    </row>
    <row r="239">
      <c r="J239" s="4"/>
    </row>
    <row r="240">
      <c r="J240" s="4"/>
    </row>
    <row r="241">
      <c r="J241" s="4"/>
    </row>
    <row r="242">
      <c r="J242" s="4"/>
    </row>
    <row r="243">
      <c r="J243" s="4"/>
    </row>
    <row r="244">
      <c r="J244" s="4"/>
    </row>
    <row r="245">
      <c r="J245" s="4"/>
    </row>
    <row r="246">
      <c r="J246" s="4"/>
    </row>
    <row r="247">
      <c r="J247" s="4"/>
    </row>
    <row r="248">
      <c r="J248" s="4"/>
    </row>
    <row r="249">
      <c r="J249" s="4"/>
    </row>
    <row r="250">
      <c r="J250" s="4"/>
    </row>
    <row r="251">
      <c r="J251" s="4"/>
    </row>
    <row r="252">
      <c r="J252" s="4"/>
    </row>
    <row r="253">
      <c r="J253" s="4"/>
    </row>
    <row r="254">
      <c r="J254" s="4"/>
    </row>
    <row r="255">
      <c r="J255" s="4"/>
    </row>
    <row r="256">
      <c r="J256" s="4"/>
    </row>
    <row r="257">
      <c r="J257" s="4"/>
    </row>
    <row r="258">
      <c r="J258" s="4"/>
    </row>
    <row r="259">
      <c r="J259" s="4"/>
    </row>
    <row r="260">
      <c r="J260" s="4"/>
    </row>
    <row r="261">
      <c r="J261" s="4"/>
    </row>
    <row r="262">
      <c r="J262" s="4"/>
    </row>
    <row r="263">
      <c r="J263" s="4"/>
    </row>
    <row r="264">
      <c r="J264" s="4"/>
    </row>
    <row r="265">
      <c r="J265" s="4"/>
    </row>
    <row r="266">
      <c r="J266" s="4"/>
    </row>
    <row r="267">
      <c r="J267" s="4"/>
    </row>
    <row r="268">
      <c r="J268" s="4"/>
    </row>
    <row r="269">
      <c r="J269" s="4"/>
    </row>
    <row r="270">
      <c r="J270" s="4"/>
    </row>
    <row r="271">
      <c r="J271" s="4"/>
    </row>
    <row r="272">
      <c r="J272" s="4"/>
    </row>
    <row r="273">
      <c r="J273" s="4"/>
    </row>
    <row r="274">
      <c r="J274" s="4"/>
    </row>
    <row r="275">
      <c r="J275" s="4"/>
    </row>
    <row r="276">
      <c r="J276" s="4"/>
    </row>
    <row r="277">
      <c r="J277" s="4"/>
    </row>
    <row r="278">
      <c r="J278" s="4"/>
    </row>
    <row r="279">
      <c r="J279" s="4"/>
    </row>
    <row r="280">
      <c r="J280" s="4"/>
    </row>
    <row r="281">
      <c r="J281" s="4"/>
    </row>
    <row r="282">
      <c r="J282" s="4"/>
    </row>
    <row r="283">
      <c r="J283" s="4"/>
    </row>
    <row r="284">
      <c r="J284" s="4"/>
    </row>
    <row r="285">
      <c r="J285" s="4"/>
    </row>
    <row r="286">
      <c r="J286" s="4"/>
    </row>
    <row r="287">
      <c r="J287" s="4"/>
    </row>
    <row r="288">
      <c r="J288" s="4"/>
    </row>
    <row r="289">
      <c r="J289" s="4"/>
    </row>
    <row r="290">
      <c r="J290" s="4"/>
    </row>
    <row r="291">
      <c r="J291" s="4"/>
    </row>
    <row r="292">
      <c r="J292" s="4"/>
    </row>
    <row r="293">
      <c r="J293" s="4"/>
    </row>
    <row r="294">
      <c r="J294" s="4"/>
    </row>
    <row r="295">
      <c r="J295" s="4"/>
    </row>
    <row r="296">
      <c r="J296" s="4"/>
    </row>
    <row r="297">
      <c r="J297" s="4"/>
    </row>
    <row r="298">
      <c r="J298" s="4"/>
    </row>
    <row r="299">
      <c r="J299" s="4"/>
    </row>
    <row r="300">
      <c r="J300" s="4"/>
    </row>
    <row r="301">
      <c r="J301" s="4"/>
    </row>
    <row r="302">
      <c r="J302" s="4"/>
    </row>
    <row r="303">
      <c r="J303" s="4"/>
    </row>
    <row r="304">
      <c r="J304" s="4"/>
    </row>
    <row r="305">
      <c r="J305" s="4"/>
    </row>
    <row r="306">
      <c r="J306" s="4"/>
    </row>
    <row r="307">
      <c r="J307" s="4"/>
    </row>
    <row r="308">
      <c r="J308" s="4"/>
    </row>
    <row r="309">
      <c r="J309" s="4"/>
    </row>
    <row r="310">
      <c r="J310" s="4"/>
    </row>
    <row r="311">
      <c r="J311" s="4"/>
    </row>
    <row r="312">
      <c r="J312" s="4"/>
    </row>
    <row r="313">
      <c r="J313" s="4"/>
    </row>
    <row r="314">
      <c r="J314" s="4"/>
    </row>
    <row r="315">
      <c r="J315" s="4"/>
    </row>
    <row r="316">
      <c r="J316" s="4"/>
    </row>
    <row r="317">
      <c r="J317" s="4"/>
    </row>
    <row r="318">
      <c r="J318" s="4"/>
    </row>
    <row r="319">
      <c r="J319" s="4"/>
    </row>
    <row r="320">
      <c r="J320" s="4"/>
    </row>
    <row r="321">
      <c r="J321" s="4"/>
    </row>
    <row r="322">
      <c r="J322" s="4"/>
    </row>
    <row r="323">
      <c r="J323" s="4"/>
    </row>
    <row r="324">
      <c r="J324" s="4"/>
    </row>
    <row r="325">
      <c r="J325" s="4"/>
    </row>
    <row r="326">
      <c r="J326" s="4"/>
    </row>
    <row r="327">
      <c r="J327" s="4"/>
    </row>
    <row r="328">
      <c r="J328" s="4"/>
    </row>
    <row r="329">
      <c r="J329" s="4"/>
    </row>
    <row r="330">
      <c r="J330" s="4"/>
    </row>
    <row r="331">
      <c r="J331" s="4"/>
    </row>
    <row r="332">
      <c r="J332" s="4"/>
    </row>
    <row r="333">
      <c r="J333" s="4"/>
    </row>
    <row r="334">
      <c r="J334" s="4"/>
    </row>
    <row r="335">
      <c r="J335" s="4"/>
    </row>
    <row r="336">
      <c r="J336" s="4"/>
    </row>
    <row r="337">
      <c r="J337" s="4"/>
    </row>
    <row r="338">
      <c r="J338" s="4"/>
    </row>
    <row r="339">
      <c r="J339" s="4"/>
    </row>
    <row r="340">
      <c r="J340" s="4"/>
    </row>
    <row r="341">
      <c r="J341" s="4"/>
    </row>
    <row r="342">
      <c r="J342" s="4"/>
    </row>
    <row r="343">
      <c r="J343" s="4"/>
    </row>
    <row r="344">
      <c r="J344" s="4"/>
    </row>
    <row r="345">
      <c r="J345" s="4"/>
    </row>
    <row r="346">
      <c r="J346" s="4"/>
    </row>
    <row r="347">
      <c r="J347" s="4"/>
    </row>
    <row r="348">
      <c r="J348" s="4"/>
    </row>
    <row r="349">
      <c r="J349" s="4"/>
    </row>
    <row r="350">
      <c r="J350" s="4"/>
    </row>
    <row r="351">
      <c r="J351" s="4"/>
    </row>
    <row r="352">
      <c r="J352" s="4"/>
    </row>
    <row r="353">
      <c r="J353" s="4"/>
    </row>
    <row r="354">
      <c r="J354" s="4"/>
    </row>
    <row r="355">
      <c r="J355" s="4"/>
    </row>
    <row r="356">
      <c r="J356" s="4"/>
    </row>
    <row r="357">
      <c r="J357" s="4"/>
    </row>
    <row r="358">
      <c r="J358" s="4"/>
    </row>
    <row r="359">
      <c r="J359" s="4"/>
    </row>
    <row r="360">
      <c r="J360" s="4"/>
    </row>
    <row r="361">
      <c r="J361" s="4"/>
    </row>
    <row r="362">
      <c r="J362" s="4"/>
    </row>
    <row r="363">
      <c r="J363" s="4"/>
    </row>
    <row r="364">
      <c r="J364" s="4"/>
    </row>
    <row r="365">
      <c r="J365" s="4"/>
    </row>
    <row r="366">
      <c r="J366" s="4"/>
    </row>
    <row r="367">
      <c r="J367" s="4"/>
    </row>
    <row r="368">
      <c r="J368" s="4"/>
    </row>
    <row r="369">
      <c r="J369" s="4"/>
    </row>
    <row r="370">
      <c r="J370" s="4"/>
    </row>
    <row r="371">
      <c r="J371" s="4"/>
    </row>
    <row r="372">
      <c r="J372" s="4"/>
    </row>
    <row r="373">
      <c r="J373" s="4"/>
    </row>
    <row r="374">
      <c r="J374" s="4"/>
    </row>
    <row r="375">
      <c r="J375" s="4"/>
    </row>
    <row r="376">
      <c r="J376" s="4"/>
    </row>
    <row r="377">
      <c r="J377" s="4"/>
    </row>
    <row r="378">
      <c r="J378" s="4"/>
    </row>
    <row r="379">
      <c r="J379" s="4"/>
    </row>
    <row r="380">
      <c r="J380" s="4"/>
    </row>
    <row r="381">
      <c r="J381" s="4"/>
    </row>
    <row r="382">
      <c r="J382" s="4"/>
    </row>
    <row r="383">
      <c r="J383" s="4"/>
    </row>
    <row r="384">
      <c r="J384" s="4"/>
    </row>
    <row r="385">
      <c r="J385" s="4"/>
    </row>
    <row r="386">
      <c r="J386" s="4"/>
    </row>
    <row r="387">
      <c r="J387" s="4"/>
    </row>
    <row r="388">
      <c r="J388" s="4"/>
    </row>
    <row r="389">
      <c r="J389" s="4"/>
    </row>
    <row r="390">
      <c r="J390" s="4"/>
    </row>
    <row r="391">
      <c r="J391" s="4"/>
    </row>
    <row r="392">
      <c r="J392" s="4"/>
    </row>
    <row r="393">
      <c r="J393" s="4"/>
    </row>
    <row r="394">
      <c r="J394" s="4"/>
    </row>
    <row r="395">
      <c r="J395" s="4"/>
    </row>
    <row r="396">
      <c r="J396" s="4"/>
    </row>
    <row r="397">
      <c r="J397" s="4"/>
    </row>
    <row r="398">
      <c r="J398" s="4"/>
    </row>
    <row r="399">
      <c r="J399" s="4"/>
    </row>
    <row r="400">
      <c r="J400" s="4"/>
    </row>
    <row r="401">
      <c r="J401" s="4"/>
    </row>
    <row r="402">
      <c r="J402" s="4"/>
    </row>
    <row r="403">
      <c r="J403" s="4"/>
    </row>
    <row r="404">
      <c r="J404" s="4"/>
    </row>
    <row r="405">
      <c r="J405" s="4"/>
    </row>
    <row r="406">
      <c r="J406" s="4"/>
    </row>
    <row r="407">
      <c r="J407" s="4"/>
    </row>
    <row r="408">
      <c r="J408" s="4"/>
    </row>
    <row r="409">
      <c r="J409" s="4"/>
    </row>
    <row r="410">
      <c r="J410" s="4"/>
    </row>
    <row r="411">
      <c r="J411" s="4"/>
    </row>
    <row r="412">
      <c r="J412" s="4"/>
    </row>
    <row r="413">
      <c r="J413" s="4"/>
    </row>
    <row r="414">
      <c r="J414" s="4"/>
    </row>
    <row r="415">
      <c r="J415" s="4"/>
    </row>
    <row r="416">
      <c r="J416" s="4"/>
    </row>
    <row r="417">
      <c r="J417" s="4"/>
    </row>
    <row r="418">
      <c r="J418" s="4"/>
    </row>
    <row r="419">
      <c r="J419" s="4"/>
    </row>
    <row r="420">
      <c r="J420" s="4"/>
    </row>
    <row r="421">
      <c r="J421" s="4"/>
    </row>
    <row r="422">
      <c r="J422" s="4"/>
    </row>
    <row r="423">
      <c r="J423" s="4"/>
    </row>
    <row r="424">
      <c r="J424" s="4"/>
    </row>
    <row r="425">
      <c r="J425" s="4"/>
    </row>
    <row r="426">
      <c r="J426" s="4"/>
    </row>
    <row r="427">
      <c r="J427" s="4"/>
    </row>
    <row r="428">
      <c r="J428" s="4"/>
    </row>
    <row r="429">
      <c r="J429" s="4"/>
    </row>
    <row r="430">
      <c r="J430" s="4"/>
    </row>
    <row r="431">
      <c r="J431" s="4"/>
    </row>
    <row r="432">
      <c r="J432" s="4"/>
    </row>
    <row r="433">
      <c r="J433" s="4"/>
    </row>
    <row r="434">
      <c r="J434" s="4"/>
    </row>
    <row r="435">
      <c r="J435" s="4"/>
    </row>
    <row r="436">
      <c r="J436" s="4"/>
    </row>
    <row r="437">
      <c r="J437" s="4"/>
    </row>
    <row r="438">
      <c r="J438" s="4"/>
    </row>
    <row r="439">
      <c r="J439" s="4"/>
    </row>
    <row r="440">
      <c r="J440" s="4"/>
    </row>
    <row r="441">
      <c r="J441" s="4"/>
    </row>
    <row r="442">
      <c r="J442" s="4"/>
    </row>
    <row r="443">
      <c r="J443" s="4"/>
    </row>
    <row r="444">
      <c r="J444" s="4"/>
    </row>
    <row r="445">
      <c r="J445" s="4"/>
    </row>
    <row r="446">
      <c r="J446" s="4"/>
    </row>
    <row r="447">
      <c r="J447" s="4"/>
    </row>
    <row r="448">
      <c r="J448" s="4"/>
    </row>
    <row r="449">
      <c r="J449" s="4"/>
    </row>
    <row r="450">
      <c r="J450" s="4"/>
    </row>
    <row r="451">
      <c r="J451" s="4"/>
    </row>
    <row r="452">
      <c r="J452" s="4"/>
    </row>
    <row r="453">
      <c r="J453" s="4"/>
    </row>
    <row r="454">
      <c r="J454" s="4"/>
    </row>
    <row r="455">
      <c r="J455" s="4"/>
    </row>
    <row r="456">
      <c r="J456" s="4"/>
    </row>
    <row r="457">
      <c r="J457" s="4"/>
    </row>
    <row r="458">
      <c r="J458" s="4"/>
    </row>
    <row r="459">
      <c r="J459" s="4"/>
    </row>
    <row r="460">
      <c r="J460" s="4"/>
    </row>
    <row r="461">
      <c r="J461" s="4"/>
    </row>
    <row r="462">
      <c r="J462" s="4"/>
    </row>
    <row r="463">
      <c r="J463" s="4"/>
    </row>
    <row r="464">
      <c r="J464" s="4"/>
    </row>
    <row r="465">
      <c r="J465" s="4"/>
    </row>
    <row r="466">
      <c r="J466" s="4"/>
    </row>
    <row r="467">
      <c r="J467" s="4"/>
    </row>
    <row r="468">
      <c r="J468" s="4"/>
    </row>
    <row r="469">
      <c r="J469" s="4"/>
    </row>
    <row r="470">
      <c r="J470" s="4"/>
    </row>
    <row r="471">
      <c r="J471" s="4"/>
    </row>
    <row r="472">
      <c r="J472" s="4"/>
    </row>
    <row r="473">
      <c r="J473" s="4"/>
    </row>
    <row r="474">
      <c r="J474" s="4"/>
    </row>
    <row r="475">
      <c r="J475" s="4"/>
    </row>
    <row r="476">
      <c r="J476" s="4"/>
    </row>
    <row r="477">
      <c r="J477" s="4"/>
    </row>
    <row r="478">
      <c r="J478" s="4"/>
    </row>
    <row r="479">
      <c r="J479" s="4"/>
    </row>
    <row r="480">
      <c r="J480" s="4"/>
    </row>
    <row r="481">
      <c r="J481" s="4"/>
    </row>
    <row r="482">
      <c r="J482" s="4"/>
    </row>
    <row r="483">
      <c r="J483" s="4"/>
    </row>
    <row r="484">
      <c r="J484" s="4"/>
    </row>
    <row r="485">
      <c r="J485" s="4"/>
    </row>
    <row r="486">
      <c r="J486" s="4"/>
    </row>
    <row r="487">
      <c r="J487" s="4"/>
    </row>
    <row r="488">
      <c r="J488" s="4"/>
    </row>
    <row r="489">
      <c r="J489" s="4"/>
    </row>
    <row r="490">
      <c r="J490" s="4"/>
    </row>
    <row r="491">
      <c r="J491" s="4"/>
    </row>
    <row r="492">
      <c r="J492" s="4"/>
    </row>
    <row r="493">
      <c r="J493" s="4"/>
    </row>
    <row r="494">
      <c r="J494" s="4"/>
    </row>
    <row r="495">
      <c r="J495" s="4"/>
    </row>
    <row r="496">
      <c r="J496" s="4"/>
    </row>
    <row r="497">
      <c r="J497" s="4"/>
    </row>
    <row r="498">
      <c r="J498" s="4"/>
    </row>
    <row r="499">
      <c r="J499" s="4"/>
    </row>
    <row r="500">
      <c r="J500" s="4"/>
    </row>
    <row r="501">
      <c r="J501" s="4"/>
    </row>
    <row r="502">
      <c r="J502" s="4"/>
    </row>
    <row r="503">
      <c r="J503" s="4"/>
    </row>
    <row r="504">
      <c r="J504" s="4"/>
    </row>
    <row r="505">
      <c r="J505" s="4"/>
    </row>
    <row r="506">
      <c r="J506" s="4"/>
    </row>
    <row r="507">
      <c r="J507" s="4"/>
    </row>
    <row r="508">
      <c r="J508" s="4"/>
    </row>
    <row r="509">
      <c r="J509" s="4"/>
    </row>
    <row r="510">
      <c r="J510" s="4"/>
    </row>
    <row r="511">
      <c r="J511" s="4"/>
    </row>
    <row r="512">
      <c r="J512" s="4"/>
    </row>
    <row r="513">
      <c r="J513" s="4"/>
    </row>
    <row r="514">
      <c r="J514" s="4"/>
    </row>
    <row r="515">
      <c r="J515" s="4"/>
    </row>
    <row r="516">
      <c r="J516" s="4"/>
    </row>
    <row r="517">
      <c r="J517" s="4"/>
    </row>
    <row r="518">
      <c r="J518" s="4"/>
    </row>
    <row r="519">
      <c r="J519" s="4"/>
    </row>
    <row r="520">
      <c r="J520" s="4"/>
    </row>
    <row r="521">
      <c r="J521" s="4"/>
    </row>
    <row r="522">
      <c r="J522" s="4"/>
    </row>
    <row r="523">
      <c r="J523" s="4"/>
    </row>
    <row r="524">
      <c r="J524" s="4"/>
    </row>
    <row r="525">
      <c r="J525" s="4"/>
    </row>
    <row r="526">
      <c r="J526" s="4"/>
    </row>
    <row r="527">
      <c r="J527" s="4"/>
    </row>
    <row r="528">
      <c r="J528" s="4"/>
    </row>
    <row r="529">
      <c r="J529" s="4"/>
    </row>
    <row r="530">
      <c r="J530" s="4"/>
    </row>
    <row r="531">
      <c r="J531" s="4"/>
    </row>
    <row r="532">
      <c r="J532" s="4"/>
    </row>
    <row r="533">
      <c r="J533" s="4"/>
    </row>
    <row r="534">
      <c r="J534" s="4"/>
    </row>
    <row r="535">
      <c r="J535" s="4"/>
    </row>
    <row r="536">
      <c r="J536" s="4"/>
    </row>
    <row r="537">
      <c r="J537" s="4"/>
    </row>
    <row r="538">
      <c r="J538" s="4"/>
    </row>
    <row r="539">
      <c r="J539" s="4"/>
    </row>
    <row r="540">
      <c r="J540" s="4"/>
    </row>
    <row r="541">
      <c r="J541" s="4"/>
    </row>
    <row r="542">
      <c r="J542" s="4"/>
    </row>
    <row r="543">
      <c r="J543" s="4"/>
    </row>
    <row r="544">
      <c r="J544" s="4"/>
    </row>
    <row r="545">
      <c r="J545" s="4"/>
    </row>
    <row r="546">
      <c r="J546" s="4"/>
    </row>
    <row r="547">
      <c r="J547" s="4"/>
    </row>
    <row r="548">
      <c r="J548" s="4"/>
    </row>
    <row r="549">
      <c r="J549" s="4"/>
    </row>
    <row r="550">
      <c r="J550" s="4"/>
    </row>
    <row r="551">
      <c r="J551" s="4"/>
    </row>
    <row r="552">
      <c r="J552" s="4"/>
    </row>
    <row r="553">
      <c r="J553" s="4"/>
    </row>
    <row r="554">
      <c r="J554" s="4"/>
    </row>
    <row r="555">
      <c r="J555" s="4"/>
    </row>
    <row r="556">
      <c r="J556" s="4"/>
    </row>
    <row r="557">
      <c r="J557" s="4"/>
    </row>
    <row r="558">
      <c r="J558" s="4"/>
    </row>
    <row r="559">
      <c r="J559" s="4"/>
    </row>
    <row r="560">
      <c r="J560" s="4"/>
    </row>
    <row r="561">
      <c r="J561" s="4"/>
    </row>
    <row r="562">
      <c r="J562" s="4"/>
    </row>
    <row r="563">
      <c r="J563" s="4"/>
    </row>
    <row r="564">
      <c r="J564" s="4"/>
    </row>
    <row r="565">
      <c r="J565" s="4"/>
    </row>
    <row r="566">
      <c r="J566" s="4"/>
    </row>
    <row r="567">
      <c r="J567" s="4"/>
    </row>
    <row r="568">
      <c r="J568" s="4"/>
    </row>
    <row r="569">
      <c r="J569" s="4"/>
    </row>
    <row r="570">
      <c r="J570" s="4"/>
    </row>
    <row r="571">
      <c r="J571" s="4"/>
    </row>
    <row r="572">
      <c r="J572" s="4"/>
    </row>
    <row r="573">
      <c r="J573" s="4"/>
    </row>
    <row r="574">
      <c r="J574" s="4"/>
    </row>
    <row r="575">
      <c r="J575" s="4"/>
    </row>
    <row r="576">
      <c r="J576" s="4"/>
    </row>
    <row r="577">
      <c r="J577" s="4"/>
    </row>
    <row r="578">
      <c r="J578" s="4"/>
    </row>
    <row r="579">
      <c r="J579" s="4"/>
    </row>
    <row r="580">
      <c r="J580" s="4"/>
    </row>
    <row r="581">
      <c r="J581" s="4"/>
    </row>
    <row r="582">
      <c r="J582" s="4"/>
    </row>
    <row r="583">
      <c r="J583" s="4"/>
    </row>
    <row r="584">
      <c r="J584" s="4"/>
    </row>
    <row r="585">
      <c r="J585" s="4"/>
    </row>
    <row r="586">
      <c r="J586" s="4"/>
    </row>
    <row r="587">
      <c r="J587" s="4"/>
    </row>
    <row r="588">
      <c r="J588" s="4"/>
    </row>
    <row r="589">
      <c r="J589" s="4"/>
    </row>
    <row r="590">
      <c r="J590" s="4"/>
    </row>
    <row r="591">
      <c r="J591" s="4"/>
    </row>
    <row r="592">
      <c r="J592" s="4"/>
    </row>
    <row r="593">
      <c r="J593" s="4"/>
    </row>
    <row r="594">
      <c r="J594" s="4"/>
    </row>
    <row r="595">
      <c r="J595" s="4"/>
    </row>
    <row r="596">
      <c r="J596" s="4"/>
    </row>
    <row r="597">
      <c r="J597" s="4"/>
    </row>
    <row r="598">
      <c r="J598" s="4"/>
    </row>
    <row r="599">
      <c r="J599" s="4"/>
    </row>
    <row r="600">
      <c r="J600" s="4"/>
    </row>
    <row r="601">
      <c r="J601" s="4"/>
    </row>
    <row r="602">
      <c r="J602" s="4"/>
    </row>
    <row r="603">
      <c r="J603" s="4"/>
    </row>
    <row r="604">
      <c r="J604" s="4"/>
    </row>
    <row r="605">
      <c r="J605" s="4"/>
    </row>
    <row r="606">
      <c r="J606" s="4"/>
    </row>
    <row r="607">
      <c r="J607" s="4"/>
    </row>
    <row r="608">
      <c r="J608" s="4"/>
    </row>
    <row r="609">
      <c r="J609" s="4"/>
    </row>
    <row r="610">
      <c r="J610" s="4"/>
    </row>
    <row r="611">
      <c r="J611" s="4"/>
    </row>
    <row r="612">
      <c r="J612" s="4"/>
    </row>
    <row r="613">
      <c r="J613" s="4"/>
    </row>
    <row r="614">
      <c r="J614" s="4"/>
    </row>
    <row r="615">
      <c r="J615" s="4"/>
    </row>
    <row r="616">
      <c r="J616" s="4"/>
    </row>
    <row r="617">
      <c r="J617" s="4"/>
    </row>
    <row r="618">
      <c r="J618" s="4"/>
    </row>
    <row r="619">
      <c r="J619" s="4"/>
    </row>
    <row r="620">
      <c r="J620" s="4"/>
    </row>
    <row r="621">
      <c r="J621" s="4"/>
    </row>
    <row r="622">
      <c r="J622" s="4"/>
    </row>
    <row r="623">
      <c r="J623" s="4"/>
    </row>
    <row r="624">
      <c r="J624" s="4"/>
    </row>
    <row r="625">
      <c r="J625" s="4"/>
    </row>
    <row r="626">
      <c r="J626" s="4"/>
    </row>
    <row r="627">
      <c r="J627" s="4"/>
    </row>
    <row r="628">
      <c r="J628" s="4"/>
    </row>
    <row r="629">
      <c r="J629" s="4"/>
    </row>
    <row r="630">
      <c r="J630" s="4"/>
    </row>
    <row r="631">
      <c r="J631" s="4"/>
    </row>
    <row r="632">
      <c r="J632" s="4"/>
    </row>
    <row r="633">
      <c r="J633" s="4"/>
    </row>
    <row r="634">
      <c r="J634" s="4"/>
    </row>
    <row r="635">
      <c r="J635" s="4"/>
    </row>
    <row r="636">
      <c r="J636" s="4"/>
    </row>
    <row r="637">
      <c r="J637" s="4"/>
    </row>
    <row r="638">
      <c r="J638" s="4"/>
    </row>
    <row r="639">
      <c r="J639" s="4"/>
    </row>
    <row r="640">
      <c r="J640" s="4"/>
    </row>
    <row r="641">
      <c r="J641" s="4"/>
    </row>
    <row r="642">
      <c r="J642" s="4"/>
    </row>
    <row r="643">
      <c r="J643" s="4"/>
    </row>
    <row r="644">
      <c r="J644" s="4"/>
    </row>
    <row r="645">
      <c r="J645" s="4"/>
    </row>
    <row r="646">
      <c r="J646" s="4"/>
    </row>
    <row r="647">
      <c r="J647" s="4"/>
    </row>
    <row r="648">
      <c r="J648" s="4"/>
    </row>
    <row r="649">
      <c r="J649" s="4"/>
    </row>
    <row r="650">
      <c r="J650" s="4"/>
    </row>
    <row r="651">
      <c r="J651" s="4"/>
    </row>
    <row r="652">
      <c r="J652" s="4"/>
    </row>
    <row r="653">
      <c r="J653" s="4"/>
    </row>
    <row r="654">
      <c r="J654" s="4"/>
    </row>
    <row r="655">
      <c r="J655" s="4"/>
    </row>
    <row r="656">
      <c r="J656" s="4"/>
    </row>
    <row r="657">
      <c r="J657" s="4"/>
    </row>
    <row r="658">
      <c r="J658" s="4"/>
    </row>
    <row r="659">
      <c r="J659" s="4"/>
    </row>
    <row r="660">
      <c r="J660" s="4"/>
    </row>
    <row r="661">
      <c r="J661" s="4"/>
    </row>
    <row r="662">
      <c r="J662" s="4"/>
    </row>
    <row r="663">
      <c r="J663" s="4"/>
    </row>
    <row r="664">
      <c r="J664" s="4"/>
    </row>
    <row r="665">
      <c r="J665" s="4"/>
    </row>
    <row r="666">
      <c r="J666" s="4"/>
    </row>
    <row r="667">
      <c r="J667" s="4"/>
    </row>
    <row r="668">
      <c r="J668" s="4"/>
    </row>
    <row r="669">
      <c r="J669" s="4"/>
    </row>
    <row r="670">
      <c r="J670" s="4"/>
    </row>
    <row r="671">
      <c r="J671" s="4"/>
    </row>
    <row r="672">
      <c r="J672" s="4"/>
    </row>
    <row r="673">
      <c r="J673" s="4"/>
    </row>
    <row r="674">
      <c r="J674" s="4"/>
    </row>
    <row r="675">
      <c r="J675" s="4"/>
    </row>
    <row r="676">
      <c r="J676" s="4"/>
    </row>
    <row r="677">
      <c r="J677" s="4"/>
    </row>
    <row r="678">
      <c r="J678" s="4"/>
    </row>
    <row r="679">
      <c r="J679" s="4"/>
    </row>
    <row r="680">
      <c r="J680" s="4"/>
    </row>
    <row r="681">
      <c r="J681" s="4"/>
    </row>
    <row r="682">
      <c r="J682" s="4"/>
    </row>
    <row r="683">
      <c r="J683" s="4"/>
    </row>
    <row r="684">
      <c r="J684" s="4"/>
    </row>
    <row r="685">
      <c r="J685" s="4"/>
    </row>
    <row r="686">
      <c r="J686" s="4"/>
    </row>
    <row r="687">
      <c r="J687" s="4"/>
    </row>
    <row r="688">
      <c r="J688" s="4"/>
    </row>
    <row r="689">
      <c r="J689" s="4"/>
    </row>
    <row r="690">
      <c r="J690" s="4"/>
    </row>
    <row r="691">
      <c r="J691" s="4"/>
    </row>
    <row r="692">
      <c r="J692" s="4"/>
    </row>
    <row r="693">
      <c r="J693" s="4"/>
    </row>
    <row r="694">
      <c r="J694" s="4"/>
    </row>
    <row r="695">
      <c r="J695" s="4"/>
    </row>
    <row r="696">
      <c r="J696" s="4"/>
    </row>
    <row r="697">
      <c r="J697" s="4"/>
    </row>
    <row r="698">
      <c r="J698" s="4"/>
    </row>
    <row r="699">
      <c r="J699" s="4"/>
    </row>
    <row r="700">
      <c r="J700" s="4"/>
    </row>
    <row r="701">
      <c r="J701" s="4"/>
    </row>
    <row r="702">
      <c r="J702" s="4"/>
    </row>
    <row r="703">
      <c r="J703" s="4"/>
    </row>
    <row r="704">
      <c r="J704" s="4"/>
    </row>
    <row r="705">
      <c r="J705" s="4"/>
    </row>
    <row r="706">
      <c r="J706" s="4"/>
    </row>
    <row r="707">
      <c r="J707" s="4"/>
    </row>
    <row r="708">
      <c r="J708" s="4"/>
    </row>
    <row r="709">
      <c r="J709" s="4"/>
    </row>
    <row r="710">
      <c r="J710" s="4"/>
    </row>
    <row r="711">
      <c r="J711" s="4"/>
    </row>
    <row r="712">
      <c r="J712" s="4"/>
    </row>
    <row r="713">
      <c r="J713" s="4"/>
    </row>
    <row r="714">
      <c r="J714" s="4"/>
    </row>
    <row r="715">
      <c r="J715" s="4"/>
    </row>
    <row r="716">
      <c r="J716" s="4"/>
    </row>
    <row r="717">
      <c r="J717" s="4"/>
    </row>
    <row r="718">
      <c r="J718" s="4"/>
    </row>
    <row r="719">
      <c r="J719" s="4"/>
    </row>
    <row r="720">
      <c r="J720" s="4"/>
    </row>
    <row r="721">
      <c r="J721" s="4"/>
    </row>
    <row r="722">
      <c r="J722" s="4"/>
    </row>
    <row r="723">
      <c r="J723" s="4"/>
    </row>
    <row r="724">
      <c r="J724" s="4"/>
    </row>
    <row r="725">
      <c r="J725" s="4"/>
    </row>
    <row r="726">
      <c r="J726" s="4"/>
    </row>
    <row r="727">
      <c r="J727" s="4"/>
    </row>
    <row r="728">
      <c r="J728" s="4"/>
    </row>
    <row r="729">
      <c r="J729" s="4"/>
    </row>
    <row r="730">
      <c r="J730" s="4"/>
    </row>
    <row r="731">
      <c r="J731" s="4"/>
    </row>
    <row r="732">
      <c r="J732" s="4"/>
    </row>
    <row r="733">
      <c r="J733" s="4"/>
    </row>
    <row r="734">
      <c r="J734" s="4"/>
    </row>
    <row r="735">
      <c r="J735" s="4"/>
    </row>
    <row r="736">
      <c r="J736" s="4"/>
    </row>
    <row r="737">
      <c r="J737" s="4"/>
    </row>
    <row r="738">
      <c r="J738" s="4"/>
    </row>
    <row r="739">
      <c r="J739" s="4"/>
    </row>
    <row r="740">
      <c r="J740" s="4"/>
    </row>
    <row r="741">
      <c r="J741" s="4"/>
    </row>
    <row r="742">
      <c r="J742" s="4"/>
    </row>
    <row r="743">
      <c r="J743" s="4"/>
    </row>
    <row r="744">
      <c r="J744" s="4"/>
    </row>
    <row r="745">
      <c r="J745" s="4"/>
    </row>
    <row r="746">
      <c r="J746" s="4"/>
    </row>
    <row r="747">
      <c r="J747" s="4"/>
    </row>
    <row r="748">
      <c r="J748" s="4"/>
    </row>
    <row r="749">
      <c r="J749" s="4"/>
    </row>
    <row r="750">
      <c r="J750" s="4"/>
    </row>
    <row r="751">
      <c r="J751" s="4"/>
    </row>
    <row r="752">
      <c r="J752" s="4"/>
    </row>
    <row r="753">
      <c r="J753" s="4"/>
    </row>
    <row r="754">
      <c r="J754" s="4"/>
    </row>
    <row r="755">
      <c r="J755" s="4"/>
    </row>
    <row r="756">
      <c r="J756" s="4"/>
    </row>
    <row r="757">
      <c r="J757" s="4"/>
    </row>
    <row r="758">
      <c r="J758" s="4"/>
    </row>
    <row r="759">
      <c r="J759" s="4"/>
    </row>
    <row r="760">
      <c r="J760" s="4"/>
    </row>
    <row r="761">
      <c r="J761" s="4"/>
    </row>
    <row r="762">
      <c r="J762" s="4"/>
    </row>
    <row r="763">
      <c r="J763" s="4"/>
    </row>
    <row r="764">
      <c r="J764" s="4"/>
    </row>
    <row r="765">
      <c r="J765" s="4"/>
    </row>
    <row r="766">
      <c r="J766" s="4"/>
    </row>
    <row r="767">
      <c r="J767" s="4"/>
    </row>
    <row r="768">
      <c r="J768" s="4"/>
    </row>
    <row r="769">
      <c r="J769" s="4"/>
    </row>
    <row r="770">
      <c r="J770" s="4"/>
    </row>
    <row r="771">
      <c r="J771" s="4"/>
    </row>
    <row r="772">
      <c r="J772" s="4"/>
    </row>
    <row r="773">
      <c r="J773" s="4"/>
    </row>
    <row r="774">
      <c r="J774" s="4"/>
    </row>
    <row r="775">
      <c r="J775" s="4"/>
    </row>
    <row r="776">
      <c r="J776" s="4"/>
    </row>
    <row r="777">
      <c r="J777" s="4"/>
    </row>
    <row r="778">
      <c r="J778" s="4"/>
    </row>
    <row r="779">
      <c r="J779" s="4"/>
    </row>
    <row r="780">
      <c r="J780" s="4"/>
    </row>
    <row r="781">
      <c r="J781" s="4"/>
    </row>
    <row r="782">
      <c r="J782" s="4"/>
    </row>
    <row r="783">
      <c r="J783" s="4"/>
    </row>
    <row r="784">
      <c r="J784" s="4"/>
    </row>
    <row r="785">
      <c r="J785" s="4"/>
    </row>
    <row r="786">
      <c r="J786" s="4"/>
    </row>
    <row r="787">
      <c r="J787" s="4"/>
    </row>
    <row r="788">
      <c r="J788" s="4"/>
    </row>
    <row r="789">
      <c r="J789" s="4"/>
    </row>
    <row r="790">
      <c r="J790" s="4"/>
    </row>
    <row r="791">
      <c r="J791" s="4"/>
    </row>
    <row r="792">
      <c r="J792" s="4"/>
    </row>
    <row r="793">
      <c r="J793" s="4"/>
    </row>
    <row r="794">
      <c r="J794" s="4"/>
    </row>
    <row r="795">
      <c r="J795" s="4"/>
    </row>
    <row r="796">
      <c r="J796" s="4"/>
    </row>
    <row r="797">
      <c r="J797" s="4"/>
    </row>
    <row r="798">
      <c r="J798" s="4"/>
    </row>
    <row r="799">
      <c r="J799" s="4"/>
    </row>
    <row r="800">
      <c r="J800" s="4"/>
    </row>
    <row r="801">
      <c r="J801" s="4"/>
    </row>
    <row r="802">
      <c r="J802" s="4"/>
    </row>
    <row r="803">
      <c r="J803" s="4"/>
    </row>
    <row r="804">
      <c r="J804" s="4"/>
    </row>
    <row r="805">
      <c r="J805" s="4"/>
    </row>
    <row r="806">
      <c r="J806" s="4"/>
    </row>
    <row r="807">
      <c r="J807" s="4"/>
    </row>
    <row r="808">
      <c r="J808" s="4"/>
    </row>
    <row r="809">
      <c r="J809" s="4"/>
    </row>
    <row r="810">
      <c r="J810" s="4"/>
    </row>
    <row r="811">
      <c r="J811" s="4"/>
    </row>
    <row r="812">
      <c r="J812" s="4"/>
    </row>
    <row r="813">
      <c r="J813" s="4"/>
    </row>
    <row r="814">
      <c r="J814" s="4"/>
    </row>
    <row r="815">
      <c r="J815" s="4"/>
    </row>
    <row r="816">
      <c r="J816" s="4"/>
    </row>
    <row r="817">
      <c r="J817" s="4"/>
    </row>
    <row r="818">
      <c r="J818" s="4"/>
    </row>
    <row r="819">
      <c r="J819" s="4"/>
    </row>
    <row r="820">
      <c r="J820" s="4"/>
    </row>
    <row r="821">
      <c r="J821" s="4"/>
    </row>
    <row r="822">
      <c r="J822" s="4"/>
    </row>
    <row r="823">
      <c r="J823" s="4"/>
    </row>
    <row r="824">
      <c r="J824" s="4"/>
    </row>
    <row r="825">
      <c r="J825" s="4"/>
    </row>
    <row r="826">
      <c r="J826" s="4"/>
    </row>
    <row r="827">
      <c r="J827" s="4"/>
    </row>
    <row r="828">
      <c r="J828" s="4"/>
    </row>
    <row r="829">
      <c r="J829" s="4"/>
    </row>
    <row r="830">
      <c r="J830" s="4"/>
    </row>
    <row r="831">
      <c r="J831" s="4"/>
    </row>
    <row r="832">
      <c r="J832" s="4"/>
    </row>
    <row r="833">
      <c r="J833" s="4"/>
    </row>
    <row r="834">
      <c r="J834" s="4"/>
    </row>
    <row r="835">
      <c r="J835" s="4"/>
    </row>
    <row r="836">
      <c r="J836" s="4"/>
    </row>
    <row r="837">
      <c r="J837" s="4"/>
    </row>
    <row r="838">
      <c r="J838" s="4"/>
    </row>
    <row r="839">
      <c r="J839" s="4"/>
    </row>
    <row r="840">
      <c r="J840" s="4"/>
    </row>
    <row r="841">
      <c r="J841" s="4"/>
    </row>
    <row r="842">
      <c r="J842" s="4"/>
    </row>
    <row r="843">
      <c r="J843" s="4"/>
    </row>
    <row r="844">
      <c r="J844" s="4"/>
    </row>
    <row r="845">
      <c r="J845" s="4"/>
    </row>
    <row r="846">
      <c r="J846" s="4"/>
    </row>
    <row r="847">
      <c r="J847" s="4"/>
    </row>
    <row r="848">
      <c r="J848" s="4"/>
    </row>
    <row r="849">
      <c r="J849" s="4"/>
    </row>
    <row r="850">
      <c r="J850" s="4"/>
    </row>
    <row r="851">
      <c r="J851" s="4"/>
    </row>
    <row r="852">
      <c r="J852" s="4"/>
    </row>
    <row r="853">
      <c r="J853" s="4"/>
    </row>
    <row r="854">
      <c r="J854" s="4"/>
    </row>
    <row r="855">
      <c r="J855" s="4"/>
    </row>
    <row r="856">
      <c r="J856" s="4"/>
    </row>
    <row r="857">
      <c r="J857" s="4"/>
    </row>
    <row r="858">
      <c r="J858" s="4"/>
    </row>
    <row r="859">
      <c r="J859" s="4"/>
    </row>
    <row r="860">
      <c r="J860" s="4"/>
    </row>
    <row r="861">
      <c r="J861" s="4"/>
    </row>
    <row r="862">
      <c r="J862" s="4"/>
    </row>
    <row r="863">
      <c r="J863" s="4"/>
    </row>
    <row r="864">
      <c r="J864" s="4"/>
    </row>
    <row r="865">
      <c r="J865" s="4"/>
    </row>
    <row r="866">
      <c r="J866" s="4"/>
    </row>
    <row r="867">
      <c r="J867" s="4"/>
    </row>
    <row r="868">
      <c r="J868" s="4"/>
    </row>
    <row r="869">
      <c r="J869" s="4"/>
    </row>
    <row r="870">
      <c r="J870" s="4"/>
    </row>
    <row r="871">
      <c r="J871" s="4"/>
    </row>
    <row r="872">
      <c r="J872" s="4"/>
    </row>
    <row r="873">
      <c r="J873" s="4"/>
    </row>
    <row r="874">
      <c r="J874" s="4"/>
    </row>
    <row r="875">
      <c r="J875" s="4"/>
    </row>
    <row r="876">
      <c r="J876" s="4"/>
    </row>
    <row r="877">
      <c r="J877" s="4"/>
    </row>
    <row r="878">
      <c r="J878" s="4"/>
    </row>
    <row r="879">
      <c r="J879" s="4"/>
    </row>
    <row r="880">
      <c r="J880" s="4"/>
    </row>
    <row r="881">
      <c r="J881" s="4"/>
    </row>
    <row r="882">
      <c r="J882" s="4"/>
    </row>
    <row r="883">
      <c r="J883" s="4"/>
    </row>
    <row r="884">
      <c r="J884" s="4"/>
    </row>
    <row r="885">
      <c r="J885" s="4"/>
    </row>
    <row r="886">
      <c r="J886" s="4"/>
    </row>
    <row r="887">
      <c r="J887" s="4"/>
    </row>
    <row r="888">
      <c r="J888" s="4"/>
    </row>
    <row r="889">
      <c r="J889" s="4"/>
    </row>
    <row r="890">
      <c r="J890" s="4"/>
    </row>
    <row r="891">
      <c r="J891" s="4"/>
    </row>
    <row r="892">
      <c r="J892" s="4"/>
    </row>
    <row r="893">
      <c r="J893" s="4"/>
    </row>
    <row r="894">
      <c r="J894" s="4"/>
    </row>
    <row r="895">
      <c r="J895" s="4"/>
    </row>
    <row r="896">
      <c r="J896" s="4"/>
    </row>
    <row r="897">
      <c r="J897" s="4"/>
    </row>
    <row r="898">
      <c r="J898" s="4"/>
    </row>
    <row r="899">
      <c r="J899" s="4"/>
    </row>
    <row r="900">
      <c r="J900" s="4"/>
    </row>
    <row r="901">
      <c r="J901" s="4"/>
    </row>
    <row r="902">
      <c r="J902" s="4"/>
    </row>
    <row r="903">
      <c r="J903" s="4"/>
    </row>
    <row r="904">
      <c r="J904" s="4"/>
    </row>
    <row r="905">
      <c r="J905" s="4"/>
    </row>
    <row r="906">
      <c r="J906" s="4"/>
    </row>
    <row r="907">
      <c r="J907" s="4"/>
    </row>
    <row r="908">
      <c r="J908" s="4"/>
    </row>
    <row r="909">
      <c r="J909" s="4"/>
    </row>
    <row r="910">
      <c r="J910" s="4"/>
    </row>
    <row r="911">
      <c r="J911" s="4"/>
    </row>
    <row r="912">
      <c r="J912" s="4"/>
    </row>
    <row r="913">
      <c r="J913" s="4"/>
    </row>
    <row r="914">
      <c r="J914" s="4"/>
    </row>
    <row r="915">
      <c r="J915" s="4"/>
    </row>
    <row r="916">
      <c r="J916" s="4"/>
    </row>
    <row r="917">
      <c r="J917" s="4"/>
    </row>
    <row r="918">
      <c r="J918" s="4"/>
    </row>
    <row r="919">
      <c r="J919" s="4"/>
    </row>
    <row r="920">
      <c r="J920" s="4"/>
    </row>
    <row r="921">
      <c r="J921" s="4"/>
    </row>
    <row r="922">
      <c r="J922" s="4"/>
    </row>
    <row r="923">
      <c r="J923" s="4"/>
    </row>
    <row r="924">
      <c r="J924" s="4"/>
    </row>
    <row r="925">
      <c r="J925" s="4"/>
    </row>
    <row r="926">
      <c r="J926" s="4"/>
    </row>
    <row r="927">
      <c r="J927" s="4"/>
    </row>
    <row r="928">
      <c r="J928" s="4"/>
    </row>
    <row r="929">
      <c r="J929" s="4"/>
    </row>
    <row r="930">
      <c r="J930" s="4"/>
    </row>
    <row r="931">
      <c r="J931" s="4"/>
    </row>
    <row r="932">
      <c r="J932" s="4"/>
    </row>
    <row r="933">
      <c r="J933" s="4"/>
    </row>
    <row r="934">
      <c r="J934" s="4"/>
    </row>
    <row r="935">
      <c r="J935" s="4"/>
    </row>
    <row r="936">
      <c r="J936" s="4"/>
    </row>
    <row r="937">
      <c r="J937" s="4"/>
    </row>
    <row r="938">
      <c r="J938" s="4"/>
    </row>
    <row r="939">
      <c r="J939" s="4"/>
    </row>
    <row r="940">
      <c r="J940" s="4"/>
    </row>
    <row r="941">
      <c r="J941" s="4"/>
    </row>
    <row r="942">
      <c r="J942" s="4"/>
    </row>
    <row r="943">
      <c r="J943" s="4"/>
    </row>
    <row r="944">
      <c r="J944" s="4"/>
    </row>
    <row r="945">
      <c r="J945" s="4"/>
    </row>
    <row r="946">
      <c r="J946" s="4"/>
    </row>
    <row r="947">
      <c r="J947" s="4"/>
    </row>
    <row r="948">
      <c r="J948" s="4"/>
    </row>
    <row r="949">
      <c r="J949" s="4"/>
    </row>
    <row r="950">
      <c r="J950" s="4"/>
    </row>
    <row r="951">
      <c r="J951" s="4"/>
    </row>
    <row r="952">
      <c r="J952" s="4"/>
    </row>
    <row r="953">
      <c r="J953" s="4"/>
    </row>
    <row r="954">
      <c r="J954" s="4"/>
    </row>
    <row r="955">
      <c r="J955" s="4"/>
    </row>
    <row r="956">
      <c r="J956" s="4"/>
    </row>
    <row r="957">
      <c r="J957" s="4"/>
    </row>
    <row r="958">
      <c r="J958" s="4"/>
    </row>
    <row r="959">
      <c r="J959" s="4"/>
    </row>
    <row r="960">
      <c r="J960" s="4"/>
    </row>
    <row r="961">
      <c r="J961" s="4"/>
    </row>
    <row r="962">
      <c r="J962" s="4"/>
    </row>
    <row r="963">
      <c r="J963" s="4"/>
    </row>
    <row r="964">
      <c r="J964" s="4"/>
    </row>
    <row r="965">
      <c r="J965" s="4"/>
    </row>
    <row r="966">
      <c r="J966" s="4"/>
    </row>
    <row r="967">
      <c r="J967" s="4"/>
    </row>
    <row r="968">
      <c r="J968" s="4"/>
    </row>
    <row r="969">
      <c r="J969" s="4"/>
    </row>
    <row r="970">
      <c r="J970" s="4"/>
    </row>
    <row r="971">
      <c r="J971" s="4"/>
    </row>
    <row r="972">
      <c r="J972" s="4"/>
    </row>
    <row r="973">
      <c r="J973" s="4"/>
    </row>
    <row r="974">
      <c r="J974" s="4"/>
    </row>
    <row r="975">
      <c r="J975" s="4"/>
    </row>
    <row r="976">
      <c r="J976" s="4"/>
    </row>
    <row r="977">
      <c r="J977" s="4"/>
    </row>
    <row r="978">
      <c r="J978" s="4"/>
    </row>
    <row r="979">
      <c r="J979" s="4"/>
    </row>
    <row r="980">
      <c r="J980" s="4"/>
    </row>
    <row r="981">
      <c r="J981" s="4"/>
    </row>
    <row r="982">
      <c r="J982" s="4"/>
    </row>
    <row r="983">
      <c r="J983" s="4"/>
    </row>
    <row r="984">
      <c r="J984" s="4"/>
    </row>
    <row r="985">
      <c r="J985" s="4"/>
    </row>
    <row r="986">
      <c r="J986" s="4"/>
    </row>
    <row r="987">
      <c r="J987" s="4"/>
    </row>
    <row r="988">
      <c r="J988" s="4"/>
    </row>
    <row r="989">
      <c r="J989" s="4"/>
    </row>
    <row r="990">
      <c r="J990" s="4"/>
    </row>
    <row r="991">
      <c r="J991" s="4"/>
    </row>
    <row r="992">
      <c r="J992" s="4"/>
    </row>
    <row r="993">
      <c r="J993" s="4"/>
    </row>
    <row r="994">
      <c r="J994" s="4"/>
    </row>
    <row r="995">
      <c r="J995" s="4"/>
    </row>
    <row r="996">
      <c r="J996" s="4"/>
    </row>
    <row r="997">
      <c r="J997" s="4"/>
    </row>
    <row r="998">
      <c r="J998" s="4"/>
    </row>
    <row r="999">
      <c r="J999" s="4"/>
    </row>
    <row r="1000">
      <c r="J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10381</v>
      </c>
      <c r="G1" s="2" t="s">
        <v>6</v>
      </c>
      <c r="H1" s="1" t="s">
        <v>7</v>
      </c>
      <c r="I1" s="1" t="s">
        <v>8</v>
      </c>
      <c r="J1" s="1" t="s">
        <v>9</v>
      </c>
      <c r="K1" s="1" t="s">
        <v>10</v>
      </c>
      <c r="L1" s="1" t="s">
        <v>11</v>
      </c>
      <c r="M1" s="3">
        <f>Sum(G:G)</f>
        <v>4.75</v>
      </c>
      <c r="N1" s="4">
        <f>sum(L:L)</f>
        <v>53</v>
      </c>
      <c r="O1" s="3">
        <f>M1/N1</f>
        <v>0.08962264151</v>
      </c>
      <c r="P1" s="3"/>
      <c r="Q1" s="4"/>
      <c r="R1" s="4"/>
      <c r="S1" s="4"/>
      <c r="T1" s="4"/>
      <c r="U1" s="4"/>
      <c r="V1" s="4"/>
      <c r="W1" s="4"/>
      <c r="X1" s="4"/>
      <c r="Y1" s="4"/>
    </row>
    <row r="2">
      <c r="A2" s="6" t="s">
        <v>5551</v>
      </c>
      <c r="B2" s="6" t="s">
        <v>5552</v>
      </c>
      <c r="C2" s="6" t="s">
        <v>43</v>
      </c>
      <c r="D2" s="6" t="s">
        <v>5553</v>
      </c>
      <c r="F2" s="6" t="s">
        <v>40</v>
      </c>
      <c r="G2" s="7">
        <v>0.45</v>
      </c>
      <c r="H2" s="6" t="s">
        <v>5554</v>
      </c>
      <c r="I2" s="6" t="s">
        <v>45</v>
      </c>
      <c r="J2" s="6">
        <v>2020.0</v>
      </c>
      <c r="L2" s="6">
        <v>1.0</v>
      </c>
      <c r="M2" s="8">
        <f t="shared" ref="M2:M54" si="1">L2*G2</f>
        <v>0.45</v>
      </c>
      <c r="N2" s="6" t="s">
        <v>374</v>
      </c>
    </row>
    <row r="3">
      <c r="A3" s="6" t="s">
        <v>2093</v>
      </c>
      <c r="B3" s="6" t="s">
        <v>74</v>
      </c>
      <c r="C3" s="6" t="s">
        <v>43</v>
      </c>
      <c r="D3" s="6" t="s">
        <v>2094</v>
      </c>
      <c r="E3" s="6" t="s">
        <v>107</v>
      </c>
      <c r="F3" s="6" t="s">
        <v>18</v>
      </c>
      <c r="G3" s="7">
        <v>0.43</v>
      </c>
      <c r="H3" s="6" t="s">
        <v>165</v>
      </c>
      <c r="I3" s="6" t="s">
        <v>45</v>
      </c>
      <c r="J3" s="6">
        <v>2020.0</v>
      </c>
      <c r="L3" s="6">
        <v>1.0</v>
      </c>
      <c r="M3" s="8">
        <f t="shared" si="1"/>
        <v>0.43</v>
      </c>
      <c r="N3" s="6" t="s">
        <v>374</v>
      </c>
    </row>
    <row r="4">
      <c r="A4" s="6" t="s">
        <v>7255</v>
      </c>
      <c r="B4" s="6" t="s">
        <v>146</v>
      </c>
      <c r="C4" s="6" t="s">
        <v>30</v>
      </c>
      <c r="D4" s="6" t="s">
        <v>7256</v>
      </c>
      <c r="E4" s="6" t="s">
        <v>4430</v>
      </c>
      <c r="F4" s="6" t="s">
        <v>1118</v>
      </c>
      <c r="G4" s="7">
        <v>0.25</v>
      </c>
      <c r="H4" s="6" t="s">
        <v>7257</v>
      </c>
      <c r="I4" s="6" t="s">
        <v>20</v>
      </c>
      <c r="J4" s="6">
        <v>2021.0</v>
      </c>
      <c r="L4" s="6">
        <v>1.0</v>
      </c>
      <c r="M4" s="8">
        <f t="shared" si="1"/>
        <v>0.25</v>
      </c>
      <c r="N4" s="6" t="s">
        <v>374</v>
      </c>
    </row>
    <row r="5">
      <c r="A5" s="6" t="s">
        <v>7145</v>
      </c>
      <c r="B5" s="6" t="s">
        <v>74</v>
      </c>
      <c r="C5" s="6" t="s">
        <v>37</v>
      </c>
      <c r="D5" s="6" t="s">
        <v>7146</v>
      </c>
      <c r="E5" s="6" t="s">
        <v>7147</v>
      </c>
      <c r="F5" s="6" t="s">
        <v>4080</v>
      </c>
      <c r="G5" s="7">
        <v>0.09</v>
      </c>
      <c r="H5" s="6" t="s">
        <v>922</v>
      </c>
      <c r="I5" s="6" t="s">
        <v>20</v>
      </c>
      <c r="J5" s="6">
        <v>2014.0</v>
      </c>
      <c r="L5" s="6">
        <v>1.0</v>
      </c>
      <c r="M5" s="8">
        <f t="shared" si="1"/>
        <v>0.09</v>
      </c>
      <c r="N5" s="6" t="s">
        <v>374</v>
      </c>
    </row>
    <row r="6">
      <c r="A6" s="6" t="s">
        <v>4048</v>
      </c>
      <c r="B6" s="6" t="s">
        <v>504</v>
      </c>
      <c r="C6" s="6" t="s">
        <v>43</v>
      </c>
      <c r="D6" s="6" t="s">
        <v>4049</v>
      </c>
      <c r="E6" s="6" t="s">
        <v>420</v>
      </c>
      <c r="F6" s="6" t="s">
        <v>40</v>
      </c>
      <c r="G6" s="7">
        <v>0.03</v>
      </c>
      <c r="H6" s="6" t="s">
        <v>1344</v>
      </c>
      <c r="I6" s="6" t="s">
        <v>20</v>
      </c>
      <c r="J6" s="6">
        <v>2018.0</v>
      </c>
      <c r="K6" s="10">
        <v>46084.0</v>
      </c>
      <c r="L6" s="6">
        <v>1.0</v>
      </c>
      <c r="M6" s="8">
        <f t="shared" si="1"/>
        <v>0.03</v>
      </c>
      <c r="N6" s="6" t="s">
        <v>374</v>
      </c>
    </row>
    <row r="7">
      <c r="A7" s="6" t="s">
        <v>7653</v>
      </c>
      <c r="B7" s="6" t="s">
        <v>494</v>
      </c>
      <c r="C7" s="6" t="s">
        <v>43</v>
      </c>
      <c r="D7" s="6" t="s">
        <v>7654</v>
      </c>
      <c r="E7" s="6" t="s">
        <v>164</v>
      </c>
      <c r="F7" s="6" t="s">
        <v>112</v>
      </c>
      <c r="G7" s="7">
        <v>0.03</v>
      </c>
      <c r="H7" s="6" t="s">
        <v>1344</v>
      </c>
      <c r="I7" s="6" t="s">
        <v>20</v>
      </c>
      <c r="J7" s="6">
        <v>2018.0</v>
      </c>
      <c r="L7" s="6">
        <v>1.0</v>
      </c>
      <c r="M7" s="8">
        <f t="shared" si="1"/>
        <v>0.03</v>
      </c>
      <c r="N7" s="6" t="s">
        <v>374</v>
      </c>
    </row>
    <row r="8">
      <c r="A8" s="6" t="s">
        <v>1374</v>
      </c>
      <c r="B8" s="6" t="s">
        <v>1375</v>
      </c>
      <c r="C8" s="6" t="s">
        <v>37</v>
      </c>
      <c r="D8" s="6" t="s">
        <v>1376</v>
      </c>
      <c r="E8" s="6" t="s">
        <v>1377</v>
      </c>
      <c r="F8" s="6" t="s">
        <v>1118</v>
      </c>
      <c r="G8" s="7">
        <v>0.09</v>
      </c>
      <c r="H8" s="6" t="s">
        <v>431</v>
      </c>
      <c r="I8" s="6" t="s">
        <v>20</v>
      </c>
      <c r="J8" s="6">
        <v>2019.0</v>
      </c>
      <c r="L8" s="6">
        <v>1.0</v>
      </c>
      <c r="M8" s="8">
        <f t="shared" si="1"/>
        <v>0.09</v>
      </c>
      <c r="N8" s="6" t="s">
        <v>374</v>
      </c>
    </row>
    <row r="9">
      <c r="A9" s="6" t="s">
        <v>2586</v>
      </c>
      <c r="B9" s="6" t="s">
        <v>2587</v>
      </c>
      <c r="C9" s="6" t="s">
        <v>43</v>
      </c>
      <c r="D9" s="6" t="s">
        <v>2588</v>
      </c>
      <c r="E9" s="6" t="s">
        <v>135</v>
      </c>
      <c r="F9" s="6" t="s">
        <v>40</v>
      </c>
      <c r="G9" s="7">
        <v>0.06</v>
      </c>
      <c r="H9" s="6" t="s">
        <v>410</v>
      </c>
      <c r="I9" s="6" t="s">
        <v>20</v>
      </c>
      <c r="J9" s="6">
        <v>2021.0</v>
      </c>
      <c r="K9" s="10">
        <v>46023.0</v>
      </c>
      <c r="L9" s="6">
        <v>1.0</v>
      </c>
      <c r="M9" s="8">
        <f t="shared" si="1"/>
        <v>0.06</v>
      </c>
      <c r="N9" s="6" t="s">
        <v>374</v>
      </c>
    </row>
    <row r="10">
      <c r="A10" s="6" t="s">
        <v>926</v>
      </c>
      <c r="B10" s="6" t="s">
        <v>102</v>
      </c>
      <c r="C10" s="6" t="s">
        <v>43</v>
      </c>
      <c r="D10" s="6" t="s">
        <v>927</v>
      </c>
      <c r="E10" s="6" t="s">
        <v>135</v>
      </c>
      <c r="F10" s="6" t="s">
        <v>40</v>
      </c>
      <c r="G10" s="7">
        <v>0.09</v>
      </c>
      <c r="H10" s="6" t="s">
        <v>410</v>
      </c>
      <c r="I10" s="6" t="s">
        <v>20</v>
      </c>
      <c r="J10" s="6">
        <v>2021.0</v>
      </c>
      <c r="K10" s="10">
        <v>46055.0</v>
      </c>
      <c r="L10" s="6">
        <v>1.0</v>
      </c>
      <c r="M10" s="8">
        <f t="shared" si="1"/>
        <v>0.09</v>
      </c>
      <c r="N10" s="6" t="s">
        <v>374</v>
      </c>
    </row>
    <row r="11">
      <c r="A11" s="6" t="s">
        <v>2185</v>
      </c>
      <c r="B11" s="6" t="s">
        <v>162</v>
      </c>
      <c r="C11" s="6" t="s">
        <v>37</v>
      </c>
      <c r="D11" s="6" t="s">
        <v>2186</v>
      </c>
      <c r="E11" s="6" t="s">
        <v>176</v>
      </c>
      <c r="F11" s="6" t="s">
        <v>77</v>
      </c>
      <c r="G11" s="7">
        <v>0.08</v>
      </c>
      <c r="H11" s="6" t="s">
        <v>1493</v>
      </c>
      <c r="I11" s="6" t="s">
        <v>20</v>
      </c>
      <c r="J11" s="6">
        <v>2015.0</v>
      </c>
      <c r="L11" s="6">
        <v>1.0</v>
      </c>
      <c r="M11" s="8">
        <f t="shared" si="1"/>
        <v>0.08</v>
      </c>
      <c r="N11" s="6" t="s">
        <v>374</v>
      </c>
    </row>
    <row r="12">
      <c r="A12" s="6" t="s">
        <v>6642</v>
      </c>
      <c r="B12" s="6" t="s">
        <v>494</v>
      </c>
      <c r="C12" s="6" t="s">
        <v>43</v>
      </c>
      <c r="D12" s="6" t="s">
        <v>6643</v>
      </c>
      <c r="E12" s="6" t="s">
        <v>190</v>
      </c>
      <c r="F12" s="6" t="s">
        <v>18</v>
      </c>
      <c r="G12" s="7">
        <v>0.03</v>
      </c>
      <c r="H12" s="6" t="s">
        <v>104</v>
      </c>
      <c r="I12" s="6" t="s">
        <v>20</v>
      </c>
      <c r="J12" s="6">
        <v>2019.0</v>
      </c>
      <c r="L12" s="6">
        <v>1.0</v>
      </c>
      <c r="M12" s="8">
        <f t="shared" si="1"/>
        <v>0.03</v>
      </c>
      <c r="N12" s="6" t="s">
        <v>374</v>
      </c>
    </row>
    <row r="13">
      <c r="A13" s="6" t="s">
        <v>4116</v>
      </c>
      <c r="B13" s="6" t="s">
        <v>74</v>
      </c>
      <c r="C13" s="6" t="s">
        <v>37</v>
      </c>
      <c r="D13" s="6" t="s">
        <v>4117</v>
      </c>
      <c r="E13" s="6" t="s">
        <v>107</v>
      </c>
      <c r="F13" s="6" t="s">
        <v>18</v>
      </c>
      <c r="G13" s="7">
        <v>0.06</v>
      </c>
      <c r="H13" s="6" t="s">
        <v>1856</v>
      </c>
      <c r="I13" s="6" t="s">
        <v>20</v>
      </c>
      <c r="J13" s="6">
        <v>2017.0</v>
      </c>
      <c r="L13" s="6">
        <v>1.0</v>
      </c>
      <c r="M13" s="8">
        <f t="shared" si="1"/>
        <v>0.06</v>
      </c>
      <c r="N13" s="6" t="s">
        <v>374</v>
      </c>
    </row>
    <row r="14">
      <c r="A14" s="6" t="s">
        <v>8035</v>
      </c>
      <c r="B14" s="6" t="s">
        <v>1468</v>
      </c>
      <c r="C14" s="6" t="s">
        <v>43</v>
      </c>
      <c r="E14" s="6" t="s">
        <v>185</v>
      </c>
      <c r="F14" s="6" t="s">
        <v>26</v>
      </c>
      <c r="G14" s="7">
        <v>0.05</v>
      </c>
      <c r="H14" s="6" t="s">
        <v>415</v>
      </c>
      <c r="I14" s="6" t="s">
        <v>20</v>
      </c>
      <c r="J14" s="6">
        <v>2016.0</v>
      </c>
      <c r="K14" s="10">
        <v>46025.0</v>
      </c>
      <c r="L14" s="6">
        <v>1.0</v>
      </c>
      <c r="M14" s="8">
        <f t="shared" si="1"/>
        <v>0.05</v>
      </c>
      <c r="N14" s="6" t="s">
        <v>374</v>
      </c>
    </row>
    <row r="15">
      <c r="A15" s="6" t="s">
        <v>7618</v>
      </c>
      <c r="B15" s="6" t="s">
        <v>219</v>
      </c>
      <c r="C15" s="6" t="s">
        <v>43</v>
      </c>
      <c r="D15" s="6" t="s">
        <v>7619</v>
      </c>
      <c r="E15" s="6" t="s">
        <v>215</v>
      </c>
      <c r="F15" s="6" t="s">
        <v>26</v>
      </c>
      <c r="G15" s="7">
        <v>0.03</v>
      </c>
      <c r="H15" s="6" t="s">
        <v>1776</v>
      </c>
      <c r="I15" s="6" t="s">
        <v>20</v>
      </c>
      <c r="J15" s="6">
        <v>2017.0</v>
      </c>
      <c r="L15" s="6">
        <v>1.0</v>
      </c>
      <c r="M15" s="8">
        <f t="shared" si="1"/>
        <v>0.03</v>
      </c>
      <c r="N15" s="6" t="s">
        <v>374</v>
      </c>
    </row>
    <row r="16">
      <c r="A16" s="6" t="s">
        <v>1576</v>
      </c>
      <c r="B16" s="6" t="s">
        <v>1577</v>
      </c>
      <c r="C16" s="6" t="s">
        <v>37</v>
      </c>
      <c r="D16" s="6" t="s">
        <v>1578</v>
      </c>
      <c r="F16" s="6" t="s">
        <v>1118</v>
      </c>
      <c r="G16" s="7">
        <v>0.19</v>
      </c>
      <c r="H16" s="6" t="s">
        <v>407</v>
      </c>
      <c r="I16" s="6" t="s">
        <v>20</v>
      </c>
      <c r="J16" s="6">
        <v>2016.0</v>
      </c>
      <c r="L16" s="6">
        <v>1.0</v>
      </c>
      <c r="M16" s="8">
        <f t="shared" si="1"/>
        <v>0.19</v>
      </c>
      <c r="N16" s="6" t="s">
        <v>374</v>
      </c>
    </row>
    <row r="17">
      <c r="A17" s="6" t="s">
        <v>1802</v>
      </c>
      <c r="B17" s="6" t="s">
        <v>1803</v>
      </c>
      <c r="C17" s="6" t="s">
        <v>43</v>
      </c>
      <c r="D17" s="6" t="s">
        <v>1804</v>
      </c>
      <c r="E17" s="6" t="s">
        <v>107</v>
      </c>
      <c r="F17" s="6" t="s">
        <v>18</v>
      </c>
      <c r="G17" s="7">
        <v>0.12</v>
      </c>
      <c r="H17" s="6" t="s">
        <v>410</v>
      </c>
      <c r="I17" s="6" t="s">
        <v>20</v>
      </c>
      <c r="J17" s="6">
        <v>2021.0</v>
      </c>
      <c r="K17" s="10">
        <v>46024.0</v>
      </c>
      <c r="L17" s="6">
        <v>1.0</v>
      </c>
      <c r="M17" s="8">
        <f t="shared" si="1"/>
        <v>0.12</v>
      </c>
      <c r="N17" s="6" t="s">
        <v>374</v>
      </c>
    </row>
    <row r="18">
      <c r="A18" s="6" t="s">
        <v>4282</v>
      </c>
      <c r="B18" s="6" t="s">
        <v>2356</v>
      </c>
      <c r="C18" s="6" t="s">
        <v>43</v>
      </c>
      <c r="D18" s="6" t="s">
        <v>4283</v>
      </c>
      <c r="E18" s="6" t="s">
        <v>356</v>
      </c>
      <c r="F18" s="6" t="s">
        <v>87</v>
      </c>
      <c r="G18" s="7">
        <v>0.08</v>
      </c>
      <c r="H18" s="6" t="s">
        <v>410</v>
      </c>
      <c r="I18" s="6" t="s">
        <v>20</v>
      </c>
      <c r="J18" s="6">
        <v>2021.0</v>
      </c>
      <c r="K18" s="10">
        <v>46026.0</v>
      </c>
      <c r="L18" s="6">
        <v>1.0</v>
      </c>
      <c r="M18" s="8">
        <f t="shared" si="1"/>
        <v>0.08</v>
      </c>
      <c r="N18" s="6" t="s">
        <v>374</v>
      </c>
    </row>
    <row r="19">
      <c r="A19" s="6" t="s">
        <v>7667</v>
      </c>
      <c r="B19" s="6" t="s">
        <v>494</v>
      </c>
      <c r="C19" s="6" t="s">
        <v>43</v>
      </c>
      <c r="D19" s="6" t="s">
        <v>7668</v>
      </c>
      <c r="E19" s="6" t="s">
        <v>164</v>
      </c>
      <c r="F19" s="6" t="s">
        <v>112</v>
      </c>
      <c r="G19" s="7">
        <v>0.13</v>
      </c>
      <c r="H19" s="6" t="s">
        <v>410</v>
      </c>
      <c r="I19" s="6" t="s">
        <v>20</v>
      </c>
      <c r="J19" s="6">
        <v>2021.0</v>
      </c>
      <c r="L19" s="6">
        <v>1.0</v>
      </c>
      <c r="M19" s="8">
        <f t="shared" si="1"/>
        <v>0.13</v>
      </c>
      <c r="N19" s="6" t="s">
        <v>374</v>
      </c>
    </row>
    <row r="20">
      <c r="A20" s="6" t="s">
        <v>5898</v>
      </c>
      <c r="B20" s="6" t="s">
        <v>74</v>
      </c>
      <c r="C20" s="6" t="s">
        <v>37</v>
      </c>
      <c r="D20" s="6" t="s">
        <v>5899</v>
      </c>
      <c r="E20" s="6" t="s">
        <v>111</v>
      </c>
      <c r="F20" s="6" t="s">
        <v>112</v>
      </c>
      <c r="G20" s="7">
        <v>0.05</v>
      </c>
      <c r="H20" s="6" t="s">
        <v>431</v>
      </c>
      <c r="I20" s="6" t="s">
        <v>20</v>
      </c>
      <c r="J20" s="6">
        <v>2019.0</v>
      </c>
      <c r="L20" s="6">
        <v>1.0</v>
      </c>
      <c r="M20" s="8">
        <f t="shared" si="1"/>
        <v>0.05</v>
      </c>
      <c r="N20" s="6" t="s">
        <v>374</v>
      </c>
    </row>
    <row r="21">
      <c r="A21" s="6" t="s">
        <v>4920</v>
      </c>
      <c r="B21" s="6" t="s">
        <v>988</v>
      </c>
      <c r="C21" s="6" t="s">
        <v>37</v>
      </c>
      <c r="D21" s="6" t="s">
        <v>4921</v>
      </c>
      <c r="E21" s="6" t="s">
        <v>2624</v>
      </c>
      <c r="F21" s="6" t="s">
        <v>536</v>
      </c>
      <c r="G21" s="7">
        <v>0.08</v>
      </c>
      <c r="H21" s="6" t="s">
        <v>407</v>
      </c>
      <c r="I21" s="6" t="s">
        <v>20</v>
      </c>
      <c r="J21" s="6">
        <v>2016.0</v>
      </c>
      <c r="K21" s="10">
        <v>46055.0</v>
      </c>
      <c r="L21" s="6">
        <v>1.0</v>
      </c>
      <c r="M21" s="8">
        <f t="shared" si="1"/>
        <v>0.08</v>
      </c>
      <c r="N21" s="6" t="s">
        <v>374</v>
      </c>
    </row>
    <row r="22">
      <c r="A22" s="6" t="s">
        <v>1774</v>
      </c>
      <c r="B22" s="6" t="s">
        <v>219</v>
      </c>
      <c r="C22" s="6" t="s">
        <v>43</v>
      </c>
      <c r="D22" s="6" t="s">
        <v>1775</v>
      </c>
      <c r="E22" s="6" t="s">
        <v>185</v>
      </c>
      <c r="F22" s="6" t="s">
        <v>26</v>
      </c>
      <c r="G22" s="7">
        <v>0.03</v>
      </c>
      <c r="H22" s="6" t="s">
        <v>1776</v>
      </c>
      <c r="I22" s="6" t="s">
        <v>20</v>
      </c>
      <c r="J22" s="6">
        <v>2017.0</v>
      </c>
      <c r="L22" s="6">
        <v>1.0</v>
      </c>
      <c r="M22" s="8">
        <f t="shared" si="1"/>
        <v>0.03</v>
      </c>
      <c r="N22" s="6" t="s">
        <v>374</v>
      </c>
    </row>
    <row r="23">
      <c r="A23" s="6" t="s">
        <v>1733</v>
      </c>
      <c r="B23" s="6" t="s">
        <v>219</v>
      </c>
      <c r="C23" s="6" t="s">
        <v>43</v>
      </c>
      <c r="D23" s="6" t="s">
        <v>1734</v>
      </c>
      <c r="E23" s="6" t="s">
        <v>185</v>
      </c>
      <c r="F23" s="6" t="s">
        <v>26</v>
      </c>
      <c r="G23" s="7">
        <v>0.5</v>
      </c>
      <c r="H23" s="6" t="s">
        <v>1735</v>
      </c>
      <c r="I23" s="6" t="s">
        <v>20</v>
      </c>
      <c r="J23" s="6">
        <v>2019.0</v>
      </c>
      <c r="L23" s="6">
        <v>1.0</v>
      </c>
      <c r="M23" s="8">
        <f t="shared" si="1"/>
        <v>0.5</v>
      </c>
      <c r="N23" s="6" t="s">
        <v>374</v>
      </c>
    </row>
    <row r="24">
      <c r="A24" s="6" t="s">
        <v>6767</v>
      </c>
      <c r="B24" s="6" t="s">
        <v>219</v>
      </c>
      <c r="C24" s="6" t="s">
        <v>43</v>
      </c>
      <c r="D24" s="6" t="s">
        <v>6768</v>
      </c>
      <c r="E24" s="6" t="s">
        <v>215</v>
      </c>
      <c r="F24" s="6" t="s">
        <v>26</v>
      </c>
      <c r="G24" s="7">
        <v>0.06</v>
      </c>
      <c r="H24" s="6" t="s">
        <v>1287</v>
      </c>
      <c r="I24" s="6" t="s">
        <v>20</v>
      </c>
      <c r="J24" s="6">
        <v>2021.0</v>
      </c>
      <c r="L24" s="6">
        <v>1.0</v>
      </c>
      <c r="M24" s="8">
        <f t="shared" si="1"/>
        <v>0.06</v>
      </c>
      <c r="N24" s="6" t="s">
        <v>374</v>
      </c>
    </row>
    <row r="25">
      <c r="A25" s="6" t="s">
        <v>6582</v>
      </c>
      <c r="B25" s="6" t="s">
        <v>494</v>
      </c>
      <c r="C25" s="6" t="s">
        <v>37</v>
      </c>
      <c r="D25" s="6" t="s">
        <v>6583</v>
      </c>
      <c r="E25" s="6" t="s">
        <v>125</v>
      </c>
      <c r="F25" s="6" t="s">
        <v>40</v>
      </c>
      <c r="G25" s="7">
        <v>0.03</v>
      </c>
      <c r="H25" s="6" t="s">
        <v>431</v>
      </c>
      <c r="I25" s="6" t="s">
        <v>20</v>
      </c>
      <c r="J25" s="6">
        <v>2019.0</v>
      </c>
      <c r="L25" s="6">
        <v>1.0</v>
      </c>
      <c r="M25" s="8">
        <f t="shared" si="1"/>
        <v>0.03</v>
      </c>
      <c r="N25" s="6" t="s">
        <v>374</v>
      </c>
    </row>
    <row r="26">
      <c r="A26" s="6" t="s">
        <v>2072</v>
      </c>
      <c r="B26" s="6" t="s">
        <v>2073</v>
      </c>
      <c r="C26" s="6" t="s">
        <v>43</v>
      </c>
      <c r="D26" s="6" t="s">
        <v>2074</v>
      </c>
      <c r="E26" s="6" t="s">
        <v>176</v>
      </c>
      <c r="F26" s="6" t="s">
        <v>77</v>
      </c>
      <c r="G26" s="7">
        <v>0.06</v>
      </c>
      <c r="H26" s="6" t="s">
        <v>410</v>
      </c>
      <c r="I26" s="6" t="s">
        <v>20</v>
      </c>
      <c r="J26" s="6">
        <v>2021.0</v>
      </c>
      <c r="K26" s="10">
        <v>46055.0</v>
      </c>
      <c r="L26" s="6">
        <v>1.0</v>
      </c>
      <c r="M26" s="8">
        <f t="shared" si="1"/>
        <v>0.06</v>
      </c>
      <c r="N26" s="6" t="s">
        <v>374</v>
      </c>
    </row>
    <row r="27">
      <c r="A27" s="6" t="s">
        <v>919</v>
      </c>
      <c r="B27" s="6" t="s">
        <v>920</v>
      </c>
      <c r="C27" s="6" t="s">
        <v>37</v>
      </c>
      <c r="D27" s="6" t="s">
        <v>921</v>
      </c>
      <c r="E27" s="6" t="s">
        <v>248</v>
      </c>
      <c r="F27" s="6" t="s">
        <v>77</v>
      </c>
      <c r="G27" s="7">
        <v>0.05</v>
      </c>
      <c r="H27" s="6" t="s">
        <v>922</v>
      </c>
      <c r="I27" s="6" t="s">
        <v>20</v>
      </c>
      <c r="J27" s="6">
        <v>2014.0</v>
      </c>
      <c r="K27" s="10">
        <v>46146.0</v>
      </c>
      <c r="L27" s="6">
        <v>1.0</v>
      </c>
      <c r="M27" s="8">
        <f t="shared" si="1"/>
        <v>0.05</v>
      </c>
      <c r="N27" s="6" t="s">
        <v>374</v>
      </c>
    </row>
    <row r="28">
      <c r="A28" s="6" t="s">
        <v>2543</v>
      </c>
      <c r="B28" s="6" t="s">
        <v>146</v>
      </c>
      <c r="C28" s="6" t="s">
        <v>37</v>
      </c>
      <c r="D28" s="6" t="s">
        <v>2544</v>
      </c>
      <c r="E28" s="6" t="s">
        <v>107</v>
      </c>
      <c r="F28" s="6" t="s">
        <v>18</v>
      </c>
      <c r="G28" s="7">
        <v>0.06</v>
      </c>
      <c r="H28" s="6" t="s">
        <v>1344</v>
      </c>
      <c r="I28" s="6" t="s">
        <v>20</v>
      </c>
      <c r="J28" s="6">
        <v>2018.0</v>
      </c>
      <c r="L28" s="6">
        <v>1.0</v>
      </c>
      <c r="M28" s="8">
        <f t="shared" si="1"/>
        <v>0.06</v>
      </c>
      <c r="N28" s="6" t="s">
        <v>374</v>
      </c>
    </row>
    <row r="29">
      <c r="A29" s="6" t="s">
        <v>6806</v>
      </c>
      <c r="B29" s="6" t="s">
        <v>494</v>
      </c>
      <c r="C29" s="6" t="s">
        <v>43</v>
      </c>
      <c r="D29" s="6" t="s">
        <v>6807</v>
      </c>
      <c r="E29" s="6" t="s">
        <v>190</v>
      </c>
      <c r="F29" s="6" t="s">
        <v>18</v>
      </c>
      <c r="G29" s="7">
        <v>0.04</v>
      </c>
      <c r="H29" s="6" t="s">
        <v>404</v>
      </c>
      <c r="I29" s="6" t="s">
        <v>20</v>
      </c>
      <c r="J29" s="6">
        <v>2020.0</v>
      </c>
      <c r="L29" s="6">
        <v>1.0</v>
      </c>
      <c r="M29" s="8">
        <f t="shared" si="1"/>
        <v>0.04</v>
      </c>
      <c r="N29" s="6" t="s">
        <v>374</v>
      </c>
    </row>
    <row r="30">
      <c r="A30" s="6" t="s">
        <v>5748</v>
      </c>
      <c r="B30" s="6" t="s">
        <v>74</v>
      </c>
      <c r="C30" s="6" t="s">
        <v>43</v>
      </c>
      <c r="D30" s="6" t="s">
        <v>5749</v>
      </c>
      <c r="E30" s="6" t="s">
        <v>107</v>
      </c>
      <c r="F30" s="6" t="s">
        <v>18</v>
      </c>
      <c r="G30" s="7">
        <v>0.04</v>
      </c>
      <c r="H30" s="6" t="s">
        <v>431</v>
      </c>
      <c r="I30" s="6" t="s">
        <v>20</v>
      </c>
      <c r="J30" s="6">
        <v>2019.0</v>
      </c>
      <c r="L30" s="6">
        <v>1.0</v>
      </c>
      <c r="M30" s="8">
        <f t="shared" si="1"/>
        <v>0.04</v>
      </c>
      <c r="N30" s="6" t="s">
        <v>374</v>
      </c>
    </row>
    <row r="31">
      <c r="A31" s="6" t="s">
        <v>1982</v>
      </c>
      <c r="B31" s="6" t="s">
        <v>1983</v>
      </c>
      <c r="C31" s="6" t="s">
        <v>37</v>
      </c>
      <c r="D31" s="6" t="s">
        <v>1984</v>
      </c>
      <c r="E31" s="6" t="s">
        <v>389</v>
      </c>
      <c r="F31" s="6" t="s">
        <v>87</v>
      </c>
      <c r="G31" s="7">
        <v>0.03</v>
      </c>
      <c r="H31" s="6" t="s">
        <v>431</v>
      </c>
      <c r="I31" s="6" t="s">
        <v>20</v>
      </c>
      <c r="J31" s="6">
        <v>2019.0</v>
      </c>
      <c r="K31" s="10">
        <v>46083.0</v>
      </c>
      <c r="L31" s="6">
        <v>1.0</v>
      </c>
      <c r="M31" s="8">
        <f t="shared" si="1"/>
        <v>0.03</v>
      </c>
      <c r="N31" s="6" t="s">
        <v>374</v>
      </c>
    </row>
    <row r="32">
      <c r="A32" s="6" t="s">
        <v>6933</v>
      </c>
      <c r="B32" s="6" t="s">
        <v>74</v>
      </c>
      <c r="C32" s="6" t="s">
        <v>43</v>
      </c>
      <c r="D32" s="6" t="s">
        <v>6934</v>
      </c>
      <c r="E32" s="6" t="s">
        <v>164</v>
      </c>
      <c r="F32" s="6" t="s">
        <v>112</v>
      </c>
      <c r="G32" s="7">
        <v>0.08</v>
      </c>
      <c r="H32" s="6" t="s">
        <v>410</v>
      </c>
      <c r="I32" s="6" t="s">
        <v>20</v>
      </c>
      <c r="J32" s="6">
        <v>2021.0</v>
      </c>
      <c r="L32" s="6">
        <v>1.0</v>
      </c>
      <c r="M32" s="8">
        <f t="shared" si="1"/>
        <v>0.08</v>
      </c>
      <c r="N32" s="6" t="s">
        <v>374</v>
      </c>
    </row>
    <row r="33">
      <c r="A33" s="6" t="s">
        <v>6062</v>
      </c>
      <c r="B33" s="6" t="s">
        <v>74</v>
      </c>
      <c r="C33" s="6" t="s">
        <v>43</v>
      </c>
      <c r="D33" s="6" t="s">
        <v>6063</v>
      </c>
      <c r="E33" s="6" t="s">
        <v>164</v>
      </c>
      <c r="F33" s="6" t="s">
        <v>112</v>
      </c>
      <c r="G33" s="7">
        <v>0.06</v>
      </c>
      <c r="H33" s="6" t="s">
        <v>431</v>
      </c>
      <c r="I33" s="6" t="s">
        <v>20</v>
      </c>
      <c r="J33" s="6">
        <v>2019.0</v>
      </c>
      <c r="L33" s="6">
        <v>1.0</v>
      </c>
      <c r="M33" s="8">
        <f t="shared" si="1"/>
        <v>0.06</v>
      </c>
      <c r="N33" s="6" t="s">
        <v>374</v>
      </c>
    </row>
    <row r="34">
      <c r="A34" s="6" t="s">
        <v>5376</v>
      </c>
      <c r="B34" s="6" t="s">
        <v>721</v>
      </c>
      <c r="C34" s="6" t="s">
        <v>43</v>
      </c>
      <c r="D34" s="6" t="s">
        <v>5377</v>
      </c>
      <c r="F34" s="6" t="s">
        <v>71</v>
      </c>
      <c r="G34" s="7">
        <v>0.09</v>
      </c>
      <c r="H34" s="6" t="s">
        <v>4785</v>
      </c>
      <c r="I34" s="6" t="s">
        <v>20</v>
      </c>
      <c r="J34" s="6">
        <v>2013.0</v>
      </c>
      <c r="L34" s="6">
        <v>1.0</v>
      </c>
      <c r="M34" s="8">
        <f t="shared" si="1"/>
        <v>0.09</v>
      </c>
      <c r="N34" s="6" t="s">
        <v>374</v>
      </c>
    </row>
    <row r="35">
      <c r="A35" s="6" t="s">
        <v>6394</v>
      </c>
      <c r="B35" s="6" t="s">
        <v>396</v>
      </c>
      <c r="C35" s="6" t="s">
        <v>43</v>
      </c>
      <c r="D35" s="6" t="s">
        <v>6395</v>
      </c>
      <c r="E35" s="6" t="s">
        <v>215</v>
      </c>
      <c r="F35" s="6" t="s">
        <v>26</v>
      </c>
      <c r="G35" s="7">
        <v>0.05</v>
      </c>
      <c r="H35" s="6" t="s">
        <v>415</v>
      </c>
      <c r="I35" s="6" t="s">
        <v>20</v>
      </c>
      <c r="J35" s="6">
        <v>2016.0</v>
      </c>
      <c r="L35" s="6">
        <v>1.0</v>
      </c>
      <c r="M35" s="8">
        <f t="shared" si="1"/>
        <v>0.05</v>
      </c>
      <c r="N35" s="6" t="s">
        <v>374</v>
      </c>
    </row>
    <row r="36">
      <c r="A36" s="6" t="s">
        <v>6511</v>
      </c>
      <c r="B36" s="6" t="s">
        <v>219</v>
      </c>
      <c r="C36" s="6" t="s">
        <v>37</v>
      </c>
      <c r="D36" s="6" t="s">
        <v>6512</v>
      </c>
      <c r="E36" s="6" t="s">
        <v>215</v>
      </c>
      <c r="F36" s="6" t="s">
        <v>26</v>
      </c>
      <c r="G36" s="7">
        <v>0.03</v>
      </c>
      <c r="H36" s="6" t="s">
        <v>1344</v>
      </c>
      <c r="I36" s="6" t="s">
        <v>20</v>
      </c>
      <c r="J36" s="6">
        <v>2018.0</v>
      </c>
      <c r="L36" s="6">
        <v>1.0</v>
      </c>
      <c r="M36" s="8">
        <f t="shared" si="1"/>
        <v>0.03</v>
      </c>
      <c r="N36" s="6" t="s">
        <v>374</v>
      </c>
    </row>
    <row r="37">
      <c r="A37" s="6" t="s">
        <v>437</v>
      </c>
      <c r="B37" s="6" t="s">
        <v>162</v>
      </c>
      <c r="C37" s="6" t="s">
        <v>43</v>
      </c>
      <c r="D37" s="6" t="s">
        <v>438</v>
      </c>
      <c r="E37" s="6" t="s">
        <v>57</v>
      </c>
      <c r="F37" s="6" t="s">
        <v>40</v>
      </c>
      <c r="G37" s="7">
        <v>0.05</v>
      </c>
      <c r="H37" s="6" t="s">
        <v>415</v>
      </c>
      <c r="I37" s="6" t="s">
        <v>20</v>
      </c>
      <c r="J37" s="6">
        <v>2016.0</v>
      </c>
      <c r="L37" s="6">
        <v>1.0</v>
      </c>
      <c r="M37" s="8">
        <f t="shared" si="1"/>
        <v>0.05</v>
      </c>
      <c r="N37" s="6" t="s">
        <v>374</v>
      </c>
    </row>
    <row r="38">
      <c r="A38" s="6" t="s">
        <v>370</v>
      </c>
      <c r="B38" s="6" t="s">
        <v>371</v>
      </c>
      <c r="C38" s="6" t="s">
        <v>43</v>
      </c>
      <c r="D38" s="6" t="s">
        <v>372</v>
      </c>
      <c r="E38" s="6" t="s">
        <v>282</v>
      </c>
      <c r="F38" s="6" t="s">
        <v>40</v>
      </c>
      <c r="G38" s="7">
        <v>0.06</v>
      </c>
      <c r="H38" s="6" t="s">
        <v>373</v>
      </c>
      <c r="I38" s="6" t="s">
        <v>20</v>
      </c>
      <c r="J38" s="6">
        <v>2015.0</v>
      </c>
      <c r="K38" s="10">
        <v>46084.0</v>
      </c>
      <c r="L38" s="6">
        <v>1.0</v>
      </c>
      <c r="M38" s="8">
        <f t="shared" si="1"/>
        <v>0.06</v>
      </c>
      <c r="N38" s="6" t="s">
        <v>374</v>
      </c>
    </row>
    <row r="39">
      <c r="A39" s="6" t="s">
        <v>6302</v>
      </c>
      <c r="B39" s="6" t="s">
        <v>162</v>
      </c>
      <c r="C39" s="6" t="s">
        <v>37</v>
      </c>
      <c r="D39" s="6" t="s">
        <v>6303</v>
      </c>
      <c r="E39" s="6" t="s">
        <v>256</v>
      </c>
      <c r="F39" s="6" t="s">
        <v>87</v>
      </c>
      <c r="G39" s="7">
        <v>0.06</v>
      </c>
      <c r="H39" s="6" t="s">
        <v>701</v>
      </c>
      <c r="I39" s="6" t="s">
        <v>20</v>
      </c>
      <c r="J39" s="6">
        <v>2015.0</v>
      </c>
      <c r="L39" s="6">
        <v>1.0</v>
      </c>
      <c r="M39" s="8">
        <f t="shared" si="1"/>
        <v>0.06</v>
      </c>
      <c r="N39" s="6" t="s">
        <v>374</v>
      </c>
    </row>
    <row r="40">
      <c r="A40" s="6" t="s">
        <v>6350</v>
      </c>
      <c r="B40" s="6" t="s">
        <v>371</v>
      </c>
      <c r="C40" s="6" t="s">
        <v>43</v>
      </c>
      <c r="D40" s="6" t="s">
        <v>6352</v>
      </c>
      <c r="E40" s="6" t="s">
        <v>179</v>
      </c>
      <c r="F40" s="6" t="s">
        <v>112</v>
      </c>
      <c r="G40" s="7">
        <v>0.08</v>
      </c>
      <c r="H40" s="6" t="s">
        <v>701</v>
      </c>
      <c r="I40" s="6" t="s">
        <v>20</v>
      </c>
      <c r="J40" s="6">
        <v>2015.0</v>
      </c>
      <c r="K40" s="6" t="s">
        <v>527</v>
      </c>
      <c r="L40" s="6">
        <v>1.0</v>
      </c>
      <c r="M40" s="8">
        <f t="shared" si="1"/>
        <v>0.08</v>
      </c>
      <c r="N40" s="6" t="s">
        <v>374</v>
      </c>
    </row>
    <row r="41">
      <c r="A41" s="6" t="s">
        <v>6943</v>
      </c>
      <c r="B41" s="6" t="s">
        <v>4150</v>
      </c>
      <c r="C41" s="6" t="s">
        <v>37</v>
      </c>
      <c r="D41" s="6" t="s">
        <v>6944</v>
      </c>
      <c r="E41" s="6" t="s">
        <v>420</v>
      </c>
      <c r="F41" s="6" t="s">
        <v>40</v>
      </c>
      <c r="G41" s="7">
        <v>0.06</v>
      </c>
      <c r="H41" s="6" t="s">
        <v>701</v>
      </c>
      <c r="I41" s="6" t="s">
        <v>20</v>
      </c>
      <c r="J41" s="6">
        <v>2015.0</v>
      </c>
      <c r="K41" s="10">
        <v>46084.0</v>
      </c>
      <c r="L41" s="6">
        <v>1.0</v>
      </c>
      <c r="M41" s="8">
        <f t="shared" si="1"/>
        <v>0.06</v>
      </c>
      <c r="N41" s="6" t="s">
        <v>374</v>
      </c>
    </row>
    <row r="42">
      <c r="A42" s="6" t="s">
        <v>6296</v>
      </c>
      <c r="B42" s="6" t="s">
        <v>162</v>
      </c>
      <c r="C42" s="6" t="s">
        <v>37</v>
      </c>
      <c r="D42" s="6" t="s">
        <v>6297</v>
      </c>
      <c r="E42" s="6" t="s">
        <v>579</v>
      </c>
      <c r="F42" s="6" t="s">
        <v>112</v>
      </c>
      <c r="G42" s="7">
        <v>0.05</v>
      </c>
      <c r="H42" s="6" t="s">
        <v>922</v>
      </c>
      <c r="I42" s="6" t="s">
        <v>20</v>
      </c>
      <c r="J42" s="6">
        <v>2014.0</v>
      </c>
      <c r="L42" s="6">
        <v>1.0</v>
      </c>
      <c r="M42" s="8">
        <f t="shared" si="1"/>
        <v>0.05</v>
      </c>
      <c r="N42" s="6" t="s">
        <v>374</v>
      </c>
    </row>
    <row r="43">
      <c r="A43" s="6" t="s">
        <v>4922</v>
      </c>
      <c r="B43" s="6" t="s">
        <v>162</v>
      </c>
      <c r="C43" s="6" t="s">
        <v>43</v>
      </c>
      <c r="D43" s="6" t="s">
        <v>4923</v>
      </c>
      <c r="E43" s="6" t="s">
        <v>1917</v>
      </c>
      <c r="F43" s="6" t="s">
        <v>77</v>
      </c>
      <c r="G43" s="7">
        <v>0.09</v>
      </c>
      <c r="H43" s="6" t="s">
        <v>410</v>
      </c>
      <c r="I43" s="6" t="s">
        <v>20</v>
      </c>
      <c r="J43" s="6">
        <v>2021.0</v>
      </c>
      <c r="L43" s="6">
        <v>1.0</v>
      </c>
      <c r="M43" s="8">
        <f t="shared" si="1"/>
        <v>0.09</v>
      </c>
      <c r="N43" s="6" t="s">
        <v>374</v>
      </c>
    </row>
    <row r="44">
      <c r="A44" s="6" t="s">
        <v>6775</v>
      </c>
      <c r="B44" s="6" t="s">
        <v>1394</v>
      </c>
      <c r="C44" s="6" t="s">
        <v>37</v>
      </c>
      <c r="D44" s="6" t="s">
        <v>6776</v>
      </c>
      <c r="E44" s="6" t="s">
        <v>176</v>
      </c>
      <c r="F44" s="6" t="s">
        <v>77</v>
      </c>
      <c r="G44" s="7">
        <v>0.03</v>
      </c>
      <c r="H44" s="6" t="s">
        <v>431</v>
      </c>
      <c r="I44" s="6" t="s">
        <v>20</v>
      </c>
      <c r="J44" s="6">
        <v>2019.0</v>
      </c>
      <c r="K44" s="10">
        <v>46024.0</v>
      </c>
      <c r="L44" s="6">
        <v>1.0</v>
      </c>
      <c r="M44" s="8">
        <f t="shared" si="1"/>
        <v>0.03</v>
      </c>
      <c r="N44" s="6" t="s">
        <v>374</v>
      </c>
    </row>
    <row r="45">
      <c r="A45" s="6" t="s">
        <v>4723</v>
      </c>
      <c r="B45" s="6" t="s">
        <v>396</v>
      </c>
      <c r="C45" s="6" t="s">
        <v>43</v>
      </c>
      <c r="D45" s="6" t="s">
        <v>4724</v>
      </c>
      <c r="E45" s="6" t="s">
        <v>25</v>
      </c>
      <c r="F45" s="6" t="s">
        <v>26</v>
      </c>
      <c r="G45" s="7">
        <v>0.03</v>
      </c>
      <c r="H45" s="6" t="s">
        <v>78</v>
      </c>
      <c r="I45" s="6" t="s">
        <v>20</v>
      </c>
      <c r="J45" s="6">
        <v>2018.0</v>
      </c>
      <c r="L45" s="6">
        <v>1.0</v>
      </c>
      <c r="M45" s="8">
        <f t="shared" si="1"/>
        <v>0.03</v>
      </c>
      <c r="N45" s="6" t="s">
        <v>374</v>
      </c>
    </row>
    <row r="46">
      <c r="A46" s="6" t="s">
        <v>5522</v>
      </c>
      <c r="B46" s="6" t="s">
        <v>1046</v>
      </c>
      <c r="C46" s="6" t="s">
        <v>37</v>
      </c>
      <c r="D46" s="6" t="s">
        <v>5523</v>
      </c>
      <c r="E46" s="6" t="s">
        <v>117</v>
      </c>
      <c r="F46" s="6" t="s">
        <v>77</v>
      </c>
      <c r="G46" s="7">
        <v>0.06</v>
      </c>
      <c r="H46" s="6" t="s">
        <v>1344</v>
      </c>
      <c r="I46" s="6" t="s">
        <v>20</v>
      </c>
      <c r="J46" s="6">
        <v>2018.0</v>
      </c>
      <c r="K46" s="10">
        <v>46023.0</v>
      </c>
      <c r="L46" s="6">
        <v>1.0</v>
      </c>
      <c r="M46" s="8">
        <f t="shared" si="1"/>
        <v>0.06</v>
      </c>
      <c r="N46" s="6" t="s">
        <v>374</v>
      </c>
    </row>
    <row r="47">
      <c r="A47" s="6" t="s">
        <v>7363</v>
      </c>
      <c r="B47" s="6" t="s">
        <v>7364</v>
      </c>
      <c r="C47" s="6" t="s">
        <v>43</v>
      </c>
      <c r="D47" s="6" t="s">
        <v>7365</v>
      </c>
      <c r="E47" s="6" t="s">
        <v>224</v>
      </c>
      <c r="F47" s="6" t="s">
        <v>18</v>
      </c>
      <c r="G47" s="7">
        <v>0.1</v>
      </c>
      <c r="H47" s="6" t="s">
        <v>410</v>
      </c>
      <c r="I47" s="6" t="s">
        <v>20</v>
      </c>
      <c r="J47" s="6">
        <v>2021.0</v>
      </c>
      <c r="K47" s="10">
        <v>46082.0</v>
      </c>
      <c r="L47" s="6">
        <v>1.0</v>
      </c>
      <c r="M47" s="8">
        <f t="shared" si="1"/>
        <v>0.1</v>
      </c>
      <c r="N47" s="6" t="s">
        <v>374</v>
      </c>
    </row>
    <row r="48">
      <c r="A48" s="6" t="s">
        <v>5791</v>
      </c>
      <c r="B48" s="6" t="s">
        <v>74</v>
      </c>
      <c r="C48" s="6" t="s">
        <v>43</v>
      </c>
      <c r="D48" s="6" t="s">
        <v>5792</v>
      </c>
      <c r="E48" s="6" t="s">
        <v>1634</v>
      </c>
      <c r="F48" s="6" t="s">
        <v>87</v>
      </c>
      <c r="G48" s="7">
        <v>0.04</v>
      </c>
      <c r="H48" s="6" t="s">
        <v>3366</v>
      </c>
      <c r="I48" s="6" t="s">
        <v>20</v>
      </c>
      <c r="J48" s="6">
        <v>2004.0</v>
      </c>
      <c r="L48" s="6">
        <v>1.0</v>
      </c>
      <c r="M48" s="8">
        <f t="shared" si="1"/>
        <v>0.04</v>
      </c>
      <c r="N48" s="6" t="s">
        <v>374</v>
      </c>
    </row>
    <row r="49">
      <c r="A49" s="6" t="s">
        <v>4725</v>
      </c>
      <c r="B49" s="6" t="s">
        <v>219</v>
      </c>
      <c r="C49" s="6" t="s">
        <v>43</v>
      </c>
      <c r="D49" s="6" t="s">
        <v>4726</v>
      </c>
      <c r="E49" s="6" t="s">
        <v>185</v>
      </c>
      <c r="F49" s="6" t="s">
        <v>4727</v>
      </c>
      <c r="G49" s="7">
        <v>0.08</v>
      </c>
      <c r="H49" s="6" t="s">
        <v>922</v>
      </c>
      <c r="I49" s="6" t="s">
        <v>20</v>
      </c>
      <c r="J49" s="6">
        <v>2014.0</v>
      </c>
      <c r="L49" s="6">
        <v>1.0</v>
      </c>
      <c r="M49" s="8">
        <f t="shared" si="1"/>
        <v>0.08</v>
      </c>
      <c r="N49" s="6" t="s">
        <v>374</v>
      </c>
    </row>
    <row r="50">
      <c r="A50" s="6" t="s">
        <v>5797</v>
      </c>
      <c r="B50" s="6" t="s">
        <v>5798</v>
      </c>
      <c r="C50" s="6" t="s">
        <v>37</v>
      </c>
      <c r="D50" s="6" t="s">
        <v>5799</v>
      </c>
      <c r="E50" s="6" t="s">
        <v>891</v>
      </c>
      <c r="F50" s="6" t="s">
        <v>77</v>
      </c>
      <c r="G50" s="7">
        <v>0.08</v>
      </c>
      <c r="H50" s="6" t="s">
        <v>701</v>
      </c>
      <c r="I50" s="6" t="s">
        <v>20</v>
      </c>
      <c r="J50" s="6">
        <v>2015.0</v>
      </c>
      <c r="K50" s="10">
        <v>46176.0</v>
      </c>
      <c r="L50" s="6">
        <v>1.0</v>
      </c>
      <c r="M50" s="8">
        <f t="shared" si="1"/>
        <v>0.08</v>
      </c>
      <c r="N50" s="6" t="s">
        <v>374</v>
      </c>
    </row>
    <row r="51">
      <c r="A51" s="6" t="s">
        <v>1766</v>
      </c>
      <c r="B51" s="6" t="s">
        <v>1375</v>
      </c>
      <c r="C51" s="6" t="s">
        <v>37</v>
      </c>
      <c r="D51" s="6" t="s">
        <v>1767</v>
      </c>
      <c r="E51" s="6" t="s">
        <v>1768</v>
      </c>
      <c r="F51" s="6" t="s">
        <v>71</v>
      </c>
      <c r="G51" s="7">
        <v>0.1</v>
      </c>
      <c r="H51" s="6" t="s">
        <v>431</v>
      </c>
      <c r="I51" s="6" t="s">
        <v>20</v>
      </c>
      <c r="J51" s="6">
        <v>2019.0</v>
      </c>
      <c r="L51" s="6">
        <v>1.0</v>
      </c>
      <c r="M51" s="8">
        <f t="shared" si="1"/>
        <v>0.1</v>
      </c>
      <c r="N51" s="6" t="s">
        <v>374</v>
      </c>
    </row>
    <row r="52">
      <c r="A52" s="6" t="s">
        <v>4674</v>
      </c>
      <c r="B52" s="6" t="s">
        <v>74</v>
      </c>
      <c r="C52" s="6" t="s">
        <v>43</v>
      </c>
      <c r="D52" s="6" t="s">
        <v>4675</v>
      </c>
      <c r="E52" s="6" t="s">
        <v>140</v>
      </c>
      <c r="F52" s="6" t="s">
        <v>87</v>
      </c>
      <c r="G52" s="7">
        <v>0.06</v>
      </c>
      <c r="H52" s="6" t="s">
        <v>531</v>
      </c>
      <c r="I52" s="6" t="s">
        <v>20</v>
      </c>
      <c r="J52" s="6">
        <v>2017.0</v>
      </c>
      <c r="L52" s="6">
        <v>1.0</v>
      </c>
      <c r="M52" s="8">
        <f t="shared" si="1"/>
        <v>0.06</v>
      </c>
      <c r="N52" s="6" t="s">
        <v>374</v>
      </c>
    </row>
    <row r="53">
      <c r="A53" s="6" t="s">
        <v>3554</v>
      </c>
      <c r="B53" s="6" t="s">
        <v>494</v>
      </c>
      <c r="C53" s="6" t="s">
        <v>37</v>
      </c>
      <c r="D53" s="6" t="s">
        <v>3555</v>
      </c>
      <c r="E53" s="6" t="s">
        <v>389</v>
      </c>
      <c r="F53" s="6" t="s">
        <v>87</v>
      </c>
      <c r="G53" s="7">
        <v>0.03</v>
      </c>
      <c r="H53" s="6" t="s">
        <v>1776</v>
      </c>
      <c r="I53" s="6" t="s">
        <v>20</v>
      </c>
      <c r="J53" s="6">
        <v>2017.0</v>
      </c>
      <c r="L53" s="6">
        <v>1.0</v>
      </c>
      <c r="M53" s="8">
        <f t="shared" si="1"/>
        <v>0.03</v>
      </c>
      <c r="N53" s="6" t="s">
        <v>374</v>
      </c>
    </row>
    <row r="54">
      <c r="A54" s="6" t="s">
        <v>4971</v>
      </c>
      <c r="B54" s="6" t="s">
        <v>836</v>
      </c>
      <c r="C54" s="6" t="s">
        <v>43</v>
      </c>
      <c r="D54" s="6" t="s">
        <v>4972</v>
      </c>
      <c r="E54" s="6" t="s">
        <v>86</v>
      </c>
      <c r="F54" s="6" t="s">
        <v>87</v>
      </c>
      <c r="G54" s="7">
        <v>0.06</v>
      </c>
      <c r="H54" s="6" t="s">
        <v>1833</v>
      </c>
      <c r="I54" s="6" t="s">
        <v>20</v>
      </c>
      <c r="J54" s="6">
        <v>2018.0</v>
      </c>
      <c r="K54" s="10">
        <v>46084.0</v>
      </c>
      <c r="L54" s="6">
        <v>1.0</v>
      </c>
      <c r="M54" s="8">
        <f t="shared" si="1"/>
        <v>0.06</v>
      </c>
      <c r="N54" s="6" t="s">
        <v>374</v>
      </c>
    </row>
    <row r="56">
      <c r="A56" s="14" t="s">
        <v>10382</v>
      </c>
      <c r="B56" s="14" t="s">
        <v>10383</v>
      </c>
      <c r="D56" s="14" t="s">
        <v>2</v>
      </c>
      <c r="E56" s="14" t="s">
        <v>10383</v>
      </c>
      <c r="G56" s="14" t="s">
        <v>10384</v>
      </c>
      <c r="H56" s="14" t="s">
        <v>10383</v>
      </c>
    </row>
    <row r="57">
      <c r="A57" s="6" t="s">
        <v>10385</v>
      </c>
      <c r="B57" s="15">
        <v>53.0</v>
      </c>
      <c r="D57" s="6" t="s">
        <v>23</v>
      </c>
      <c r="E57" s="15">
        <v>32.0</v>
      </c>
      <c r="G57" s="6" t="s">
        <v>77</v>
      </c>
      <c r="H57" s="15">
        <v>14.0</v>
      </c>
    </row>
    <row r="58">
      <c r="A58" s="6" t="s">
        <v>10386</v>
      </c>
      <c r="B58" s="15">
        <v>53.0</v>
      </c>
      <c r="D58" s="6" t="s">
        <v>15</v>
      </c>
      <c r="E58" s="15">
        <v>20.0</v>
      </c>
      <c r="G58" s="6" t="s">
        <v>87</v>
      </c>
      <c r="H58" s="15">
        <v>12.0</v>
      </c>
    </row>
    <row r="59">
      <c r="A59" s="6" t="s">
        <v>10387</v>
      </c>
      <c r="B59" s="15">
        <v>2.0</v>
      </c>
      <c r="D59" s="6" t="s">
        <v>156</v>
      </c>
      <c r="E59" s="15">
        <v>1.0</v>
      </c>
      <c r="G59" s="6" t="s">
        <v>40</v>
      </c>
      <c r="H59" s="15">
        <v>11.0</v>
      </c>
    </row>
    <row r="60">
      <c r="A60" s="6" t="s">
        <v>10388</v>
      </c>
      <c r="B60" s="15">
        <v>51.0</v>
      </c>
      <c r="G60" s="6" t="s">
        <v>18</v>
      </c>
      <c r="H60" s="15">
        <v>10.0</v>
      </c>
    </row>
    <row r="61">
      <c r="A61" s="6" t="s">
        <v>10389</v>
      </c>
      <c r="B61" s="15" t="s">
        <v>10390</v>
      </c>
      <c r="G61" s="6" t="s">
        <v>112</v>
      </c>
      <c r="H61" s="15">
        <v>8.0</v>
      </c>
    </row>
    <row r="62">
      <c r="A62" s="6" t="s">
        <v>10391</v>
      </c>
      <c r="B62" s="15" t="s">
        <v>10392</v>
      </c>
      <c r="G62" s="6" t="s">
        <v>26</v>
      </c>
      <c r="H62" s="15">
        <v>8.0</v>
      </c>
    </row>
    <row r="63">
      <c r="A63" s="6" t="s">
        <v>10393</v>
      </c>
      <c r="B63" s="15">
        <v>1.0</v>
      </c>
    </row>
    <row r="64">
      <c r="A64" s="6" t="s">
        <v>10394</v>
      </c>
      <c r="B64" s="15">
        <v>0.0</v>
      </c>
    </row>
    <row r="66">
      <c r="A66" s="14" t="s">
        <v>1</v>
      </c>
      <c r="B66" s="14" t="s">
        <v>10383</v>
      </c>
      <c r="D66" s="14" t="s">
        <v>10395</v>
      </c>
      <c r="E66" s="16" t="s">
        <v>10383</v>
      </c>
    </row>
    <row r="67">
      <c r="A67" s="6" t="s">
        <v>10396</v>
      </c>
      <c r="B67" s="15">
        <v>18.0</v>
      </c>
      <c r="D67" s="6" t="s">
        <v>18</v>
      </c>
      <c r="E67" s="15">
        <v>8.0</v>
      </c>
    </row>
    <row r="68">
      <c r="A68" s="6" t="s">
        <v>10397</v>
      </c>
      <c r="B68" s="15">
        <v>11.0</v>
      </c>
      <c r="D68" s="6" t="s">
        <v>40</v>
      </c>
      <c r="E68" s="15">
        <v>8.0</v>
      </c>
    </row>
    <row r="69">
      <c r="A69" s="6" t="s">
        <v>213</v>
      </c>
      <c r="B69" s="15">
        <v>9.0</v>
      </c>
      <c r="D69" s="6" t="s">
        <v>26</v>
      </c>
      <c r="E69" s="15">
        <v>8.0</v>
      </c>
    </row>
    <row r="70">
      <c r="A70" s="6" t="s">
        <v>778</v>
      </c>
      <c r="B70" s="15">
        <v>8.0</v>
      </c>
      <c r="D70" s="6" t="s">
        <v>77</v>
      </c>
      <c r="E70" s="15">
        <v>7.0</v>
      </c>
    </row>
    <row r="71">
      <c r="A71" s="6" t="s">
        <v>115</v>
      </c>
      <c r="B71" s="15">
        <v>7.0</v>
      </c>
      <c r="D71" s="6" t="s">
        <v>112</v>
      </c>
      <c r="E71" s="15">
        <v>7.0</v>
      </c>
    </row>
    <row r="72">
      <c r="A72" s="6" t="s">
        <v>1731</v>
      </c>
      <c r="B72" s="15">
        <v>3.0</v>
      </c>
      <c r="D72" s="6" t="s">
        <v>87</v>
      </c>
      <c r="E72" s="15">
        <v>7.0</v>
      </c>
    </row>
    <row r="73">
      <c r="D73" s="6" t="s">
        <v>1118</v>
      </c>
      <c r="E73" s="15">
        <v>3.0</v>
      </c>
    </row>
    <row r="74">
      <c r="D74" s="6" t="s">
        <v>71</v>
      </c>
      <c r="E74" s="15">
        <v>2.0</v>
      </c>
    </row>
    <row r="75">
      <c r="D75" s="6" t="s">
        <v>536</v>
      </c>
      <c r="E75" s="15">
        <v>1.0</v>
      </c>
    </row>
    <row r="76">
      <c r="D76" s="6" t="s">
        <v>4727</v>
      </c>
      <c r="E76" s="15">
        <v>1.0</v>
      </c>
    </row>
    <row r="77">
      <c r="D77" s="6" t="s">
        <v>4080</v>
      </c>
      <c r="E77" s="15">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75"/>
    <col customWidth="1" min="2" max="2" width="30.63"/>
    <col customWidth="1" min="3" max="3" width="17.75"/>
    <col customWidth="1" min="5" max="5" width="10.5"/>
    <col customWidth="1" min="6" max="6" width="18.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3.75"/>
    <col customWidth="1" min="15" max="16" width="6.88"/>
  </cols>
  <sheetData>
    <row r="1">
      <c r="A1" s="1" t="s">
        <v>0</v>
      </c>
      <c r="B1" s="1" t="s">
        <v>1</v>
      </c>
      <c r="C1" s="1" t="s">
        <v>2</v>
      </c>
      <c r="D1" s="1" t="s">
        <v>3</v>
      </c>
      <c r="E1" s="1" t="s">
        <v>4</v>
      </c>
      <c r="F1" s="1" t="s">
        <v>10381</v>
      </c>
      <c r="G1" s="2" t="s">
        <v>6</v>
      </c>
      <c r="H1" s="1" t="s">
        <v>7</v>
      </c>
      <c r="I1" s="1" t="s">
        <v>8</v>
      </c>
      <c r="J1" s="1" t="s">
        <v>9</v>
      </c>
      <c r="K1" s="1" t="s">
        <v>10</v>
      </c>
      <c r="L1" s="1" t="s">
        <v>11</v>
      </c>
      <c r="M1" s="3">
        <f>Sum(G:G)</f>
        <v>668.68</v>
      </c>
      <c r="N1" s="4">
        <f>sum(L:L)</f>
        <v>100</v>
      </c>
      <c r="O1" s="3">
        <f>M1/N1</f>
        <v>6.6868</v>
      </c>
      <c r="P1" s="3"/>
      <c r="Q1" s="4"/>
      <c r="R1" s="4"/>
      <c r="S1" s="4"/>
      <c r="T1" s="4"/>
      <c r="U1" s="4"/>
      <c r="V1" s="4"/>
      <c r="W1" s="4"/>
      <c r="X1" s="4"/>
      <c r="Y1" s="4"/>
    </row>
    <row r="2">
      <c r="A2" s="6" t="s">
        <v>10398</v>
      </c>
      <c r="B2" s="6" t="s">
        <v>8627</v>
      </c>
      <c r="C2" s="6" t="s">
        <v>30</v>
      </c>
      <c r="D2" s="6" t="s">
        <v>10399</v>
      </c>
      <c r="E2" s="6" t="s">
        <v>107</v>
      </c>
      <c r="F2" s="6" t="s">
        <v>18</v>
      </c>
      <c r="G2" s="6">
        <v>6.56</v>
      </c>
      <c r="H2" s="6" t="s">
        <v>8659</v>
      </c>
      <c r="I2" s="6" t="s">
        <v>20</v>
      </c>
      <c r="J2" s="6">
        <v>2026.0</v>
      </c>
      <c r="K2" s="10">
        <v>46024.0</v>
      </c>
      <c r="L2" s="6">
        <v>1.0</v>
      </c>
    </row>
    <row r="3">
      <c r="A3" s="6" t="s">
        <v>10400</v>
      </c>
      <c r="B3" s="6" t="s">
        <v>162</v>
      </c>
      <c r="C3" s="6" t="s">
        <v>30</v>
      </c>
      <c r="D3" s="6" t="s">
        <v>10401</v>
      </c>
      <c r="E3" s="6" t="s">
        <v>1752</v>
      </c>
      <c r="F3" s="6" t="s">
        <v>40</v>
      </c>
      <c r="G3" s="6">
        <v>2.76</v>
      </c>
      <c r="H3" s="6" t="s">
        <v>8659</v>
      </c>
      <c r="I3" s="6" t="s">
        <v>20</v>
      </c>
      <c r="J3" s="6">
        <v>2026.0</v>
      </c>
      <c r="L3" s="6">
        <v>1.0</v>
      </c>
    </row>
    <row r="4">
      <c r="A4" s="17" t="s">
        <v>10402</v>
      </c>
      <c r="B4" s="17" t="s">
        <v>8788</v>
      </c>
      <c r="C4" s="17" t="s">
        <v>1488</v>
      </c>
      <c r="D4" s="17" t="s">
        <v>10403</v>
      </c>
      <c r="E4" s="17" t="s">
        <v>10404</v>
      </c>
      <c r="F4" s="17" t="s">
        <v>10405</v>
      </c>
      <c r="G4" s="17">
        <v>19.99</v>
      </c>
      <c r="H4" s="17" t="s">
        <v>8659</v>
      </c>
      <c r="I4" s="17" t="s">
        <v>45</v>
      </c>
      <c r="J4" s="17">
        <v>2026.0</v>
      </c>
      <c r="K4" s="18">
        <v>46084.0</v>
      </c>
      <c r="L4" s="17">
        <v>1.0</v>
      </c>
      <c r="M4" s="19"/>
      <c r="N4" s="19"/>
      <c r="O4" s="19"/>
      <c r="P4" s="19"/>
      <c r="Q4" s="19"/>
      <c r="R4" s="19"/>
      <c r="S4" s="19"/>
      <c r="T4" s="19"/>
      <c r="U4" s="19"/>
      <c r="V4" s="19"/>
      <c r="W4" s="19"/>
      <c r="X4" s="19"/>
      <c r="Y4" s="19"/>
      <c r="Z4" s="19"/>
    </row>
    <row r="5">
      <c r="A5" s="6" t="s">
        <v>10406</v>
      </c>
      <c r="B5" s="6" t="s">
        <v>10407</v>
      </c>
      <c r="C5" s="6" t="s">
        <v>30</v>
      </c>
      <c r="D5" s="6" t="s">
        <v>10408</v>
      </c>
      <c r="E5" s="6" t="s">
        <v>994</v>
      </c>
      <c r="F5" s="6" t="s">
        <v>26</v>
      </c>
      <c r="G5" s="6">
        <v>11.4</v>
      </c>
      <c r="H5" s="6" t="s">
        <v>8659</v>
      </c>
      <c r="I5" s="6" t="s">
        <v>20</v>
      </c>
      <c r="J5" s="6">
        <v>2026.0</v>
      </c>
      <c r="K5" s="10">
        <v>46084.0</v>
      </c>
      <c r="L5" s="6">
        <v>1.0</v>
      </c>
    </row>
    <row r="6">
      <c r="A6" s="6" t="s">
        <v>10409</v>
      </c>
      <c r="B6" s="6" t="s">
        <v>1577</v>
      </c>
      <c r="C6" s="6" t="s">
        <v>30</v>
      </c>
      <c r="D6" s="6" t="s">
        <v>10410</v>
      </c>
      <c r="F6" s="6" t="s">
        <v>26</v>
      </c>
      <c r="G6" s="6">
        <v>1.38</v>
      </c>
      <c r="H6" s="6" t="s">
        <v>8659</v>
      </c>
      <c r="I6" s="6" t="s">
        <v>20</v>
      </c>
      <c r="J6" s="6">
        <v>2026.0</v>
      </c>
      <c r="L6" s="6">
        <v>1.0</v>
      </c>
    </row>
    <row r="7">
      <c r="A7" s="6" t="s">
        <v>10411</v>
      </c>
      <c r="B7" s="6" t="s">
        <v>162</v>
      </c>
      <c r="C7" s="6" t="s">
        <v>37</v>
      </c>
      <c r="D7" s="6" t="s">
        <v>10412</v>
      </c>
      <c r="E7" s="6" t="s">
        <v>2136</v>
      </c>
      <c r="F7" s="6" t="s">
        <v>1000</v>
      </c>
      <c r="G7" s="6">
        <v>0.49</v>
      </c>
      <c r="H7" s="6" t="s">
        <v>8659</v>
      </c>
      <c r="I7" s="6" t="s">
        <v>20</v>
      </c>
      <c r="J7" s="6">
        <v>2026.0</v>
      </c>
      <c r="L7" s="6">
        <v>1.0</v>
      </c>
    </row>
    <row r="8">
      <c r="A8" s="6" t="s">
        <v>10413</v>
      </c>
      <c r="B8" s="6" t="s">
        <v>371</v>
      </c>
      <c r="C8" s="6" t="s">
        <v>30</v>
      </c>
      <c r="D8" s="6" t="s">
        <v>10414</v>
      </c>
      <c r="E8" s="6" t="s">
        <v>57</v>
      </c>
      <c r="F8" s="6" t="s">
        <v>40</v>
      </c>
      <c r="G8" s="6">
        <v>2.76</v>
      </c>
      <c r="H8" s="6" t="s">
        <v>8659</v>
      </c>
      <c r="I8" s="6" t="s">
        <v>20</v>
      </c>
      <c r="J8" s="6">
        <v>2026.0</v>
      </c>
      <c r="K8" s="10">
        <v>46084.0</v>
      </c>
      <c r="L8" s="6">
        <v>1.0</v>
      </c>
    </row>
    <row r="9">
      <c r="A9" s="6" t="s">
        <v>10415</v>
      </c>
      <c r="B9" s="6" t="s">
        <v>10416</v>
      </c>
      <c r="C9" s="6" t="s">
        <v>43</v>
      </c>
      <c r="F9" s="6" t="s">
        <v>10417</v>
      </c>
      <c r="G9" s="6">
        <v>0.25</v>
      </c>
      <c r="H9" s="6" t="s">
        <v>8659</v>
      </c>
      <c r="I9" s="6" t="s">
        <v>20</v>
      </c>
      <c r="J9" s="6">
        <v>2026.0</v>
      </c>
      <c r="L9" s="6">
        <v>3.0</v>
      </c>
    </row>
    <row r="10">
      <c r="A10" s="6" t="s">
        <v>10418</v>
      </c>
      <c r="B10" s="6" t="s">
        <v>1651</v>
      </c>
      <c r="C10" s="6" t="s">
        <v>1488</v>
      </c>
      <c r="D10" s="6" t="s">
        <v>10419</v>
      </c>
      <c r="E10" s="6" t="s">
        <v>135</v>
      </c>
      <c r="F10" s="6" t="s">
        <v>40</v>
      </c>
      <c r="G10" s="6">
        <v>20.81</v>
      </c>
      <c r="H10" s="6" t="s">
        <v>8659</v>
      </c>
      <c r="I10" s="6" t="s">
        <v>20</v>
      </c>
      <c r="J10" s="6">
        <v>2026.0</v>
      </c>
      <c r="L10" s="6">
        <v>1.0</v>
      </c>
    </row>
    <row r="11">
      <c r="A11" s="6" t="s">
        <v>10420</v>
      </c>
      <c r="B11" s="6" t="s">
        <v>9579</v>
      </c>
      <c r="C11" s="6" t="s">
        <v>30</v>
      </c>
      <c r="D11" s="6" t="s">
        <v>10421</v>
      </c>
      <c r="F11" s="6" t="s">
        <v>26</v>
      </c>
      <c r="G11" s="6">
        <v>2.88</v>
      </c>
      <c r="H11" s="6" t="s">
        <v>8659</v>
      </c>
      <c r="I11" s="6" t="s">
        <v>20</v>
      </c>
      <c r="J11" s="6">
        <v>2026.0</v>
      </c>
      <c r="L11" s="6">
        <v>1.0</v>
      </c>
    </row>
    <row r="12">
      <c r="A12" s="6" t="s">
        <v>10422</v>
      </c>
      <c r="B12" s="6" t="s">
        <v>10423</v>
      </c>
      <c r="C12" s="6" t="s">
        <v>30</v>
      </c>
      <c r="D12" s="6" t="s">
        <v>10424</v>
      </c>
      <c r="F12" s="6" t="s">
        <v>50</v>
      </c>
      <c r="G12" s="6">
        <v>3.3</v>
      </c>
      <c r="H12" s="6" t="s">
        <v>8659</v>
      </c>
      <c r="I12" s="6" t="s">
        <v>20</v>
      </c>
      <c r="J12" s="6">
        <v>2026.0</v>
      </c>
      <c r="L12" s="6">
        <v>1.0</v>
      </c>
    </row>
    <row r="13">
      <c r="A13" s="6" t="s">
        <v>10425</v>
      </c>
      <c r="B13" s="6" t="s">
        <v>10426</v>
      </c>
      <c r="C13" s="6" t="s">
        <v>30</v>
      </c>
      <c r="D13" s="6" t="s">
        <v>10427</v>
      </c>
      <c r="E13" s="6" t="s">
        <v>6911</v>
      </c>
      <c r="F13" s="6" t="s">
        <v>50</v>
      </c>
      <c r="G13" s="6">
        <v>5.64</v>
      </c>
      <c r="H13" s="6" t="s">
        <v>8659</v>
      </c>
      <c r="I13" s="6" t="s">
        <v>20</v>
      </c>
      <c r="J13" s="6">
        <v>2026.0</v>
      </c>
      <c r="K13" s="10">
        <v>46084.0</v>
      </c>
      <c r="L13" s="6">
        <v>1.0</v>
      </c>
    </row>
    <row r="14">
      <c r="A14" s="6" t="s">
        <v>10428</v>
      </c>
      <c r="B14" s="6" t="s">
        <v>1577</v>
      </c>
      <c r="C14" s="6" t="s">
        <v>37</v>
      </c>
      <c r="D14" s="6" t="s">
        <v>10429</v>
      </c>
      <c r="F14" s="6" t="s">
        <v>26</v>
      </c>
      <c r="G14" s="6">
        <v>1.78</v>
      </c>
      <c r="H14" s="6" t="s">
        <v>8659</v>
      </c>
      <c r="I14" s="6" t="s">
        <v>20</v>
      </c>
      <c r="J14" s="6">
        <v>2026.0</v>
      </c>
      <c r="L14" s="6">
        <v>1.0</v>
      </c>
    </row>
    <row r="15">
      <c r="A15" s="6" t="s">
        <v>10430</v>
      </c>
      <c r="B15" s="6" t="s">
        <v>10431</v>
      </c>
      <c r="C15" s="6" t="s">
        <v>37</v>
      </c>
      <c r="D15" s="6" t="s">
        <v>10432</v>
      </c>
      <c r="E15" s="6" t="s">
        <v>420</v>
      </c>
      <c r="F15" s="6" t="s">
        <v>40</v>
      </c>
      <c r="G15" s="6">
        <v>0.25</v>
      </c>
      <c r="H15" s="6" t="s">
        <v>8623</v>
      </c>
      <c r="I15" s="6" t="s">
        <v>20</v>
      </c>
      <c r="J15" s="6">
        <v>2026.0</v>
      </c>
      <c r="K15" s="10">
        <v>46116.0</v>
      </c>
      <c r="L15" s="6">
        <v>1.0</v>
      </c>
    </row>
    <row r="16">
      <c r="A16" s="6" t="s">
        <v>5113</v>
      </c>
      <c r="B16" s="6" t="s">
        <v>1577</v>
      </c>
      <c r="C16" s="6" t="s">
        <v>37</v>
      </c>
      <c r="D16" s="6" t="s">
        <v>10433</v>
      </c>
      <c r="F16" s="6" t="s">
        <v>10405</v>
      </c>
      <c r="G16" s="6">
        <v>0.4</v>
      </c>
      <c r="H16" s="6" t="s">
        <v>8659</v>
      </c>
      <c r="I16" s="6" t="s">
        <v>20</v>
      </c>
      <c r="J16" s="6">
        <v>2026.0</v>
      </c>
      <c r="L16" s="6">
        <v>1.0</v>
      </c>
    </row>
    <row r="17">
      <c r="A17" s="6" t="s">
        <v>10434</v>
      </c>
      <c r="B17" s="6" t="s">
        <v>10435</v>
      </c>
      <c r="C17" s="6" t="s">
        <v>30</v>
      </c>
      <c r="D17" s="6" t="s">
        <v>10436</v>
      </c>
      <c r="E17" s="6" t="s">
        <v>757</v>
      </c>
      <c r="F17" s="6" t="s">
        <v>87</v>
      </c>
      <c r="G17" s="6">
        <v>18.75</v>
      </c>
      <c r="H17" s="6" t="s">
        <v>8659</v>
      </c>
      <c r="I17" s="6" t="s">
        <v>20</v>
      </c>
      <c r="J17" s="6">
        <v>2026.0</v>
      </c>
      <c r="K17" s="10">
        <v>46116.0</v>
      </c>
      <c r="L17" s="6">
        <v>1.0</v>
      </c>
    </row>
    <row r="18">
      <c r="A18" s="6" t="s">
        <v>10437</v>
      </c>
      <c r="B18" s="6" t="s">
        <v>1677</v>
      </c>
      <c r="C18" s="6" t="s">
        <v>30</v>
      </c>
      <c r="D18" s="6" t="s">
        <v>10438</v>
      </c>
      <c r="E18" s="6" t="s">
        <v>681</v>
      </c>
      <c r="F18" s="6" t="s">
        <v>26</v>
      </c>
      <c r="G18" s="6">
        <v>2.72</v>
      </c>
      <c r="H18" s="6" t="s">
        <v>8659</v>
      </c>
      <c r="I18" s="6" t="s">
        <v>20</v>
      </c>
      <c r="J18" s="6">
        <v>2026.0</v>
      </c>
      <c r="K18" s="10">
        <v>46116.0</v>
      </c>
      <c r="L18" s="6">
        <v>1.0</v>
      </c>
    </row>
    <row r="19">
      <c r="A19" s="6" t="s">
        <v>10439</v>
      </c>
      <c r="B19" s="6" t="s">
        <v>10440</v>
      </c>
      <c r="C19" s="6" t="s">
        <v>30</v>
      </c>
      <c r="D19" s="6" t="s">
        <v>10441</v>
      </c>
      <c r="E19" s="6" t="s">
        <v>994</v>
      </c>
      <c r="F19" s="6" t="s">
        <v>26</v>
      </c>
      <c r="G19" s="6">
        <v>9.4</v>
      </c>
      <c r="H19" s="6" t="s">
        <v>8659</v>
      </c>
      <c r="I19" s="6" t="s">
        <v>20</v>
      </c>
      <c r="J19" s="6">
        <v>2026.0</v>
      </c>
      <c r="L19" s="6">
        <v>1.0</v>
      </c>
    </row>
    <row r="20">
      <c r="A20" s="6" t="s">
        <v>8620</v>
      </c>
      <c r="B20" s="6" t="s">
        <v>8621</v>
      </c>
      <c r="C20" s="6" t="s">
        <v>43</v>
      </c>
      <c r="D20" s="6" t="s">
        <v>8622</v>
      </c>
      <c r="F20" s="6" t="s">
        <v>87</v>
      </c>
      <c r="G20" s="6">
        <v>0.25</v>
      </c>
      <c r="H20" s="6" t="s">
        <v>8623</v>
      </c>
      <c r="I20" s="6" t="s">
        <v>20</v>
      </c>
      <c r="J20" s="6">
        <v>2026.0</v>
      </c>
      <c r="L20" s="6">
        <v>5.0</v>
      </c>
    </row>
    <row r="21">
      <c r="A21" s="6" t="s">
        <v>10442</v>
      </c>
      <c r="B21" s="6" t="s">
        <v>1577</v>
      </c>
      <c r="C21" s="6" t="s">
        <v>30</v>
      </c>
      <c r="D21" s="6" t="s">
        <v>10443</v>
      </c>
      <c r="F21" s="6" t="s">
        <v>519</v>
      </c>
      <c r="G21" s="6">
        <v>1.68</v>
      </c>
      <c r="H21" s="6" t="s">
        <v>8659</v>
      </c>
      <c r="I21" s="6" t="s">
        <v>20</v>
      </c>
      <c r="J21" s="6">
        <v>2026.0</v>
      </c>
      <c r="L21" s="6">
        <v>1.0</v>
      </c>
    </row>
    <row r="22">
      <c r="A22" s="6" t="s">
        <v>10444</v>
      </c>
      <c r="B22" s="6" t="s">
        <v>219</v>
      </c>
      <c r="C22" s="6" t="s">
        <v>37</v>
      </c>
      <c r="D22" s="6" t="s">
        <v>10445</v>
      </c>
      <c r="E22" s="6" t="s">
        <v>25</v>
      </c>
      <c r="F22" s="6" t="s">
        <v>26</v>
      </c>
      <c r="G22" s="6">
        <v>8.09</v>
      </c>
      <c r="H22" s="6" t="s">
        <v>8659</v>
      </c>
      <c r="I22" s="6" t="s">
        <v>20</v>
      </c>
      <c r="J22" s="6">
        <v>2026.0</v>
      </c>
      <c r="L22" s="6">
        <v>1.0</v>
      </c>
    </row>
    <row r="23">
      <c r="A23" s="6" t="s">
        <v>10446</v>
      </c>
      <c r="B23" s="6" t="s">
        <v>10407</v>
      </c>
      <c r="C23" s="6" t="s">
        <v>30</v>
      </c>
      <c r="D23" s="6" t="s">
        <v>10447</v>
      </c>
      <c r="E23" s="6" t="s">
        <v>185</v>
      </c>
      <c r="F23" s="6" t="s">
        <v>26</v>
      </c>
      <c r="G23" s="6">
        <v>9.36</v>
      </c>
      <c r="H23" s="6" t="s">
        <v>8659</v>
      </c>
      <c r="I23" s="6" t="s">
        <v>20</v>
      </c>
      <c r="J23" s="6">
        <v>2026.0</v>
      </c>
      <c r="K23" s="10">
        <v>46055.0</v>
      </c>
      <c r="L23" s="6">
        <v>1.0</v>
      </c>
    </row>
    <row r="24">
      <c r="A24" s="6" t="s">
        <v>10448</v>
      </c>
      <c r="B24" s="6" t="s">
        <v>162</v>
      </c>
      <c r="C24" s="6" t="s">
        <v>30</v>
      </c>
      <c r="D24" s="6" t="s">
        <v>10449</v>
      </c>
      <c r="E24" s="6" t="s">
        <v>654</v>
      </c>
      <c r="F24" s="6" t="s">
        <v>18</v>
      </c>
      <c r="G24" s="6">
        <v>51.75</v>
      </c>
      <c r="H24" s="6" t="s">
        <v>8659</v>
      </c>
      <c r="I24" s="6" t="s">
        <v>20</v>
      </c>
      <c r="J24" s="6">
        <v>2026.0</v>
      </c>
      <c r="L24" s="6">
        <v>1.0</v>
      </c>
    </row>
    <row r="25">
      <c r="A25" s="6" t="s">
        <v>5551</v>
      </c>
      <c r="B25" s="6" t="s">
        <v>5552</v>
      </c>
      <c r="C25" s="6" t="s">
        <v>43</v>
      </c>
      <c r="D25" s="6" t="s">
        <v>5553</v>
      </c>
      <c r="F25" s="6" t="s">
        <v>40</v>
      </c>
      <c r="G25" s="6">
        <v>0.25</v>
      </c>
      <c r="H25" s="6" t="s">
        <v>8623</v>
      </c>
      <c r="I25" s="6" t="s">
        <v>20</v>
      </c>
      <c r="J25" s="6">
        <v>2026.0</v>
      </c>
      <c r="L25" s="6">
        <v>1.0</v>
      </c>
    </row>
    <row r="26">
      <c r="A26" s="6" t="s">
        <v>10450</v>
      </c>
      <c r="B26" s="6" t="s">
        <v>8765</v>
      </c>
      <c r="C26" s="6" t="s">
        <v>30</v>
      </c>
      <c r="D26" s="6" t="s">
        <v>10451</v>
      </c>
      <c r="E26" s="6" t="s">
        <v>1559</v>
      </c>
      <c r="F26" s="6" t="s">
        <v>519</v>
      </c>
      <c r="G26" s="6">
        <v>5.4</v>
      </c>
      <c r="H26" s="6" t="s">
        <v>8659</v>
      </c>
      <c r="I26" s="6" t="s">
        <v>20</v>
      </c>
      <c r="J26" s="6">
        <v>2026.0</v>
      </c>
      <c r="K26" s="10">
        <v>46055.0</v>
      </c>
      <c r="L26" s="6">
        <v>1.0</v>
      </c>
    </row>
    <row r="27">
      <c r="A27" s="6" t="s">
        <v>10452</v>
      </c>
      <c r="B27" s="6" t="s">
        <v>219</v>
      </c>
      <c r="C27" s="6" t="s">
        <v>30</v>
      </c>
      <c r="D27" s="6" t="s">
        <v>10453</v>
      </c>
      <c r="E27" s="6" t="s">
        <v>994</v>
      </c>
      <c r="F27" s="6" t="s">
        <v>26</v>
      </c>
      <c r="G27" s="6">
        <v>13.61</v>
      </c>
      <c r="H27" s="6" t="s">
        <v>8659</v>
      </c>
      <c r="I27" s="6" t="s">
        <v>20</v>
      </c>
      <c r="J27" s="6">
        <v>2026.0</v>
      </c>
      <c r="L27" s="6">
        <v>1.0</v>
      </c>
    </row>
    <row r="28">
      <c r="A28" s="6" t="s">
        <v>10454</v>
      </c>
      <c r="B28" s="6" t="s">
        <v>1577</v>
      </c>
      <c r="C28" s="6" t="s">
        <v>30</v>
      </c>
      <c r="D28" s="6" t="s">
        <v>10455</v>
      </c>
      <c r="F28" s="6" t="s">
        <v>519</v>
      </c>
      <c r="G28" s="6">
        <v>2.92</v>
      </c>
      <c r="H28" s="6" t="s">
        <v>8659</v>
      </c>
      <c r="I28" s="6" t="s">
        <v>20</v>
      </c>
      <c r="J28" s="6">
        <v>2026.0</v>
      </c>
      <c r="L28" s="6">
        <v>1.0</v>
      </c>
    </row>
    <row r="29">
      <c r="A29" s="6" t="s">
        <v>10456</v>
      </c>
      <c r="B29" s="6" t="s">
        <v>10457</v>
      </c>
      <c r="C29" s="6" t="s">
        <v>30</v>
      </c>
      <c r="D29" s="6" t="s">
        <v>10458</v>
      </c>
      <c r="E29" s="6" t="s">
        <v>25</v>
      </c>
      <c r="F29" s="6" t="s">
        <v>26</v>
      </c>
      <c r="G29" s="6">
        <v>1.77</v>
      </c>
      <c r="H29" s="6" t="s">
        <v>8659</v>
      </c>
      <c r="I29" s="6" t="s">
        <v>20</v>
      </c>
      <c r="J29" s="6">
        <v>2026.0</v>
      </c>
      <c r="L29" s="6">
        <v>1.0</v>
      </c>
    </row>
    <row r="30">
      <c r="A30" s="6" t="s">
        <v>10459</v>
      </c>
      <c r="B30" s="6" t="s">
        <v>162</v>
      </c>
      <c r="C30" s="6" t="s">
        <v>30</v>
      </c>
      <c r="D30" s="6" t="s">
        <v>10460</v>
      </c>
      <c r="E30" s="6" t="s">
        <v>57</v>
      </c>
      <c r="F30" s="6" t="s">
        <v>40</v>
      </c>
      <c r="G30" s="6">
        <v>1.42</v>
      </c>
      <c r="H30" s="6" t="s">
        <v>8659</v>
      </c>
      <c r="I30" s="6" t="s">
        <v>20</v>
      </c>
      <c r="J30" s="6">
        <v>2026.0</v>
      </c>
      <c r="L30" s="6">
        <v>1.0</v>
      </c>
    </row>
    <row r="31">
      <c r="A31" s="6" t="s">
        <v>10461</v>
      </c>
      <c r="B31" s="6" t="s">
        <v>8697</v>
      </c>
      <c r="C31" s="6" t="s">
        <v>37</v>
      </c>
      <c r="D31" s="6" t="s">
        <v>10462</v>
      </c>
      <c r="E31" s="6" t="s">
        <v>107</v>
      </c>
      <c r="F31" s="6" t="s">
        <v>18</v>
      </c>
      <c r="G31" s="6">
        <v>0.85</v>
      </c>
      <c r="H31" s="6" t="s">
        <v>8659</v>
      </c>
      <c r="I31" s="6" t="s">
        <v>20</v>
      </c>
      <c r="J31" s="6">
        <v>2026.0</v>
      </c>
      <c r="K31" s="10">
        <v>46024.0</v>
      </c>
      <c r="L31" s="6">
        <v>1.0</v>
      </c>
    </row>
    <row r="32">
      <c r="A32" s="6" t="s">
        <v>10463</v>
      </c>
      <c r="B32" s="6" t="s">
        <v>1577</v>
      </c>
      <c r="C32" s="6" t="s">
        <v>43</v>
      </c>
      <c r="D32" s="6" t="s">
        <v>10464</v>
      </c>
      <c r="F32" s="6" t="s">
        <v>26</v>
      </c>
      <c r="G32" s="6">
        <v>1.96</v>
      </c>
      <c r="H32" s="6" t="s">
        <v>8659</v>
      </c>
      <c r="I32" s="6" t="s">
        <v>20</v>
      </c>
      <c r="J32" s="6">
        <v>2026.0</v>
      </c>
      <c r="L32" s="6">
        <v>1.0</v>
      </c>
    </row>
    <row r="33">
      <c r="A33" s="6" t="s">
        <v>10465</v>
      </c>
      <c r="B33" s="6" t="s">
        <v>8631</v>
      </c>
      <c r="C33" s="6" t="s">
        <v>30</v>
      </c>
      <c r="D33" s="6" t="s">
        <v>10466</v>
      </c>
      <c r="E33" s="6" t="s">
        <v>859</v>
      </c>
      <c r="F33" s="6" t="s">
        <v>50</v>
      </c>
      <c r="G33" s="6">
        <v>9.34</v>
      </c>
      <c r="H33" s="6" t="s">
        <v>8659</v>
      </c>
      <c r="I33" s="6" t="s">
        <v>20</v>
      </c>
      <c r="J33" s="6">
        <v>2026.0</v>
      </c>
      <c r="K33" s="10">
        <v>46115.0</v>
      </c>
      <c r="L33" s="6">
        <v>1.0</v>
      </c>
    </row>
    <row r="34">
      <c r="A34" s="6" t="s">
        <v>4685</v>
      </c>
      <c r="B34" s="6" t="s">
        <v>74</v>
      </c>
      <c r="C34" s="6" t="s">
        <v>43</v>
      </c>
      <c r="D34" s="6" t="s">
        <v>4686</v>
      </c>
      <c r="E34" s="6" t="s">
        <v>57</v>
      </c>
      <c r="F34" s="6" t="s">
        <v>40</v>
      </c>
      <c r="G34" s="6">
        <v>0.14</v>
      </c>
      <c r="H34" s="6" t="s">
        <v>8659</v>
      </c>
      <c r="I34" s="6" t="s">
        <v>20</v>
      </c>
      <c r="J34" s="6">
        <v>2026.0</v>
      </c>
      <c r="L34" s="6">
        <v>1.0</v>
      </c>
    </row>
    <row r="35">
      <c r="A35" s="6" t="s">
        <v>8686</v>
      </c>
      <c r="B35" s="6" t="s">
        <v>8687</v>
      </c>
      <c r="C35" s="6" t="s">
        <v>43</v>
      </c>
      <c r="D35" s="6" t="s">
        <v>8688</v>
      </c>
      <c r="F35" s="6" t="s">
        <v>18</v>
      </c>
      <c r="G35" s="6">
        <v>0.25</v>
      </c>
      <c r="H35" s="6" t="s">
        <v>8623</v>
      </c>
      <c r="I35" s="6" t="s">
        <v>20</v>
      </c>
      <c r="J35" s="6">
        <v>2026.0</v>
      </c>
      <c r="L35" s="6">
        <v>5.0</v>
      </c>
    </row>
    <row r="36">
      <c r="A36" s="6" t="s">
        <v>5551</v>
      </c>
      <c r="B36" s="6" t="s">
        <v>5552</v>
      </c>
      <c r="C36" s="6" t="s">
        <v>43</v>
      </c>
      <c r="D36" s="6" t="s">
        <v>5553</v>
      </c>
      <c r="F36" s="6" t="s">
        <v>40</v>
      </c>
      <c r="G36" s="6">
        <v>0.25</v>
      </c>
      <c r="H36" s="6" t="s">
        <v>8623</v>
      </c>
      <c r="I36" s="6" t="s">
        <v>20</v>
      </c>
      <c r="J36" s="6">
        <v>2026.0</v>
      </c>
      <c r="L36" s="6">
        <v>2.0</v>
      </c>
    </row>
    <row r="37">
      <c r="A37" s="6" t="s">
        <v>10467</v>
      </c>
      <c r="B37" s="6" t="s">
        <v>1577</v>
      </c>
      <c r="C37" s="6" t="s">
        <v>37</v>
      </c>
      <c r="D37" s="6" t="s">
        <v>10468</v>
      </c>
      <c r="F37" s="6" t="s">
        <v>26</v>
      </c>
      <c r="G37" s="6">
        <v>7.9</v>
      </c>
      <c r="H37" s="6" t="s">
        <v>8659</v>
      </c>
      <c r="I37" s="6" t="s">
        <v>20</v>
      </c>
      <c r="J37" s="6">
        <v>2026.0</v>
      </c>
      <c r="L37" s="6">
        <v>1.0</v>
      </c>
    </row>
    <row r="38">
      <c r="A38" s="6" t="s">
        <v>10469</v>
      </c>
      <c r="B38" s="6" t="s">
        <v>440</v>
      </c>
      <c r="C38" s="6" t="s">
        <v>30</v>
      </c>
      <c r="D38" s="6" t="s">
        <v>10470</v>
      </c>
      <c r="E38" s="6" t="s">
        <v>964</v>
      </c>
      <c r="F38" s="6" t="s">
        <v>50</v>
      </c>
      <c r="G38" s="6">
        <v>7.95</v>
      </c>
      <c r="H38" s="6" t="s">
        <v>8659</v>
      </c>
      <c r="I38" s="6" t="s">
        <v>20</v>
      </c>
      <c r="J38" s="6">
        <v>2026.0</v>
      </c>
      <c r="L38" s="6">
        <v>1.0</v>
      </c>
    </row>
    <row r="39">
      <c r="A39" s="6" t="s">
        <v>10471</v>
      </c>
      <c r="B39" s="6" t="s">
        <v>494</v>
      </c>
      <c r="C39" s="6" t="s">
        <v>30</v>
      </c>
      <c r="D39" s="6" t="s">
        <v>10472</v>
      </c>
      <c r="E39" s="6" t="s">
        <v>57</v>
      </c>
      <c r="F39" s="6" t="s">
        <v>40</v>
      </c>
      <c r="G39" s="6">
        <v>3.75</v>
      </c>
      <c r="H39" s="6" t="s">
        <v>8659</v>
      </c>
      <c r="I39" s="6" t="s">
        <v>20</v>
      </c>
      <c r="J39" s="6">
        <v>2026.0</v>
      </c>
      <c r="L39" s="6">
        <v>1.0</v>
      </c>
    </row>
    <row r="40">
      <c r="A40" s="6" t="s">
        <v>10473</v>
      </c>
      <c r="B40" s="6" t="s">
        <v>1577</v>
      </c>
      <c r="C40" s="6" t="s">
        <v>43</v>
      </c>
      <c r="D40" s="6" t="s">
        <v>10474</v>
      </c>
      <c r="F40" s="6" t="s">
        <v>26</v>
      </c>
      <c r="G40" s="6">
        <v>0.59</v>
      </c>
      <c r="H40" s="6" t="s">
        <v>8659</v>
      </c>
      <c r="I40" s="6" t="s">
        <v>20</v>
      </c>
      <c r="J40" s="6">
        <v>2026.0</v>
      </c>
      <c r="L40" s="6">
        <v>1.0</v>
      </c>
    </row>
    <row r="41">
      <c r="A41" s="6" t="s">
        <v>10475</v>
      </c>
      <c r="B41" s="6" t="s">
        <v>1577</v>
      </c>
      <c r="C41" s="6" t="s">
        <v>30</v>
      </c>
      <c r="D41" s="6" t="s">
        <v>10476</v>
      </c>
      <c r="F41" s="6" t="s">
        <v>50</v>
      </c>
      <c r="G41" s="6">
        <v>1.78</v>
      </c>
      <c r="H41" s="6" t="s">
        <v>8659</v>
      </c>
      <c r="I41" s="6" t="s">
        <v>20</v>
      </c>
      <c r="J41" s="6">
        <v>2026.0</v>
      </c>
      <c r="L41" s="6">
        <v>1.0</v>
      </c>
    </row>
    <row r="42">
      <c r="A42" s="6" t="s">
        <v>10477</v>
      </c>
      <c r="B42" s="6" t="s">
        <v>8627</v>
      </c>
      <c r="C42" s="6" t="s">
        <v>30</v>
      </c>
      <c r="D42" s="6" t="s">
        <v>10478</v>
      </c>
      <c r="E42" s="6" t="s">
        <v>389</v>
      </c>
      <c r="F42" s="6" t="s">
        <v>87</v>
      </c>
      <c r="G42" s="6">
        <v>2.82</v>
      </c>
      <c r="H42" s="6" t="s">
        <v>8659</v>
      </c>
      <c r="I42" s="6" t="s">
        <v>20</v>
      </c>
      <c r="J42" s="6">
        <v>2026.0</v>
      </c>
      <c r="K42" s="10">
        <v>46114.0</v>
      </c>
      <c r="L42" s="6">
        <v>1.0</v>
      </c>
    </row>
    <row r="43">
      <c r="A43" s="6" t="s">
        <v>10479</v>
      </c>
      <c r="B43" s="6" t="s">
        <v>8762</v>
      </c>
      <c r="C43" s="6" t="s">
        <v>30</v>
      </c>
      <c r="D43" s="6" t="s">
        <v>10480</v>
      </c>
      <c r="E43" s="6" t="s">
        <v>6911</v>
      </c>
      <c r="F43" s="6" t="s">
        <v>50</v>
      </c>
      <c r="G43" s="6">
        <v>2.67</v>
      </c>
      <c r="H43" s="6" t="s">
        <v>8659</v>
      </c>
      <c r="I43" s="6" t="s">
        <v>20</v>
      </c>
      <c r="J43" s="6">
        <v>2026.0</v>
      </c>
      <c r="K43" s="10">
        <v>46115.0</v>
      </c>
      <c r="L43" s="6">
        <v>1.0</v>
      </c>
    </row>
    <row r="44">
      <c r="A44" s="6" t="s">
        <v>10481</v>
      </c>
      <c r="B44" s="6" t="s">
        <v>74</v>
      </c>
      <c r="C44" s="6" t="s">
        <v>37</v>
      </c>
      <c r="D44" s="6" t="s">
        <v>10482</v>
      </c>
      <c r="E44" s="6" t="s">
        <v>125</v>
      </c>
      <c r="F44" s="6" t="s">
        <v>40</v>
      </c>
      <c r="G44" s="6">
        <v>12.46</v>
      </c>
      <c r="H44" s="6" t="s">
        <v>8659</v>
      </c>
      <c r="I44" s="6" t="s">
        <v>20</v>
      </c>
      <c r="J44" s="6">
        <v>2026.0</v>
      </c>
      <c r="L44" s="6">
        <v>1.0</v>
      </c>
    </row>
    <row r="45">
      <c r="A45" s="6" t="s">
        <v>10483</v>
      </c>
      <c r="B45" s="6" t="s">
        <v>10484</v>
      </c>
      <c r="C45" s="6" t="s">
        <v>30</v>
      </c>
      <c r="D45" s="6" t="s">
        <v>10485</v>
      </c>
      <c r="F45" s="6" t="s">
        <v>1000</v>
      </c>
      <c r="G45" s="6">
        <v>2.91</v>
      </c>
      <c r="H45" s="6" t="s">
        <v>8659</v>
      </c>
      <c r="I45" s="6" t="s">
        <v>20</v>
      </c>
      <c r="J45" s="6">
        <v>2026.0</v>
      </c>
      <c r="L45" s="6">
        <v>1.0</v>
      </c>
    </row>
    <row r="46">
      <c r="A46" s="6" t="s">
        <v>10486</v>
      </c>
      <c r="B46" s="6" t="s">
        <v>219</v>
      </c>
      <c r="C46" s="6" t="s">
        <v>37</v>
      </c>
      <c r="D46" s="6" t="s">
        <v>10487</v>
      </c>
      <c r="E46" s="6" t="s">
        <v>25</v>
      </c>
      <c r="F46" s="6" t="s">
        <v>519</v>
      </c>
      <c r="G46" s="6">
        <v>5.63</v>
      </c>
      <c r="H46" s="6" t="s">
        <v>8659</v>
      </c>
      <c r="I46" s="6" t="s">
        <v>20</v>
      </c>
      <c r="J46" s="6">
        <v>2026.0</v>
      </c>
      <c r="L46" s="6">
        <v>1.0</v>
      </c>
    </row>
    <row r="47">
      <c r="A47" s="6" t="s">
        <v>10488</v>
      </c>
      <c r="B47" s="6" t="s">
        <v>8754</v>
      </c>
      <c r="C47" s="6" t="s">
        <v>1488</v>
      </c>
      <c r="D47" s="6" t="s">
        <v>10489</v>
      </c>
      <c r="E47" s="6" t="s">
        <v>10490</v>
      </c>
      <c r="F47" s="6" t="s">
        <v>10405</v>
      </c>
      <c r="G47" s="6">
        <v>7.51</v>
      </c>
      <c r="H47" s="6" t="s">
        <v>8659</v>
      </c>
      <c r="I47" s="6" t="s">
        <v>20</v>
      </c>
      <c r="J47" s="6">
        <v>2026.0</v>
      </c>
      <c r="K47" s="10">
        <v>46114.0</v>
      </c>
      <c r="L47" s="6">
        <v>1.0</v>
      </c>
    </row>
    <row r="48">
      <c r="A48" s="6" t="s">
        <v>10491</v>
      </c>
      <c r="B48" s="6" t="s">
        <v>10423</v>
      </c>
      <c r="C48" s="6" t="s">
        <v>30</v>
      </c>
      <c r="D48" s="6" t="s">
        <v>10492</v>
      </c>
      <c r="F48" s="6" t="s">
        <v>50</v>
      </c>
      <c r="G48" s="6">
        <v>8.0</v>
      </c>
      <c r="H48" s="6" t="s">
        <v>8659</v>
      </c>
      <c r="I48" s="6" t="s">
        <v>20</v>
      </c>
      <c r="J48" s="6">
        <v>2026.0</v>
      </c>
      <c r="L48" s="6">
        <v>1.0</v>
      </c>
    </row>
    <row r="49">
      <c r="A49" s="6" t="s">
        <v>10467</v>
      </c>
      <c r="B49" s="6" t="s">
        <v>1577</v>
      </c>
      <c r="C49" s="6" t="s">
        <v>37</v>
      </c>
      <c r="D49" s="6" t="s">
        <v>10468</v>
      </c>
      <c r="F49" s="6" t="s">
        <v>26</v>
      </c>
      <c r="G49" s="6">
        <v>1.8</v>
      </c>
      <c r="H49" s="6" t="s">
        <v>8659</v>
      </c>
      <c r="I49" s="6" t="s">
        <v>20</v>
      </c>
      <c r="J49" s="6">
        <v>2026.0</v>
      </c>
      <c r="L49" s="6">
        <v>1.0</v>
      </c>
    </row>
    <row r="50">
      <c r="A50" s="6" t="s">
        <v>2139</v>
      </c>
      <c r="B50" s="6" t="s">
        <v>74</v>
      </c>
      <c r="C50" s="6" t="s">
        <v>43</v>
      </c>
      <c r="D50" s="6" t="s">
        <v>2140</v>
      </c>
      <c r="E50" s="6" t="s">
        <v>135</v>
      </c>
      <c r="F50" s="6" t="s">
        <v>40</v>
      </c>
      <c r="G50" s="6">
        <v>1.22</v>
      </c>
      <c r="H50" s="6" t="s">
        <v>8659</v>
      </c>
      <c r="I50" s="6" t="s">
        <v>20</v>
      </c>
      <c r="J50" s="6">
        <v>2026.0</v>
      </c>
      <c r="L50" s="6">
        <v>1.0</v>
      </c>
    </row>
    <row r="51">
      <c r="A51" s="6" t="s">
        <v>10493</v>
      </c>
      <c r="B51" s="6" t="s">
        <v>1577</v>
      </c>
      <c r="C51" s="6" t="s">
        <v>30</v>
      </c>
      <c r="D51" s="6" t="s">
        <v>10494</v>
      </c>
      <c r="F51" s="6" t="s">
        <v>1000</v>
      </c>
      <c r="G51" s="6">
        <v>1.44</v>
      </c>
      <c r="H51" s="6" t="s">
        <v>8659</v>
      </c>
      <c r="I51" s="6" t="s">
        <v>20</v>
      </c>
      <c r="J51" s="6">
        <v>2026.0</v>
      </c>
      <c r="L51" s="6">
        <v>1.0</v>
      </c>
    </row>
    <row r="52">
      <c r="A52" s="6" t="s">
        <v>10495</v>
      </c>
      <c r="B52" s="6" t="s">
        <v>10496</v>
      </c>
      <c r="C52" s="6" t="s">
        <v>30</v>
      </c>
      <c r="D52" s="6" t="s">
        <v>10497</v>
      </c>
      <c r="E52" s="6" t="s">
        <v>10498</v>
      </c>
      <c r="F52" s="6" t="s">
        <v>1000</v>
      </c>
      <c r="G52" s="6">
        <v>4.5</v>
      </c>
      <c r="H52" s="6" t="s">
        <v>8659</v>
      </c>
      <c r="I52" s="6" t="s">
        <v>20</v>
      </c>
      <c r="J52" s="6">
        <v>2026.0</v>
      </c>
      <c r="K52" s="10">
        <v>46116.0</v>
      </c>
      <c r="L52" s="6">
        <v>1.0</v>
      </c>
    </row>
    <row r="53">
      <c r="A53" s="6" t="s">
        <v>10499</v>
      </c>
      <c r="B53" s="6" t="s">
        <v>8754</v>
      </c>
      <c r="C53" s="6" t="s">
        <v>30</v>
      </c>
      <c r="D53" s="6" t="s">
        <v>10500</v>
      </c>
      <c r="E53" s="6" t="s">
        <v>999</v>
      </c>
      <c r="F53" s="6" t="s">
        <v>1000</v>
      </c>
      <c r="G53" s="6">
        <v>76.9</v>
      </c>
      <c r="H53" s="6" t="s">
        <v>8659</v>
      </c>
      <c r="I53" s="6" t="s">
        <v>20</v>
      </c>
      <c r="J53" s="6">
        <v>2026.0</v>
      </c>
      <c r="K53" s="10">
        <v>46055.0</v>
      </c>
      <c r="L53" s="6">
        <v>1.0</v>
      </c>
    </row>
    <row r="54">
      <c r="A54" s="6" t="s">
        <v>10501</v>
      </c>
      <c r="B54" s="6" t="s">
        <v>10502</v>
      </c>
      <c r="C54" s="6" t="s">
        <v>30</v>
      </c>
      <c r="D54" s="6" t="s">
        <v>10503</v>
      </c>
      <c r="E54" s="6" t="s">
        <v>964</v>
      </c>
      <c r="F54" s="6" t="s">
        <v>50</v>
      </c>
      <c r="G54" s="6">
        <v>3.5</v>
      </c>
      <c r="H54" s="6" t="s">
        <v>8659</v>
      </c>
      <c r="I54" s="6" t="s">
        <v>20</v>
      </c>
      <c r="J54" s="6">
        <v>2026.0</v>
      </c>
      <c r="K54" s="10">
        <v>46054.0</v>
      </c>
      <c r="L54" s="6">
        <v>1.0</v>
      </c>
    </row>
    <row r="55">
      <c r="A55" s="6" t="s">
        <v>10504</v>
      </c>
      <c r="B55" s="6" t="s">
        <v>10505</v>
      </c>
      <c r="C55" s="6" t="s">
        <v>30</v>
      </c>
      <c r="D55" s="6" t="s">
        <v>10506</v>
      </c>
      <c r="F55" s="6" t="s">
        <v>519</v>
      </c>
      <c r="G55" s="6">
        <v>1.44</v>
      </c>
      <c r="H55" s="6" t="s">
        <v>8659</v>
      </c>
      <c r="I55" s="6" t="s">
        <v>20</v>
      </c>
      <c r="J55" s="6">
        <v>2026.0</v>
      </c>
      <c r="L55" s="6">
        <v>1.0</v>
      </c>
    </row>
    <row r="56">
      <c r="A56" s="6" t="s">
        <v>10507</v>
      </c>
      <c r="B56" s="6" t="s">
        <v>74</v>
      </c>
      <c r="C56" s="6" t="s">
        <v>43</v>
      </c>
      <c r="D56" s="6" t="s">
        <v>10508</v>
      </c>
      <c r="E56" s="6" t="s">
        <v>107</v>
      </c>
      <c r="F56" s="6" t="s">
        <v>18</v>
      </c>
      <c r="G56" s="6">
        <v>11.25</v>
      </c>
      <c r="H56" s="6" t="s">
        <v>8659</v>
      </c>
      <c r="I56" s="6" t="s">
        <v>20</v>
      </c>
      <c r="J56" s="6">
        <v>2026.0</v>
      </c>
      <c r="L56" s="6">
        <v>1.0</v>
      </c>
    </row>
    <row r="57">
      <c r="A57" s="6" t="s">
        <v>10509</v>
      </c>
      <c r="B57" s="6" t="s">
        <v>52</v>
      </c>
      <c r="C57" s="6" t="s">
        <v>37</v>
      </c>
      <c r="D57" s="6" t="s">
        <v>10510</v>
      </c>
      <c r="F57" s="6" t="s">
        <v>26</v>
      </c>
      <c r="G57" s="6">
        <v>0.25</v>
      </c>
      <c r="H57" s="6" t="s">
        <v>8623</v>
      </c>
      <c r="I57" s="6" t="s">
        <v>20</v>
      </c>
      <c r="J57" s="6">
        <v>2026.0</v>
      </c>
      <c r="L57" s="6">
        <v>1.0</v>
      </c>
    </row>
    <row r="58">
      <c r="A58" s="6" t="s">
        <v>10511</v>
      </c>
      <c r="B58" s="6" t="s">
        <v>8697</v>
      </c>
      <c r="C58" s="6" t="s">
        <v>30</v>
      </c>
      <c r="D58" s="6" t="s">
        <v>10512</v>
      </c>
      <c r="E58" s="6" t="s">
        <v>356</v>
      </c>
      <c r="F58" s="6" t="s">
        <v>87</v>
      </c>
      <c r="G58" s="6">
        <v>2.6</v>
      </c>
      <c r="H58" s="6" t="s">
        <v>8659</v>
      </c>
      <c r="I58" s="6" t="s">
        <v>20</v>
      </c>
      <c r="J58" s="6">
        <v>2026.0</v>
      </c>
      <c r="K58" s="10">
        <v>46145.0</v>
      </c>
      <c r="L58" s="6">
        <v>1.0</v>
      </c>
    </row>
    <row r="59">
      <c r="A59" s="6" t="s">
        <v>10513</v>
      </c>
      <c r="B59" s="6" t="s">
        <v>146</v>
      </c>
      <c r="C59" s="6" t="s">
        <v>30</v>
      </c>
      <c r="D59" s="6" t="s">
        <v>10514</v>
      </c>
      <c r="E59" s="6" t="s">
        <v>1840</v>
      </c>
      <c r="F59" s="6" t="s">
        <v>18</v>
      </c>
      <c r="G59" s="6">
        <v>44.9</v>
      </c>
      <c r="H59" s="6" t="s">
        <v>8659</v>
      </c>
      <c r="I59" s="6" t="s">
        <v>20</v>
      </c>
      <c r="J59" s="6">
        <v>2026.0</v>
      </c>
      <c r="L59" s="6">
        <v>1.0</v>
      </c>
    </row>
    <row r="60">
      <c r="A60" s="6" t="s">
        <v>10515</v>
      </c>
      <c r="B60" s="6" t="s">
        <v>10516</v>
      </c>
      <c r="C60" s="6" t="s">
        <v>30</v>
      </c>
      <c r="D60" s="6" t="s">
        <v>10517</v>
      </c>
      <c r="E60" s="6" t="s">
        <v>1486</v>
      </c>
      <c r="F60" s="6" t="s">
        <v>87</v>
      </c>
      <c r="G60" s="6">
        <v>2.5</v>
      </c>
      <c r="H60" s="6" t="s">
        <v>8659</v>
      </c>
      <c r="I60" s="6" t="s">
        <v>20</v>
      </c>
      <c r="J60" s="6">
        <v>2026.0</v>
      </c>
      <c r="K60" s="10">
        <v>46147.0</v>
      </c>
      <c r="L60" s="6">
        <v>1.0</v>
      </c>
    </row>
    <row r="61">
      <c r="A61" s="6" t="s">
        <v>10518</v>
      </c>
      <c r="B61" s="6" t="s">
        <v>219</v>
      </c>
      <c r="C61" s="6" t="s">
        <v>37</v>
      </c>
      <c r="D61" s="6" t="s">
        <v>10464</v>
      </c>
      <c r="E61" s="6" t="s">
        <v>25</v>
      </c>
      <c r="F61" s="6" t="s">
        <v>26</v>
      </c>
      <c r="G61" s="6">
        <v>4.95</v>
      </c>
      <c r="H61" s="6" t="s">
        <v>8659</v>
      </c>
      <c r="I61" s="6" t="s">
        <v>20</v>
      </c>
      <c r="J61" s="6">
        <v>2026.0</v>
      </c>
      <c r="L61" s="6">
        <v>1.0</v>
      </c>
    </row>
    <row r="62">
      <c r="A62" s="6" t="s">
        <v>10519</v>
      </c>
      <c r="B62" s="6" t="s">
        <v>1577</v>
      </c>
      <c r="C62" s="6" t="s">
        <v>30</v>
      </c>
      <c r="D62" s="6" t="s">
        <v>10520</v>
      </c>
      <c r="F62" s="6" t="s">
        <v>1000</v>
      </c>
      <c r="G62" s="6">
        <v>3.0</v>
      </c>
      <c r="H62" s="6" t="s">
        <v>8659</v>
      </c>
      <c r="I62" s="6" t="s">
        <v>20</v>
      </c>
      <c r="J62" s="6">
        <v>2026.0</v>
      </c>
      <c r="L62" s="6">
        <v>1.0</v>
      </c>
    </row>
    <row r="63">
      <c r="A63" s="6" t="s">
        <v>10521</v>
      </c>
      <c r="B63" s="6" t="s">
        <v>10522</v>
      </c>
      <c r="C63" s="6" t="s">
        <v>30</v>
      </c>
      <c r="D63" s="6" t="s">
        <v>10523</v>
      </c>
      <c r="E63" s="6" t="s">
        <v>256</v>
      </c>
      <c r="F63" s="6" t="s">
        <v>87</v>
      </c>
      <c r="G63" s="6">
        <v>1.7</v>
      </c>
      <c r="H63" s="6" t="s">
        <v>8659</v>
      </c>
      <c r="I63" s="6" t="s">
        <v>20</v>
      </c>
      <c r="J63" s="6">
        <v>2026.0</v>
      </c>
      <c r="K63" s="10">
        <v>46082.0</v>
      </c>
      <c r="L63" s="6">
        <v>1.0</v>
      </c>
    </row>
    <row r="64">
      <c r="A64" s="6" t="s">
        <v>10524</v>
      </c>
      <c r="B64" s="6" t="s">
        <v>219</v>
      </c>
      <c r="C64" s="6" t="s">
        <v>37</v>
      </c>
      <c r="D64" s="6" t="s">
        <v>10525</v>
      </c>
      <c r="E64" s="6" t="s">
        <v>185</v>
      </c>
      <c r="F64" s="6" t="s">
        <v>26</v>
      </c>
      <c r="G64" s="6">
        <v>8.45</v>
      </c>
      <c r="H64" s="6" t="s">
        <v>8659</v>
      </c>
      <c r="I64" s="6" t="s">
        <v>20</v>
      </c>
      <c r="J64" s="6">
        <v>2026.0</v>
      </c>
      <c r="L64" s="6">
        <v>1.0</v>
      </c>
    </row>
    <row r="65">
      <c r="A65" s="6" t="s">
        <v>10526</v>
      </c>
      <c r="B65" s="6" t="s">
        <v>462</v>
      </c>
      <c r="C65" s="6" t="s">
        <v>30</v>
      </c>
      <c r="D65" s="6" t="s">
        <v>10527</v>
      </c>
      <c r="E65" s="6" t="s">
        <v>2220</v>
      </c>
      <c r="F65" s="6" t="s">
        <v>18</v>
      </c>
      <c r="G65" s="6">
        <v>5.49</v>
      </c>
      <c r="H65" s="6" t="s">
        <v>8659</v>
      </c>
      <c r="I65" s="6" t="s">
        <v>20</v>
      </c>
      <c r="J65" s="6">
        <v>2026.0</v>
      </c>
      <c r="L65" s="6">
        <v>1.0</v>
      </c>
    </row>
    <row r="66">
      <c r="A66" s="6" t="s">
        <v>10528</v>
      </c>
      <c r="B66" s="6" t="s">
        <v>5635</v>
      </c>
      <c r="C66" s="6" t="s">
        <v>30</v>
      </c>
      <c r="D66" s="6" t="s">
        <v>10529</v>
      </c>
      <c r="E66" s="6" t="s">
        <v>25</v>
      </c>
      <c r="F66" s="6" t="s">
        <v>26</v>
      </c>
      <c r="G66" s="6">
        <v>5.64</v>
      </c>
      <c r="H66" s="6" t="s">
        <v>8659</v>
      </c>
      <c r="I66" s="6" t="s">
        <v>20</v>
      </c>
      <c r="J66" s="6">
        <v>2026.0</v>
      </c>
      <c r="K66" s="10">
        <v>46024.0</v>
      </c>
      <c r="L66" s="6">
        <v>1.0</v>
      </c>
    </row>
    <row r="67">
      <c r="A67" s="6" t="s">
        <v>10530</v>
      </c>
      <c r="B67" s="6" t="s">
        <v>1577</v>
      </c>
      <c r="C67" s="6" t="s">
        <v>30</v>
      </c>
      <c r="D67" s="6" t="s">
        <v>10531</v>
      </c>
      <c r="F67" s="6" t="s">
        <v>1000</v>
      </c>
      <c r="G67" s="6">
        <v>44.95</v>
      </c>
      <c r="H67" s="6" t="s">
        <v>8659</v>
      </c>
      <c r="I67" s="6" t="s">
        <v>20</v>
      </c>
      <c r="J67" s="6">
        <v>2026.0</v>
      </c>
      <c r="L67" s="6">
        <v>1.0</v>
      </c>
    </row>
    <row r="68">
      <c r="A68" s="6" t="s">
        <v>10532</v>
      </c>
      <c r="B68" s="6" t="s">
        <v>8657</v>
      </c>
      <c r="C68" s="6" t="s">
        <v>30</v>
      </c>
      <c r="D68" s="6" t="s">
        <v>10533</v>
      </c>
      <c r="E68" s="6" t="s">
        <v>237</v>
      </c>
      <c r="F68" s="6" t="s">
        <v>18</v>
      </c>
      <c r="G68" s="6">
        <v>6.3</v>
      </c>
      <c r="H68" s="6" t="s">
        <v>8659</v>
      </c>
      <c r="I68" s="6" t="s">
        <v>20</v>
      </c>
      <c r="J68" s="6">
        <v>2026.0</v>
      </c>
      <c r="K68" s="10">
        <v>46179.0</v>
      </c>
      <c r="L68" s="6">
        <v>1.0</v>
      </c>
    </row>
    <row r="69">
      <c r="A69" s="6" t="s">
        <v>10534</v>
      </c>
      <c r="B69" s="6" t="s">
        <v>1577</v>
      </c>
      <c r="C69" s="6" t="s">
        <v>30</v>
      </c>
      <c r="D69" s="6" t="s">
        <v>10535</v>
      </c>
      <c r="F69" s="6" t="s">
        <v>50</v>
      </c>
      <c r="G69" s="6">
        <v>4.25</v>
      </c>
      <c r="H69" s="6" t="s">
        <v>8659</v>
      </c>
      <c r="I69" s="6" t="s">
        <v>20</v>
      </c>
      <c r="J69" s="6">
        <v>2026.0</v>
      </c>
      <c r="L69" s="6">
        <v>1.0</v>
      </c>
    </row>
    <row r="70">
      <c r="A70" s="6" t="s">
        <v>10536</v>
      </c>
      <c r="B70" s="6" t="s">
        <v>146</v>
      </c>
      <c r="C70" s="6" t="s">
        <v>37</v>
      </c>
      <c r="D70" s="6" t="s">
        <v>10537</v>
      </c>
      <c r="E70" s="6" t="s">
        <v>1147</v>
      </c>
      <c r="F70" s="6" t="s">
        <v>18</v>
      </c>
      <c r="G70" s="6">
        <v>3.5</v>
      </c>
      <c r="H70" s="6" t="s">
        <v>8659</v>
      </c>
      <c r="I70" s="6" t="s">
        <v>20</v>
      </c>
      <c r="J70" s="6">
        <v>2026.0</v>
      </c>
      <c r="L70" s="6">
        <v>1.0</v>
      </c>
    </row>
    <row r="71">
      <c r="A71" s="6" t="s">
        <v>10538</v>
      </c>
      <c r="B71" s="6" t="s">
        <v>4576</v>
      </c>
      <c r="C71" s="6" t="s">
        <v>30</v>
      </c>
      <c r="D71" s="6" t="s">
        <v>10539</v>
      </c>
      <c r="E71" s="6" t="s">
        <v>98</v>
      </c>
      <c r="F71" s="6" t="s">
        <v>18</v>
      </c>
      <c r="G71" s="6">
        <v>5.25</v>
      </c>
      <c r="H71" s="6" t="s">
        <v>8659</v>
      </c>
      <c r="I71" s="6" t="s">
        <v>20</v>
      </c>
      <c r="J71" s="6">
        <v>2026.0</v>
      </c>
      <c r="K71" s="10">
        <v>46113.0</v>
      </c>
      <c r="L71" s="6">
        <v>1.0</v>
      </c>
    </row>
    <row r="72">
      <c r="A72" s="6" t="s">
        <v>8630</v>
      </c>
      <c r="B72" s="6" t="s">
        <v>8631</v>
      </c>
      <c r="C72" s="6" t="s">
        <v>37</v>
      </c>
      <c r="D72" s="6" t="s">
        <v>8632</v>
      </c>
      <c r="E72" s="6" t="s">
        <v>86</v>
      </c>
      <c r="F72" s="6" t="s">
        <v>87</v>
      </c>
      <c r="G72" s="6">
        <v>0.22</v>
      </c>
      <c r="H72" s="6" t="s">
        <v>8623</v>
      </c>
      <c r="I72" s="6" t="s">
        <v>45</v>
      </c>
      <c r="J72" s="6">
        <v>2026.0</v>
      </c>
      <c r="K72" s="10">
        <v>46055.0</v>
      </c>
      <c r="L72" s="6">
        <v>1.0</v>
      </c>
    </row>
    <row r="73">
      <c r="A73" s="6" t="s">
        <v>10540</v>
      </c>
      <c r="B73" s="6" t="s">
        <v>8697</v>
      </c>
      <c r="C73" s="6" t="s">
        <v>30</v>
      </c>
      <c r="D73" s="6" t="s">
        <v>10541</v>
      </c>
      <c r="E73" s="6" t="s">
        <v>224</v>
      </c>
      <c r="F73" s="6" t="s">
        <v>18</v>
      </c>
      <c r="G73" s="6">
        <v>13.0</v>
      </c>
      <c r="H73" s="6" t="s">
        <v>8659</v>
      </c>
      <c r="I73" s="6" t="s">
        <v>20</v>
      </c>
      <c r="J73" s="6">
        <v>2026.0</v>
      </c>
      <c r="K73" s="10">
        <v>46055.0</v>
      </c>
      <c r="L73" s="6">
        <v>1.0</v>
      </c>
    </row>
    <row r="74">
      <c r="A74" s="6" t="s">
        <v>10542</v>
      </c>
      <c r="B74" s="6" t="s">
        <v>10484</v>
      </c>
      <c r="C74" s="6" t="s">
        <v>30</v>
      </c>
      <c r="D74" s="6" t="s">
        <v>10543</v>
      </c>
      <c r="F74" s="6" t="s">
        <v>1000</v>
      </c>
      <c r="G74" s="6">
        <v>5.0</v>
      </c>
      <c r="H74" s="6" t="s">
        <v>8659</v>
      </c>
      <c r="I74" s="6" t="s">
        <v>20</v>
      </c>
      <c r="J74" s="6">
        <v>2026.0</v>
      </c>
      <c r="L74" s="6">
        <v>1.0</v>
      </c>
    </row>
    <row r="75">
      <c r="A75" s="6" t="s">
        <v>10544</v>
      </c>
      <c r="B75" s="6" t="s">
        <v>8627</v>
      </c>
      <c r="C75" s="6" t="s">
        <v>37</v>
      </c>
      <c r="D75" s="6" t="s">
        <v>10545</v>
      </c>
      <c r="E75" s="6" t="s">
        <v>135</v>
      </c>
      <c r="F75" s="6" t="s">
        <v>40</v>
      </c>
      <c r="G75" s="6">
        <v>0.17</v>
      </c>
      <c r="H75" s="6" t="s">
        <v>8623</v>
      </c>
      <c r="I75" s="6" t="s">
        <v>20</v>
      </c>
      <c r="J75" s="6">
        <v>2026.0</v>
      </c>
      <c r="K75" s="10">
        <v>46055.0</v>
      </c>
      <c r="L75" s="6">
        <v>1.0</v>
      </c>
    </row>
    <row r="76">
      <c r="A76" s="6" t="s">
        <v>10546</v>
      </c>
      <c r="B76" s="6" t="s">
        <v>219</v>
      </c>
      <c r="C76" s="6" t="s">
        <v>37</v>
      </c>
      <c r="D76" s="6" t="s">
        <v>10547</v>
      </c>
      <c r="E76" s="6" t="s">
        <v>25</v>
      </c>
      <c r="F76" s="6" t="s">
        <v>1000</v>
      </c>
      <c r="G76" s="6">
        <v>3.56</v>
      </c>
      <c r="H76" s="6" t="s">
        <v>8659</v>
      </c>
      <c r="I76" s="6" t="s">
        <v>20</v>
      </c>
      <c r="J76" s="6">
        <v>2026.0</v>
      </c>
      <c r="L76" s="6">
        <v>1.0</v>
      </c>
    </row>
    <row r="77">
      <c r="A77" s="6" t="s">
        <v>10548</v>
      </c>
      <c r="B77" s="6" t="s">
        <v>10505</v>
      </c>
      <c r="C77" s="6" t="s">
        <v>30</v>
      </c>
      <c r="D77" s="6" t="s">
        <v>10549</v>
      </c>
      <c r="F77" s="6" t="s">
        <v>519</v>
      </c>
      <c r="G77" s="6">
        <v>1.3</v>
      </c>
      <c r="H77" s="6" t="s">
        <v>8659</v>
      </c>
      <c r="I77" s="6" t="s">
        <v>20</v>
      </c>
      <c r="J77" s="6">
        <v>2026.0</v>
      </c>
      <c r="L77" s="6">
        <v>1.0</v>
      </c>
    </row>
    <row r="78">
      <c r="A78" s="6" t="s">
        <v>10550</v>
      </c>
      <c r="B78" s="6" t="s">
        <v>1577</v>
      </c>
      <c r="C78" s="6" t="s">
        <v>30</v>
      </c>
      <c r="D78" s="6" t="s">
        <v>10551</v>
      </c>
      <c r="F78" s="6" t="s">
        <v>26</v>
      </c>
      <c r="G78" s="6">
        <v>19.25</v>
      </c>
      <c r="H78" s="6" t="s">
        <v>8659</v>
      </c>
      <c r="I78" s="6" t="s">
        <v>20</v>
      </c>
      <c r="J78" s="6">
        <v>2026.0</v>
      </c>
      <c r="L78" s="6">
        <v>1.0</v>
      </c>
    </row>
    <row r="79">
      <c r="A79" s="6" t="s">
        <v>10552</v>
      </c>
      <c r="B79" s="6" t="s">
        <v>396</v>
      </c>
      <c r="C79" s="6" t="s">
        <v>37</v>
      </c>
      <c r="D79" s="6" t="s">
        <v>10553</v>
      </c>
      <c r="E79" s="6" t="s">
        <v>25</v>
      </c>
      <c r="F79" s="6" t="s">
        <v>26</v>
      </c>
      <c r="G79" s="6">
        <v>0.35</v>
      </c>
      <c r="H79" s="6" t="s">
        <v>8659</v>
      </c>
      <c r="I79" s="6" t="s">
        <v>20</v>
      </c>
      <c r="J79" s="6">
        <v>2026.0</v>
      </c>
      <c r="L79" s="6">
        <v>1.0</v>
      </c>
    </row>
    <row r="80">
      <c r="A80" s="6" t="s">
        <v>10554</v>
      </c>
      <c r="B80" s="6" t="s">
        <v>8788</v>
      </c>
      <c r="C80" s="6" t="s">
        <v>30</v>
      </c>
      <c r="D80" s="6" t="s">
        <v>10555</v>
      </c>
      <c r="E80" s="6" t="s">
        <v>420</v>
      </c>
      <c r="F80" s="6" t="s">
        <v>40</v>
      </c>
      <c r="G80" s="6">
        <v>3.4</v>
      </c>
      <c r="H80" s="6" t="s">
        <v>8659</v>
      </c>
      <c r="I80" s="6" t="s">
        <v>20</v>
      </c>
      <c r="J80" s="6">
        <v>2026.0</v>
      </c>
      <c r="K80" s="10">
        <v>46145.0</v>
      </c>
      <c r="L80" s="6">
        <v>1.0</v>
      </c>
    </row>
    <row r="81">
      <c r="A81" s="6" t="s">
        <v>10556</v>
      </c>
      <c r="B81" s="6" t="s">
        <v>138</v>
      </c>
      <c r="C81" s="6" t="s">
        <v>30</v>
      </c>
      <c r="D81" s="6" t="s">
        <v>10557</v>
      </c>
      <c r="E81" s="6" t="s">
        <v>39</v>
      </c>
      <c r="F81" s="6" t="s">
        <v>40</v>
      </c>
      <c r="G81" s="6">
        <v>11.0</v>
      </c>
      <c r="H81" s="6" t="s">
        <v>8659</v>
      </c>
      <c r="I81" s="6" t="s">
        <v>20</v>
      </c>
      <c r="J81" s="6">
        <v>2026.0</v>
      </c>
      <c r="L81" s="6">
        <v>1.0</v>
      </c>
    </row>
    <row r="82">
      <c r="A82" s="6" t="s">
        <v>10558</v>
      </c>
      <c r="B82" s="6" t="s">
        <v>219</v>
      </c>
      <c r="C82" s="6" t="s">
        <v>37</v>
      </c>
      <c r="D82" s="6" t="s">
        <v>10559</v>
      </c>
      <c r="E82" s="6" t="s">
        <v>25</v>
      </c>
      <c r="F82" s="6" t="s">
        <v>50</v>
      </c>
      <c r="G82" s="6">
        <v>8.91</v>
      </c>
      <c r="H82" s="6" t="s">
        <v>8659</v>
      </c>
      <c r="I82" s="6" t="s">
        <v>20</v>
      </c>
      <c r="J82" s="6">
        <v>2026.0</v>
      </c>
      <c r="L82" s="6">
        <v>1.0</v>
      </c>
    </row>
    <row r="83">
      <c r="A83" s="6" t="s">
        <v>10560</v>
      </c>
      <c r="B83" s="6" t="s">
        <v>138</v>
      </c>
      <c r="C83" s="6" t="s">
        <v>30</v>
      </c>
      <c r="D83" s="6" t="s">
        <v>10561</v>
      </c>
      <c r="E83" s="6" t="s">
        <v>135</v>
      </c>
      <c r="F83" s="6" t="s">
        <v>40</v>
      </c>
      <c r="G83" s="6">
        <v>22.0</v>
      </c>
      <c r="H83" s="6" t="s">
        <v>8659</v>
      </c>
      <c r="I83" s="6" t="s">
        <v>20</v>
      </c>
      <c r="J83" s="6">
        <v>2026.0</v>
      </c>
      <c r="L83" s="6">
        <v>1.0</v>
      </c>
    </row>
    <row r="84">
      <c r="A84" s="6" t="s">
        <v>10562</v>
      </c>
      <c r="B84" s="6" t="s">
        <v>138</v>
      </c>
      <c r="C84" s="6" t="s">
        <v>30</v>
      </c>
      <c r="D84" s="6" t="s">
        <v>10563</v>
      </c>
      <c r="E84" s="6" t="s">
        <v>540</v>
      </c>
      <c r="F84" s="6" t="s">
        <v>40</v>
      </c>
      <c r="G84" s="6">
        <v>7.9</v>
      </c>
      <c r="H84" s="6" t="s">
        <v>8659</v>
      </c>
      <c r="I84" s="6" t="s">
        <v>20</v>
      </c>
      <c r="J84" s="6">
        <v>2026.0</v>
      </c>
      <c r="L84" s="6">
        <v>1.0</v>
      </c>
    </row>
    <row r="85">
      <c r="A85" s="6" t="s">
        <v>10564</v>
      </c>
      <c r="B85" s="6" t="s">
        <v>219</v>
      </c>
      <c r="C85" s="6" t="s">
        <v>37</v>
      </c>
      <c r="D85" s="6" t="s">
        <v>10565</v>
      </c>
      <c r="E85" s="6" t="s">
        <v>215</v>
      </c>
      <c r="F85" s="6" t="s">
        <v>26</v>
      </c>
      <c r="G85" s="6">
        <v>8.82</v>
      </c>
      <c r="H85" s="6" t="s">
        <v>8659</v>
      </c>
      <c r="I85" s="6" t="s">
        <v>20</v>
      </c>
      <c r="J85" s="6">
        <v>2026.0</v>
      </c>
      <c r="L85" s="6">
        <v>1.0</v>
      </c>
    </row>
    <row r="86">
      <c r="A86" s="6" t="s">
        <v>10566</v>
      </c>
      <c r="B86" s="6" t="s">
        <v>10567</v>
      </c>
      <c r="C86" s="6" t="s">
        <v>30</v>
      </c>
      <c r="D86" s="6" t="s">
        <v>10568</v>
      </c>
      <c r="E86" s="6" t="s">
        <v>2030</v>
      </c>
      <c r="F86" s="6" t="s">
        <v>40</v>
      </c>
      <c r="G86" s="6">
        <v>3.3</v>
      </c>
      <c r="H86" s="6" t="s">
        <v>8659</v>
      </c>
      <c r="I86" s="6" t="s">
        <v>20</v>
      </c>
      <c r="J86" s="6">
        <v>2026.0</v>
      </c>
      <c r="K86" s="10">
        <v>46084.0</v>
      </c>
      <c r="L86" s="6">
        <v>1.0</v>
      </c>
    </row>
    <row r="87">
      <c r="A87" s="6" t="s">
        <v>10569</v>
      </c>
      <c r="B87" s="6" t="s">
        <v>10570</v>
      </c>
      <c r="C87" s="6" t="s">
        <v>30</v>
      </c>
      <c r="D87" s="6" t="s">
        <v>10571</v>
      </c>
      <c r="E87" s="6" t="s">
        <v>57</v>
      </c>
      <c r="F87" s="6" t="s">
        <v>40</v>
      </c>
      <c r="G87" s="6">
        <v>6.25</v>
      </c>
      <c r="H87" s="6" t="s">
        <v>8659</v>
      </c>
      <c r="I87" s="6" t="s">
        <v>20</v>
      </c>
      <c r="J87" s="6">
        <v>2026.0</v>
      </c>
      <c r="K87" s="10">
        <v>46054.0</v>
      </c>
      <c r="L87" s="6">
        <v>1.0</v>
      </c>
    </row>
    <row r="88">
      <c r="A88" s="6" t="s">
        <v>10572</v>
      </c>
      <c r="B88" s="6" t="s">
        <v>8788</v>
      </c>
      <c r="C88" s="6" t="s">
        <v>37</v>
      </c>
      <c r="D88" s="6" t="s">
        <v>10573</v>
      </c>
      <c r="E88" s="6" t="s">
        <v>1559</v>
      </c>
      <c r="F88" s="6" t="s">
        <v>519</v>
      </c>
      <c r="G88" s="6">
        <v>1.25</v>
      </c>
      <c r="H88" s="6" t="s">
        <v>8623</v>
      </c>
      <c r="I88" s="6" t="s">
        <v>20</v>
      </c>
      <c r="J88" s="6">
        <v>2026.0</v>
      </c>
      <c r="K88" s="10">
        <v>46115.0</v>
      </c>
      <c r="L88" s="6">
        <v>1.0</v>
      </c>
    </row>
    <row r="89">
      <c r="A89" s="6" t="s">
        <v>10574</v>
      </c>
      <c r="B89" s="6" t="s">
        <v>462</v>
      </c>
      <c r="C89" s="6" t="s">
        <v>30</v>
      </c>
      <c r="D89" s="6" t="s">
        <v>10575</v>
      </c>
      <c r="E89" s="6" t="s">
        <v>1752</v>
      </c>
      <c r="F89" s="6" t="s">
        <v>40</v>
      </c>
      <c r="G89" s="6">
        <v>2.5</v>
      </c>
      <c r="H89" s="6" t="s">
        <v>8659</v>
      </c>
      <c r="I89" s="6" t="s">
        <v>20</v>
      </c>
      <c r="J89" s="6">
        <v>2026.0</v>
      </c>
      <c r="L89" s="6">
        <v>1.0</v>
      </c>
    </row>
    <row r="90">
      <c r="A90" s="6" t="s">
        <v>10576</v>
      </c>
      <c r="B90" s="6" t="s">
        <v>219</v>
      </c>
      <c r="C90" s="6" t="s">
        <v>37</v>
      </c>
      <c r="D90" s="6" t="s">
        <v>10577</v>
      </c>
      <c r="E90" s="6" t="s">
        <v>185</v>
      </c>
      <c r="F90" s="6" t="s">
        <v>26</v>
      </c>
      <c r="G90" s="6">
        <v>19.94</v>
      </c>
      <c r="H90" s="6" t="s">
        <v>8659</v>
      </c>
      <c r="I90" s="6" t="s">
        <v>20</v>
      </c>
      <c r="J90" s="6">
        <v>2026.0</v>
      </c>
      <c r="L90" s="6">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10381</v>
      </c>
      <c r="G1" s="2" t="s">
        <v>6</v>
      </c>
      <c r="H1" s="1" t="s">
        <v>7</v>
      </c>
      <c r="I1" s="1" t="s">
        <v>8</v>
      </c>
      <c r="J1" s="1" t="s">
        <v>9</v>
      </c>
      <c r="K1" s="1" t="s">
        <v>10</v>
      </c>
      <c r="L1" s="1" t="s">
        <v>11</v>
      </c>
      <c r="M1" s="3">
        <f>Sum(G:G)</f>
        <v>14.32</v>
      </c>
      <c r="N1" s="4">
        <f>sum(L:L)</f>
        <v>9</v>
      </c>
      <c r="O1" s="3">
        <f>M1/N1</f>
        <v>1.591111111</v>
      </c>
      <c r="P1" s="3"/>
      <c r="Q1" s="4"/>
      <c r="R1" s="4"/>
      <c r="S1" s="4"/>
      <c r="T1" s="4"/>
      <c r="U1" s="4"/>
      <c r="V1" s="4"/>
      <c r="W1" s="4"/>
      <c r="X1" s="4"/>
      <c r="Y1" s="4"/>
    </row>
    <row r="2">
      <c r="A2" s="6" t="s">
        <v>10578</v>
      </c>
      <c r="B2" s="6" t="s">
        <v>10579</v>
      </c>
      <c r="C2" s="6" t="s">
        <v>30</v>
      </c>
      <c r="D2" s="6" t="s">
        <v>10580</v>
      </c>
      <c r="E2" s="6" t="s">
        <v>86</v>
      </c>
      <c r="F2" s="6" t="s">
        <v>87</v>
      </c>
      <c r="G2" s="6">
        <v>12.34</v>
      </c>
      <c r="H2" s="6" t="s">
        <v>674</v>
      </c>
      <c r="I2" s="6" t="s">
        <v>20</v>
      </c>
      <c r="J2" s="6">
        <v>2021.0</v>
      </c>
      <c r="K2" s="10">
        <v>46024.0</v>
      </c>
      <c r="L2" s="6">
        <v>1.0</v>
      </c>
    </row>
    <row r="3">
      <c r="A3" s="6" t="s">
        <v>10581</v>
      </c>
      <c r="B3" s="6" t="s">
        <v>2632</v>
      </c>
      <c r="C3" s="6" t="s">
        <v>43</v>
      </c>
      <c r="D3" s="6" t="s">
        <v>10582</v>
      </c>
      <c r="E3" s="6" t="s">
        <v>25</v>
      </c>
      <c r="F3" s="6" t="s">
        <v>26</v>
      </c>
      <c r="G3" s="6">
        <v>1.15</v>
      </c>
      <c r="H3" s="6" t="s">
        <v>104</v>
      </c>
      <c r="I3" s="6" t="s">
        <v>20</v>
      </c>
      <c r="J3" s="6">
        <v>2019.0</v>
      </c>
      <c r="K3" s="6" t="s">
        <v>445</v>
      </c>
      <c r="L3" s="6">
        <v>1.0</v>
      </c>
    </row>
    <row r="4">
      <c r="A4" s="6" t="s">
        <v>10583</v>
      </c>
      <c r="B4" s="6" t="s">
        <v>10584</v>
      </c>
      <c r="C4" s="6" t="s">
        <v>204</v>
      </c>
      <c r="D4" s="6" t="s">
        <v>10585</v>
      </c>
      <c r="E4" s="6" t="s">
        <v>86</v>
      </c>
      <c r="F4" s="6" t="s">
        <v>10586</v>
      </c>
      <c r="G4" s="6">
        <v>0.06</v>
      </c>
      <c r="H4" s="6" t="s">
        <v>590</v>
      </c>
      <c r="I4" s="6" t="s">
        <v>20</v>
      </c>
      <c r="J4" s="6">
        <v>2026.0</v>
      </c>
      <c r="K4" s="10">
        <v>46055.0</v>
      </c>
      <c r="L4" s="6">
        <v>1.0</v>
      </c>
    </row>
    <row r="5">
      <c r="A5" s="6" t="s">
        <v>7728</v>
      </c>
      <c r="B5" s="6" t="s">
        <v>7729</v>
      </c>
      <c r="C5" s="6" t="s">
        <v>43</v>
      </c>
      <c r="D5" s="6" t="s">
        <v>7730</v>
      </c>
      <c r="E5" s="6" t="s">
        <v>86</v>
      </c>
      <c r="F5" s="6" t="s">
        <v>87</v>
      </c>
      <c r="G5" s="6">
        <v>0.06</v>
      </c>
      <c r="H5" s="6" t="s">
        <v>674</v>
      </c>
      <c r="I5" s="6" t="s">
        <v>20</v>
      </c>
      <c r="J5" s="6">
        <v>2021.0</v>
      </c>
      <c r="K5" s="10">
        <v>46082.0</v>
      </c>
      <c r="L5" s="6">
        <v>1.0</v>
      </c>
    </row>
    <row r="6">
      <c r="A6" s="6" t="s">
        <v>2398</v>
      </c>
      <c r="B6" s="6" t="s">
        <v>2388</v>
      </c>
      <c r="C6" s="6" t="s">
        <v>43</v>
      </c>
      <c r="D6" s="6" t="s">
        <v>2399</v>
      </c>
      <c r="E6" s="6" t="s">
        <v>86</v>
      </c>
      <c r="F6" s="6" t="s">
        <v>87</v>
      </c>
      <c r="G6" s="6">
        <v>0.2</v>
      </c>
      <c r="H6" s="6" t="s">
        <v>194</v>
      </c>
      <c r="I6" s="6" t="s">
        <v>20</v>
      </c>
      <c r="J6" s="6">
        <v>1994.0</v>
      </c>
      <c r="K6" s="10">
        <v>46024.0</v>
      </c>
      <c r="L6" s="6">
        <v>1.0</v>
      </c>
    </row>
    <row r="7">
      <c r="A7" s="6" t="s">
        <v>3456</v>
      </c>
      <c r="B7" s="6" t="s">
        <v>396</v>
      </c>
      <c r="C7" s="6" t="s">
        <v>43</v>
      </c>
      <c r="D7" s="6" t="s">
        <v>3457</v>
      </c>
      <c r="E7" s="6" t="s">
        <v>25</v>
      </c>
      <c r="F7" s="6" t="s">
        <v>26</v>
      </c>
      <c r="G7" s="6">
        <v>0.17</v>
      </c>
      <c r="H7" s="6" t="s">
        <v>674</v>
      </c>
      <c r="I7" s="6" t="s">
        <v>20</v>
      </c>
      <c r="J7" s="6">
        <v>2021.0</v>
      </c>
      <c r="L7" s="6">
        <v>1.0</v>
      </c>
    </row>
    <row r="8">
      <c r="A8" s="6" t="s">
        <v>10587</v>
      </c>
      <c r="B8" s="6" t="s">
        <v>10588</v>
      </c>
      <c r="C8" s="6" t="s">
        <v>43</v>
      </c>
      <c r="D8" s="6" t="s">
        <v>10589</v>
      </c>
      <c r="E8" s="6" t="s">
        <v>86</v>
      </c>
      <c r="F8" s="6" t="s">
        <v>87</v>
      </c>
      <c r="G8" s="6">
        <v>0.2</v>
      </c>
      <c r="H8" s="6" t="s">
        <v>1004</v>
      </c>
      <c r="I8" s="6" t="s">
        <v>20</v>
      </c>
      <c r="J8" s="6">
        <v>2022.0</v>
      </c>
      <c r="K8" s="10">
        <v>46082.0</v>
      </c>
      <c r="L8" s="6">
        <v>1.0</v>
      </c>
    </row>
    <row r="9">
      <c r="A9" s="6" t="s">
        <v>10590</v>
      </c>
      <c r="B9" s="6" t="s">
        <v>10591</v>
      </c>
      <c r="C9" s="6" t="s">
        <v>43</v>
      </c>
      <c r="D9" s="6" t="s">
        <v>10592</v>
      </c>
      <c r="E9" s="6" t="s">
        <v>10593</v>
      </c>
      <c r="F9" s="6" t="s">
        <v>87</v>
      </c>
      <c r="G9" s="6">
        <v>0.04</v>
      </c>
      <c r="H9" s="6" t="s">
        <v>104</v>
      </c>
      <c r="I9" s="6" t="s">
        <v>20</v>
      </c>
      <c r="J9" s="6">
        <v>2019.0</v>
      </c>
      <c r="K9" s="10">
        <v>46025.0</v>
      </c>
      <c r="L9" s="6">
        <v>1.0</v>
      </c>
    </row>
    <row r="10">
      <c r="A10" s="6" t="s">
        <v>10594</v>
      </c>
      <c r="B10" s="6" t="s">
        <v>74</v>
      </c>
      <c r="C10" s="6" t="s">
        <v>43</v>
      </c>
      <c r="D10" s="6" t="s">
        <v>10595</v>
      </c>
      <c r="E10" s="6" t="s">
        <v>86</v>
      </c>
      <c r="F10" s="6" t="s">
        <v>87</v>
      </c>
      <c r="G10" s="6">
        <v>0.1</v>
      </c>
      <c r="H10" s="6" t="s">
        <v>1287</v>
      </c>
      <c r="I10" s="6" t="s">
        <v>20</v>
      </c>
      <c r="J10" s="6">
        <v>2021.0</v>
      </c>
      <c r="L10" s="6">
        <v>1.0</v>
      </c>
    </row>
  </sheetData>
  <drawing r:id="rId1"/>
</worksheet>
</file>